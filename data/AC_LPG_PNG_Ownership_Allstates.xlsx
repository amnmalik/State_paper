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oking Model No.s" sheetId="1" r:id="rId4"/>
    <sheet state="visible" name="PNGCylinderHH" sheetId="2" r:id="rId5"/>
    <sheet state="visible" name="LPGCylinderHH" sheetId="3" r:id="rId6"/>
    <sheet state="visible" name="Pop RuralUrban" sheetId="4" r:id="rId7"/>
    <sheet state="visible" name="FinalHHSize" sheetId="5" r:id="rId8"/>
    <sheet state="visible" name="Household Size" sheetId="6" r:id="rId9"/>
    <sheet state="visible" name="Cooling Energy" sheetId="7" r:id="rId10"/>
    <sheet state="visible" name="Final AC Units" sheetId="8" r:id="rId11"/>
    <sheet state="visible" name="AC Ownership" sheetId="9" r:id="rId12"/>
    <sheet state="visible" name="GJperUnit" sheetId="10" r:id="rId13"/>
    <sheet state="visible" name="GDP per capita" sheetId="11" r:id="rId14"/>
  </sheets>
  <definedNames>
    <definedName hidden="1" localSheetId="0" name="_xlnm._FilterDatabase">'Cooking Model No.s'!$A$2:$S$1210</definedName>
    <definedName hidden="1" localSheetId="3" name="_xlnm._FilterDatabase">'Pop RuralUrban'!$A$1:$O$75</definedName>
    <definedName hidden="1" localSheetId="6" name="_xlnm._FilterDatabase">'Cooling Energy'!$A$1:$O$75</definedName>
    <definedName hidden="1" localSheetId="8" name="_xlnm._FilterDatabase">'AC Ownership'!$A$1:$O$75</definedName>
  </definedNames>
  <calcPr/>
  <extLst>
    <ext uri="GoogleSheetsCustomDataVersion2">
      <go:sheetsCustomData xmlns:go="http://customooxmlschemas.google.com/" r:id="rId15" roundtripDataChecksum="/LJZlQTPVoNi2W7yEnB24Y3vhUztB0H2ow/k5YsGxN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2">
      <text>
        <t xml:space="preserve">======
ID#AAAByR8k3AA
Aman Malik    (2026-01-06 09:15:26)
@anurag.dey@ceew.in unclear from the sheet how you are converting PNG usage to cylinders
_Assigned to anurag.dey@ceew.in_</t>
      </text>
    </comment>
  </commentList>
  <extLst>
    <ext uri="GoogleSheetsCustomDataVersion2">
      <go:sheetsCustomData xmlns:go="http://customooxmlschemas.google.com/" r:id="rId1" roundtripDataSignature="AMtx7mj/z06NICAbB4LZ17XwJ5dH+G6jc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G150">
      <text>
        <t xml:space="preserve">======
ID#AAAByR8k3AI
Aman Malik    (2026-01-06 09:33:36)
@anurag.dey@ceew.in only three urban areas in states have an increase in LPG consumption per HH, we should check these</t>
      </text>
    </comment>
    <comment authorId="0" ref="Z130">
      <text>
        <t xml:space="preserve">======
ID#AAAByR8k3AE
Aman Malik    (2026-01-06 09:31:15)
doesn't make sense</t>
      </text>
    </comment>
    <comment authorId="0" ref="AF122">
      <text>
        <t xml:space="preserve">======
ID#AAAByR8k2_8
Aman Malik    (2026-01-06 09:13:05)
@anurag.dey@ceew.in we similarly need a lower bound for 2070, here I've taken 1 but it should be higher maybe like 4-5.
_Assigned to anurag.dey@ceew.in_</t>
      </text>
    </comment>
    <comment authorId="0" ref="AF85">
      <text>
        <t xml:space="preserve">======
ID#AAAByR8k2_4
Aman Malik    (2026-01-06 09:10:50)
@anurag.dey@ceew.in we should put some upper bound on the max cylinders that can be used per household - something like 15 per year
_Assigned to anurag.dey@ceew.in_</t>
      </text>
    </comment>
  </commentList>
  <extLst>
    <ext uri="GoogleSheetsCustomDataVersion2">
      <go:sheetsCustomData xmlns:go="http://customooxmlschemas.google.com/" r:id="rId1" roundtripDataSignature="AMtx7mgbGMJr4yQvZp8aG+TYMF9cBYMDr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======
ID#AAAByR9PreQ
Aman Malik    (2026-01-06 07:41:33)
@anurag.dey@ceew.in are we sure that the HH size in urban areas is more than that in rural areas?
_Assigned to anurag.dey@ceew.in_</t>
      </text>
    </comment>
  </commentList>
  <extLst>
    <ext uri="GoogleSheetsCustomDataVersion2">
      <go:sheetsCustomData xmlns:go="http://customooxmlschemas.google.com/" r:id="rId1" roundtripDataSignature="AMtx7mhvUkKpCtZt8gLwLgRtv68VPtvhWw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G1">
      <text>
        <t xml:space="preserve">======
ID#AAAByR9PreY
Aman Malik    (2026-01-06 07:47:08)
@anurag.dey@ceew.in can you add units?</t>
      </text>
    </comment>
  </commentList>
  <extLst>
    <ext uri="GoogleSheetsCustomDataVersion2">
      <go:sheetsCustomData xmlns:go="http://customooxmlschemas.google.com/" r:id="rId1" roundtripDataSignature="AMtx7mhlrb19ijjuPKPmOZeNexoh/ACQ6Q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54">
      <text>
        <t xml:space="preserve">======
ID#AAAByR8k2-s
Aman Malik    (2026-01-06 08:17:41)
seems like an outlier</t>
      </text>
    </comment>
    <comment authorId="0" ref="Q1">
      <text>
        <t xml:space="preserve">======
ID#AAAByR9Preg
Aman Malik    (2026-01-06 08:14:29)
@anurag.dey@ceew.in there doesn't seem to be a clear correlation between gdp per capita and AC ownership in 2020 or 2070. Still we need to discuss some clear non-negotiables such as should states at similar per-capita income levels have vastly different ownership rates? what should be the minimum increase in ownership if say per capita income increases by 10x?</t>
      </text>
    </comment>
  </commentList>
  <extLst>
    <ext uri="GoogleSheetsCustomDataVersion2">
      <go:sheetsCustomData xmlns:go="http://customooxmlschemas.google.com/" r:id="rId1" roundtripDataSignature="AMtx7mgeYr4Oa0Fp4nQLJ3XgKDWOvwFZOg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======
ID#AAAByR9PreU
Aman Malik    (2026-01-06 07:44:17)
@anurag.dey@ceew.in is the decreasing trend because of increasing EE we are assuming?</t>
      </text>
    </comment>
  </commentList>
  <extLst>
    <ext uri="GoogleSheetsCustomDataVersion2">
      <go:sheetsCustomData xmlns:go="http://customooxmlschemas.google.com/" r:id="rId1" roundtripDataSignature="AMtx7mh6TCF4xoyCJqVKXIoTaRUwvy+8Pg=="/>
    </ext>
  </extLst>
</comments>
</file>

<file path=xl/sharedStrings.xml><?xml version="1.0" encoding="utf-8"?>
<sst xmlns="http://schemas.openxmlformats.org/spreadsheetml/2006/main" count="6843" uniqueCount="83">
  <si>
    <t>building final energy by service and fuel</t>
  </si>
  <si>
    <t>scenario</t>
  </si>
  <si>
    <t>region</t>
  </si>
  <si>
    <t>input</t>
  </si>
  <si>
    <t>sector</t>
  </si>
  <si>
    <t>BAU_Final,date=2025-4-8T18:20:06+06:030</t>
  </si>
  <si>
    <t>AN</t>
  </si>
  <si>
    <t>delivered biomass</t>
  </si>
  <si>
    <t>comm others</t>
  </si>
  <si>
    <t>delivered coal</t>
  </si>
  <si>
    <t>resid rural apploth</t>
  </si>
  <si>
    <t>resid rural cooking</t>
  </si>
  <si>
    <t>resid rural space heating</t>
  </si>
  <si>
    <t>resid urban apploth</t>
  </si>
  <si>
    <t>resid urban cooking</t>
  </si>
  <si>
    <t>delivered gas</t>
  </si>
  <si>
    <t>comm cooking</t>
  </si>
  <si>
    <t>elect_td_com</t>
  </si>
  <si>
    <t>comm hvac</t>
  </si>
  <si>
    <t>comm lighting</t>
  </si>
  <si>
    <t>comm ref</t>
  </si>
  <si>
    <t>elect_td_res</t>
  </si>
  <si>
    <t>resid rural coolers</t>
  </si>
  <si>
    <t>resid rural cooling</t>
  </si>
  <si>
    <t>resid rural lighting</t>
  </si>
  <si>
    <t>resid urban coolers</t>
  </si>
  <si>
    <t>resid urban cooling</t>
  </si>
  <si>
    <t>resid urban lighting</t>
  </si>
  <si>
    <t>resid urban space heating</t>
  </si>
  <si>
    <t>refined liquids enduse</t>
  </si>
  <si>
    <t>AP</t>
  </si>
  <si>
    <t>traditional biomass</t>
  </si>
  <si>
    <t>AR</t>
  </si>
  <si>
    <t>AS</t>
  </si>
  <si>
    <t>BR</t>
  </si>
  <si>
    <t>CG</t>
  </si>
  <si>
    <t>CH</t>
  </si>
  <si>
    <t>DD</t>
  </si>
  <si>
    <t>DL</t>
  </si>
  <si>
    <t>DN</t>
  </si>
  <si>
    <t>GA</t>
  </si>
  <si>
    <t>GJ</t>
  </si>
  <si>
    <t>HP</t>
  </si>
  <si>
    <t>HR</t>
  </si>
  <si>
    <t>JH</t>
  </si>
  <si>
    <t>JK</t>
  </si>
  <si>
    <t>KA</t>
  </si>
  <si>
    <t>KL</t>
  </si>
  <si>
    <t>LA</t>
  </si>
  <si>
    <t>LD</t>
  </si>
  <si>
    <t>MH</t>
  </si>
  <si>
    <t>ML</t>
  </si>
  <si>
    <t>MN</t>
  </si>
  <si>
    <t>MP</t>
  </si>
  <si>
    <t>MZ</t>
  </si>
  <si>
    <t>NL</t>
  </si>
  <si>
    <t>OD</t>
  </si>
  <si>
    <t>PB</t>
  </si>
  <si>
    <t>PC</t>
  </si>
  <si>
    <t>RJ</t>
  </si>
  <si>
    <t>SK</t>
  </si>
  <si>
    <t>TN</t>
  </si>
  <si>
    <t>TR</t>
  </si>
  <si>
    <t>TS</t>
  </si>
  <si>
    <t>UK</t>
  </si>
  <si>
    <t>UP</t>
  </si>
  <si>
    <t>WB</t>
  </si>
  <si>
    <t>Cylinder/HH</t>
  </si>
  <si>
    <t>Consumer</t>
  </si>
  <si>
    <t>resid urban</t>
  </si>
  <si>
    <t>Increase</t>
  </si>
  <si>
    <t>resid rural</t>
  </si>
  <si>
    <t>HH Size</t>
  </si>
  <si>
    <t>States</t>
  </si>
  <si>
    <t>Average HH Size</t>
  </si>
  <si>
    <t>ACUnits</t>
  </si>
  <si>
    <t>Units</t>
  </si>
  <si>
    <t>Increase in ownership</t>
  </si>
  <si>
    <t>GDP per capita (2020)</t>
  </si>
  <si>
    <t>GDP per capita (2070)</t>
  </si>
  <si>
    <t>Increase in GDPPc (2020/2070)</t>
  </si>
  <si>
    <t>GJ/unit</t>
  </si>
  <si>
    <t>GDP per Capita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</si>
</sst>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0.0%"/>
    <numFmt numFmtId="166" formatCode="0.0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1" xfId="0" applyFont="1" applyNumberFormat="1"/>
    <xf borderId="0" fillId="0" fontId="2" numFmtId="164" xfId="0" applyFont="1" applyNumberFormat="1"/>
    <xf borderId="0" fillId="0" fontId="2" numFmtId="2" xfId="0" applyFont="1" applyNumberFormat="1"/>
    <xf borderId="0" fillId="0" fontId="1" numFmtId="0" xfId="0" applyAlignment="1" applyFont="1">
      <alignment readingOrder="0"/>
    </xf>
    <xf borderId="0" fillId="0" fontId="2" numFmtId="165" xfId="0" applyFont="1" applyNumberFormat="1"/>
    <xf borderId="0" fillId="0" fontId="1" numFmtId="2" xfId="0" applyFont="1" applyNumberFormat="1"/>
    <xf borderId="0" fillId="0" fontId="1" numFmtId="166" xfId="0" applyFont="1" applyNumberFormat="1"/>
    <xf borderId="0" fillId="2" fontId="1" numFmtId="2" xfId="0" applyFill="1" applyFont="1" applyNumberForma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2" xfId="0" applyAlignment="1" applyFont="1" applyNumberFormat="1">
      <alignment horizontal="right" vertical="bottom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Increase vs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LPGCylinderHH!$R$116:$R$152</c:f>
            </c:strRef>
          </c:cat>
          <c:val>
            <c:numRef>
              <c:f>LPGCylinderHH!$AG$116:$AG$152</c:f>
              <c:numCache/>
            </c:numRef>
          </c:val>
        </c:ser>
        <c:axId val="126240259"/>
        <c:axId val="34923331"/>
      </c:barChart>
      <c:catAx>
        <c:axId val="1262402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923331"/>
      </c:catAx>
      <c:valAx>
        <c:axId val="349233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Increase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2402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Increase vs region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LPGCylinderHH!$AG$77:$AG$78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LPGCylinderHH!$R$79:$R$115</c:f>
            </c:strRef>
          </c:cat>
          <c:val>
            <c:numRef>
              <c:f>LPGCylinderHH!$AG$79:$AG$115</c:f>
              <c:numCache/>
            </c:numRef>
          </c:val>
        </c:ser>
        <c:axId val="2029086933"/>
        <c:axId val="1332317976"/>
      </c:barChart>
      <c:catAx>
        <c:axId val="202908693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2317976"/>
      </c:catAx>
      <c:valAx>
        <c:axId val="1332317976"/>
        <c:scaling>
          <c:orientation val="minMax"/>
          <c:max val="5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Increase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908693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GDP per capita (2070) vs 2070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'AC Ownership'!$R$1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'AC Ownership'!$O$2:$O$75</c:f>
            </c:numRef>
          </c:xVal>
          <c:yVal>
            <c:numRef>
              <c:f>'AC Ownership'!$R$2:$R$75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9821404"/>
        <c:axId val="50041558"/>
      </c:scatterChart>
      <c:valAx>
        <c:axId val="155982140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2070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041558"/>
      </c:valAx>
      <c:valAx>
        <c:axId val="500415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GDP per capita (2070)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98214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GDP per capita (2020) vs 2020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'AC Ownership'!$Q$1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 line for GDP per capita (2020)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'AC Ownership'!$E$2:$E$75</c:f>
            </c:numRef>
          </c:xVal>
          <c:yVal>
            <c:numRef>
              <c:f>'AC Ownership'!$Q$2:$Q$75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4641513"/>
        <c:axId val="161244322"/>
      </c:scatterChart>
      <c:valAx>
        <c:axId val="208464151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2020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244322"/>
      </c:valAx>
      <c:valAx>
        <c:axId val="1612443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GDP per capita (2020)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46415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Increase in GDPPc (2020/2070) vs Increase in ownership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'AC Ownership'!$S$1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'AC Ownership'!$P$2:$P$75</c:f>
            </c:numRef>
          </c:xVal>
          <c:yVal>
            <c:numRef>
              <c:f>'AC Ownership'!$S$2:$S$75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3552409"/>
        <c:axId val="1134342979"/>
      </c:scatterChart>
      <c:valAx>
        <c:axId val="1563552409"/>
        <c:scaling>
          <c:orientation val="minMax"/>
          <c:max val="1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Increase in ownership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4342979"/>
      </c:valAx>
      <c:valAx>
        <c:axId val="11343429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Increase in GDPPc (2020/2070)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35524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257175</xdr:colOff>
      <xdr:row>138</xdr:row>
      <xdr:rowOff>95250</xdr:rowOff>
    </xdr:from>
    <xdr:ext cx="5715000" cy="3533775"/>
    <xdr:graphicFrame>
      <xdr:nvGraphicFramePr>
        <xdr:cNvPr id="941871593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371475</xdr:colOff>
      <xdr:row>92</xdr:row>
      <xdr:rowOff>0</xdr:rowOff>
    </xdr:from>
    <xdr:ext cx="5715000" cy="3533775"/>
    <xdr:graphicFrame>
      <xdr:nvGraphicFramePr>
        <xdr:cNvPr id="69750747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533400</xdr:colOff>
      <xdr:row>75</xdr:row>
      <xdr:rowOff>85725</xdr:rowOff>
    </xdr:from>
    <xdr:ext cx="5715000" cy="3533775"/>
    <xdr:graphicFrame>
      <xdr:nvGraphicFramePr>
        <xdr:cNvPr id="2020264264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1247775</xdr:colOff>
      <xdr:row>75</xdr:row>
      <xdr:rowOff>85725</xdr:rowOff>
    </xdr:from>
    <xdr:ext cx="5715000" cy="3533775"/>
    <xdr:graphicFrame>
      <xdr:nvGraphicFramePr>
        <xdr:cNvPr id="774710576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809625</xdr:colOff>
      <xdr:row>42</xdr:row>
      <xdr:rowOff>104775</xdr:rowOff>
    </xdr:from>
    <xdr:ext cx="5715000" cy="3533775"/>
    <xdr:graphicFrame>
      <xdr:nvGraphicFramePr>
        <xdr:cNvPr id="172856742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4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5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6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1.57"/>
    <col customWidth="1" min="4" max="4" width="27.57"/>
    <col customWidth="1" min="5" max="26" width="8.71"/>
  </cols>
  <sheetData>
    <row r="1" ht="14.25" customHeight="1">
      <c r="A1" s="1" t="s">
        <v>0</v>
      </c>
    </row>
    <row r="2" ht="14.25" customHeight="1">
      <c r="A2" s="1" t="s">
        <v>1</v>
      </c>
      <c r="B2" s="1" t="s">
        <v>2</v>
      </c>
      <c r="C2" s="1" t="s">
        <v>3</v>
      </c>
      <c r="D2" s="1" t="s">
        <v>4</v>
      </c>
      <c r="E2" s="1">
        <v>1990.0</v>
      </c>
      <c r="F2" s="1">
        <v>2005.0</v>
      </c>
      <c r="G2" s="1">
        <v>2010.0</v>
      </c>
      <c r="H2" s="1">
        <v>2015.0</v>
      </c>
      <c r="I2" s="1">
        <v>2020.0</v>
      </c>
      <c r="J2" s="1">
        <v>2025.0</v>
      </c>
      <c r="K2" s="1">
        <v>2030.0</v>
      </c>
      <c r="L2" s="1">
        <v>2035.0</v>
      </c>
      <c r="M2" s="1">
        <v>2040.0</v>
      </c>
      <c r="N2" s="1">
        <v>2045.0</v>
      </c>
      <c r="O2" s="1">
        <v>2050.0</v>
      </c>
      <c r="P2" s="1">
        <v>2055.0</v>
      </c>
      <c r="Q2" s="1">
        <v>2060.0</v>
      </c>
      <c r="R2" s="1">
        <v>2065.0</v>
      </c>
      <c r="S2" s="1">
        <v>2070.0</v>
      </c>
    </row>
    <row r="3" ht="14.25" hidden="1" customHeight="1">
      <c r="A3" s="1" t="s">
        <v>5</v>
      </c>
      <c r="B3" s="1" t="s">
        <v>6</v>
      </c>
      <c r="C3" s="1" t="s">
        <v>7</v>
      </c>
      <c r="D3" s="1" t="s">
        <v>8</v>
      </c>
      <c r="E3" s="2">
        <v>7.787E-5</v>
      </c>
      <c r="F3" s="2">
        <v>9.92201E-5</v>
      </c>
      <c r="G3" s="2">
        <v>1.06165E-4</v>
      </c>
      <c r="H3" s="2">
        <v>6.69915E-7</v>
      </c>
      <c r="I3" s="2">
        <v>1.64578E-7</v>
      </c>
      <c r="J3" s="2">
        <v>1.3573E-7</v>
      </c>
      <c r="K3" s="2">
        <v>1.13863E-7</v>
      </c>
      <c r="L3" s="2">
        <v>9.86822E-8</v>
      </c>
      <c r="M3" s="2">
        <v>6.84276E-8</v>
      </c>
      <c r="N3" s="2">
        <v>3.76505E-8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</row>
    <row r="4" ht="14.25" hidden="1" customHeight="1">
      <c r="A4" s="1" t="s">
        <v>5</v>
      </c>
      <c r="B4" s="1" t="s">
        <v>6</v>
      </c>
      <c r="C4" s="1" t="s">
        <v>9</v>
      </c>
      <c r="D4" s="1" t="s">
        <v>8</v>
      </c>
      <c r="E4" s="2">
        <v>6.07766E-5</v>
      </c>
      <c r="F4" s="2">
        <v>5.34108E-5</v>
      </c>
      <c r="G4" s="2">
        <v>7.84738E-5</v>
      </c>
      <c r="H4" s="2">
        <v>3.07782E-7</v>
      </c>
      <c r="I4" s="2">
        <v>2.66448E-4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</row>
    <row r="5" ht="14.25" hidden="1" customHeight="1">
      <c r="A5" s="1" t="s">
        <v>5</v>
      </c>
      <c r="B5" s="1" t="s">
        <v>6</v>
      </c>
      <c r="C5" s="1" t="s">
        <v>9</v>
      </c>
      <c r="D5" s="1" t="s">
        <v>10</v>
      </c>
      <c r="E5" s="2">
        <v>5.852E-5</v>
      </c>
      <c r="F5" s="2">
        <v>5.14077E-5</v>
      </c>
      <c r="G5" s="2">
        <v>2.00254E-7</v>
      </c>
      <c r="H5" s="2">
        <v>1.77275E-7</v>
      </c>
      <c r="I5" s="1">
        <v>0.0</v>
      </c>
      <c r="J5" s="2">
        <v>7.31228E-5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</row>
    <row r="6" ht="14.25" hidden="1" customHeight="1">
      <c r="A6" s="1" t="s">
        <v>5</v>
      </c>
      <c r="B6" s="1" t="s">
        <v>6</v>
      </c>
      <c r="C6" s="1" t="s">
        <v>9</v>
      </c>
      <c r="D6" s="1" t="s">
        <v>11</v>
      </c>
      <c r="E6" s="2">
        <v>5.86878E-5</v>
      </c>
      <c r="F6" s="2">
        <v>5.14901E-5</v>
      </c>
      <c r="G6" s="2">
        <v>1.99674E-7</v>
      </c>
      <c r="H6" s="2">
        <v>3.16812E-6</v>
      </c>
      <c r="I6" s="2">
        <v>2.86562E-8</v>
      </c>
      <c r="J6" s="2">
        <v>8.5881E-8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</row>
    <row r="7" ht="14.25" hidden="1" customHeight="1">
      <c r="A7" s="1" t="s">
        <v>5</v>
      </c>
      <c r="B7" s="1" t="s">
        <v>6</v>
      </c>
      <c r="C7" s="1" t="s">
        <v>9</v>
      </c>
      <c r="D7" s="1" t="s">
        <v>12</v>
      </c>
      <c r="E7" s="2">
        <v>5.80608E-6</v>
      </c>
      <c r="F7" s="2">
        <v>4.99221E-6</v>
      </c>
      <c r="G7" s="1">
        <v>0.0</v>
      </c>
      <c r="H7" s="2">
        <v>4.9029E-6</v>
      </c>
      <c r="I7" s="2">
        <v>5.11227E-7</v>
      </c>
      <c r="J7" s="2">
        <v>6.81246E-8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</row>
    <row r="8" ht="14.25" hidden="1" customHeight="1">
      <c r="A8" s="1" t="s">
        <v>5</v>
      </c>
      <c r="B8" s="1" t="s">
        <v>6</v>
      </c>
      <c r="C8" s="1" t="s">
        <v>9</v>
      </c>
      <c r="D8" s="1" t="s">
        <v>13</v>
      </c>
      <c r="E8" s="1">
        <v>0.0</v>
      </c>
      <c r="F8" s="1">
        <v>0.0</v>
      </c>
      <c r="G8" s="1">
        <v>0.0</v>
      </c>
      <c r="H8" s="2">
        <v>1.05228E-5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</row>
    <row r="9" ht="14.25" hidden="1" customHeight="1">
      <c r="A9" s="1" t="s">
        <v>5</v>
      </c>
      <c r="B9" s="1" t="s">
        <v>6</v>
      </c>
      <c r="C9" s="1" t="s">
        <v>9</v>
      </c>
      <c r="D9" s="1" t="s">
        <v>14</v>
      </c>
      <c r="E9" s="1">
        <v>0.0</v>
      </c>
      <c r="F9" s="1">
        <v>0.0</v>
      </c>
      <c r="G9" s="1">
        <v>0.0</v>
      </c>
      <c r="H9" s="2">
        <v>5.22194E-7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</row>
    <row r="10" ht="14.25" hidden="1" customHeight="1">
      <c r="A10" s="1" t="s">
        <v>5</v>
      </c>
      <c r="B10" s="1" t="s">
        <v>6</v>
      </c>
      <c r="C10" s="1" t="s">
        <v>15</v>
      </c>
      <c r="D10" s="1" t="s">
        <v>16</v>
      </c>
      <c r="E10" s="1">
        <v>0.0</v>
      </c>
      <c r="F10" s="1">
        <v>0.0</v>
      </c>
      <c r="G10" s="1">
        <v>0.0</v>
      </c>
      <c r="H10" s="1">
        <v>0.0</v>
      </c>
      <c r="I10" s="2">
        <v>1.67196E-5</v>
      </c>
      <c r="J10" s="2">
        <v>3.19334E-5</v>
      </c>
      <c r="K10" s="2">
        <v>5.81331E-5</v>
      </c>
      <c r="L10" s="2">
        <v>8.713551E-5</v>
      </c>
      <c r="M10" s="2">
        <v>1.195588E-4</v>
      </c>
      <c r="N10" s="2">
        <v>1.4585104E-4</v>
      </c>
      <c r="O10" s="2">
        <v>1.74571789999999E-4</v>
      </c>
      <c r="P10" s="2">
        <v>2.04675709999999E-4</v>
      </c>
      <c r="Q10" s="2">
        <v>2.3564128E-4</v>
      </c>
      <c r="R10" s="2">
        <v>2.6639797E-4</v>
      </c>
      <c r="S10" s="2">
        <v>2.9774194E-4</v>
      </c>
    </row>
    <row r="11" ht="14.25" customHeight="1">
      <c r="A11" s="1" t="s">
        <v>5</v>
      </c>
      <c r="B11" s="1" t="s">
        <v>6</v>
      </c>
      <c r="C11" s="1" t="s">
        <v>15</v>
      </c>
      <c r="D11" s="1" t="s">
        <v>14</v>
      </c>
      <c r="E11" s="1">
        <v>0.0</v>
      </c>
      <c r="F11" s="1">
        <v>0.0</v>
      </c>
      <c r="G11" s="1">
        <v>0.0</v>
      </c>
      <c r="H11" s="1">
        <v>0.0</v>
      </c>
      <c r="I11" s="2">
        <v>2.07011E-6</v>
      </c>
      <c r="J11" s="2">
        <v>3.363918E-5</v>
      </c>
      <c r="K11" s="2">
        <v>1.4290297E-4</v>
      </c>
      <c r="L11" s="2">
        <v>2.3639136E-4</v>
      </c>
      <c r="M11" s="2">
        <v>3.18766042E-4</v>
      </c>
      <c r="N11" s="2">
        <v>3.72937196E-4</v>
      </c>
      <c r="O11" s="2">
        <v>4.2353129E-4</v>
      </c>
      <c r="P11" s="2">
        <v>4.660575E-4</v>
      </c>
      <c r="Q11" s="2">
        <v>5.128212E-4</v>
      </c>
      <c r="R11" s="2">
        <v>5.609141E-4</v>
      </c>
      <c r="S11" s="2">
        <v>6.117564E-4</v>
      </c>
    </row>
    <row r="12" ht="14.25" hidden="1" customHeight="1">
      <c r="A12" s="1" t="s">
        <v>5</v>
      </c>
      <c r="B12" s="1" t="s">
        <v>6</v>
      </c>
      <c r="C12" s="1" t="s">
        <v>17</v>
      </c>
      <c r="D12" s="1" t="s">
        <v>16</v>
      </c>
      <c r="E12" s="2">
        <v>1.04863E-5</v>
      </c>
      <c r="F12" s="2">
        <v>3.2422E-5</v>
      </c>
      <c r="G12" s="2">
        <v>8.50873E-6</v>
      </c>
      <c r="H12" s="2">
        <v>9.70944E-6</v>
      </c>
      <c r="I12" s="2">
        <v>8.45657E-6</v>
      </c>
      <c r="J12" s="2">
        <v>1.3660692E-5</v>
      </c>
      <c r="K12" s="2">
        <v>1.522204E-5</v>
      </c>
      <c r="L12" s="2">
        <v>1.7015056E-5</v>
      </c>
      <c r="M12" s="2">
        <v>1.9003287E-5</v>
      </c>
      <c r="N12" s="2">
        <v>2.1091728E-5</v>
      </c>
      <c r="O12" s="2">
        <v>2.4063888E-5</v>
      </c>
      <c r="P12" s="2">
        <v>2.7563253E-5</v>
      </c>
      <c r="Q12" s="2">
        <v>3.1463682E-5</v>
      </c>
      <c r="R12" s="2">
        <v>3.5543503E-5</v>
      </c>
      <c r="S12" s="2">
        <v>3.9765171E-5</v>
      </c>
    </row>
    <row r="13" ht="14.25" hidden="1" customHeight="1">
      <c r="A13" s="1" t="s">
        <v>5</v>
      </c>
      <c r="B13" s="1" t="s">
        <v>6</v>
      </c>
      <c r="C13" s="1" t="s">
        <v>17</v>
      </c>
      <c r="D13" s="1" t="s">
        <v>18</v>
      </c>
      <c r="E13" s="2">
        <v>1.92385E-4</v>
      </c>
      <c r="F13" s="2">
        <v>5.985E-4</v>
      </c>
      <c r="G13" s="2">
        <v>1.56885E-4</v>
      </c>
      <c r="H13" s="2">
        <v>7.50029E-5</v>
      </c>
      <c r="I13" s="2">
        <v>5.5763E-5</v>
      </c>
      <c r="J13" s="2">
        <v>1.495333E-4</v>
      </c>
      <c r="K13" s="2">
        <v>1.96942799999999E-4</v>
      </c>
      <c r="L13" s="2">
        <v>2.54867E-4</v>
      </c>
      <c r="M13" s="2">
        <v>3.019608E-4</v>
      </c>
      <c r="N13" s="2">
        <v>3.548429E-4</v>
      </c>
      <c r="O13" s="2">
        <v>4.0859357E-4</v>
      </c>
      <c r="P13" s="2">
        <v>4.609904E-4</v>
      </c>
      <c r="Q13" s="2">
        <v>5.120562E-4</v>
      </c>
      <c r="R13" s="2">
        <v>5.619553E-4</v>
      </c>
      <c r="S13" s="2">
        <v>6.083047E-4</v>
      </c>
    </row>
    <row r="14" ht="14.25" hidden="1" customHeight="1">
      <c r="A14" s="1" t="s">
        <v>5</v>
      </c>
      <c r="B14" s="1" t="s">
        <v>6</v>
      </c>
      <c r="C14" s="1" t="s">
        <v>17</v>
      </c>
      <c r="D14" s="1" t="s">
        <v>19</v>
      </c>
      <c r="E14" s="2">
        <v>8.7802E-5</v>
      </c>
      <c r="F14" s="2">
        <v>2.73201E-4</v>
      </c>
      <c r="G14" s="2">
        <v>7.16007E-5</v>
      </c>
      <c r="H14" s="2">
        <v>5.996964E-5</v>
      </c>
      <c r="I14" s="2">
        <v>1.27603E-5</v>
      </c>
      <c r="J14" s="2">
        <v>8.958667E-5</v>
      </c>
      <c r="K14" s="2">
        <v>1.1696983E-4</v>
      </c>
      <c r="L14" s="2">
        <v>1.50099399999999E-4</v>
      </c>
      <c r="M14" s="2">
        <v>1.810988E-4</v>
      </c>
      <c r="N14" s="2">
        <v>2.158431E-4</v>
      </c>
      <c r="O14" s="2">
        <v>2.554813E-4</v>
      </c>
      <c r="P14" s="2">
        <v>2.978679E-4</v>
      </c>
      <c r="Q14" s="2">
        <v>3.419945E-4</v>
      </c>
      <c r="R14" s="2">
        <v>3.861032E-4</v>
      </c>
      <c r="S14" s="2">
        <v>4.305062E-4</v>
      </c>
    </row>
    <row r="15" ht="14.25" hidden="1" customHeight="1">
      <c r="A15" s="1" t="s">
        <v>5</v>
      </c>
      <c r="B15" s="1" t="s">
        <v>6</v>
      </c>
      <c r="C15" s="1" t="s">
        <v>17</v>
      </c>
      <c r="D15" s="1" t="s">
        <v>8</v>
      </c>
      <c r="E15" s="2">
        <v>3.96847E-5</v>
      </c>
      <c r="F15" s="2">
        <v>1.23625E-4</v>
      </c>
      <c r="G15" s="2">
        <v>3.23892E-5</v>
      </c>
      <c r="H15" s="2">
        <v>4.2332E-5</v>
      </c>
      <c r="I15" s="2">
        <v>2.9864028025E-5</v>
      </c>
      <c r="J15" s="2">
        <v>1.454199E-4</v>
      </c>
      <c r="K15" s="2">
        <v>2.14521349999999E-4</v>
      </c>
      <c r="L15" s="2">
        <v>2.935116E-4</v>
      </c>
      <c r="M15" s="2">
        <v>3.691856E-4</v>
      </c>
      <c r="N15" s="2">
        <v>4.393105E-4</v>
      </c>
      <c r="O15" s="2">
        <v>5.179354E-4</v>
      </c>
      <c r="P15" s="2">
        <v>6.0045E-4</v>
      </c>
      <c r="Q15" s="2">
        <v>6.852151E-4</v>
      </c>
      <c r="R15" s="2">
        <v>7.688056E-4</v>
      </c>
      <c r="S15" s="2">
        <v>8.518997E-4</v>
      </c>
    </row>
    <row r="16" ht="14.25" hidden="1" customHeight="1">
      <c r="A16" s="1" t="s">
        <v>5</v>
      </c>
      <c r="B16" s="1" t="s">
        <v>6</v>
      </c>
      <c r="C16" s="1" t="s">
        <v>17</v>
      </c>
      <c r="D16" s="1" t="s">
        <v>20</v>
      </c>
      <c r="E16" s="2">
        <v>2.94737E-5</v>
      </c>
      <c r="F16" s="2">
        <v>9.10526E-5</v>
      </c>
      <c r="G16" s="2">
        <v>2.36842E-5</v>
      </c>
      <c r="H16" s="2">
        <v>1.92626E-5</v>
      </c>
      <c r="I16" s="2">
        <v>8.27807E-6</v>
      </c>
      <c r="J16" s="2">
        <v>3.068525E-5</v>
      </c>
      <c r="K16" s="2">
        <v>4.07341E-5</v>
      </c>
      <c r="L16" s="2">
        <v>5.21519E-5</v>
      </c>
      <c r="M16" s="2">
        <v>6.24570499999999E-5</v>
      </c>
      <c r="N16" s="2">
        <v>7.40887E-5</v>
      </c>
      <c r="O16" s="2">
        <v>8.71745E-5</v>
      </c>
      <c r="P16" s="2">
        <v>1.009412E-4</v>
      </c>
      <c r="Q16" s="2">
        <v>1.15152299999999E-4</v>
      </c>
      <c r="R16" s="2">
        <v>1.291827E-4</v>
      </c>
      <c r="S16" s="2">
        <v>1.431055E-4</v>
      </c>
    </row>
    <row r="17" ht="14.25" hidden="1" customHeight="1">
      <c r="A17" s="1" t="s">
        <v>5</v>
      </c>
      <c r="B17" s="1" t="s">
        <v>6</v>
      </c>
      <c r="C17" s="1" t="s">
        <v>21</v>
      </c>
      <c r="D17" s="1" t="s">
        <v>10</v>
      </c>
      <c r="E17" s="2">
        <v>7.19017E-6</v>
      </c>
      <c r="F17" s="2">
        <v>2.25034E-5</v>
      </c>
      <c r="G17" s="2">
        <v>3.90496E-5</v>
      </c>
      <c r="H17" s="2">
        <v>2.723654E-5</v>
      </c>
      <c r="I17" s="2">
        <v>1.6728997E-5</v>
      </c>
      <c r="J17" s="2">
        <v>1.45899525E-5</v>
      </c>
      <c r="K17" s="2">
        <v>2.10484288E-5</v>
      </c>
      <c r="L17" s="2">
        <v>3.7842779E-5</v>
      </c>
      <c r="M17" s="2">
        <v>5.11867103E-5</v>
      </c>
      <c r="N17" s="2">
        <v>5.763277E-5</v>
      </c>
      <c r="O17" s="2">
        <v>5.833554E-5</v>
      </c>
      <c r="P17" s="2">
        <v>6.14467199999999E-5</v>
      </c>
      <c r="Q17" s="2">
        <v>6.335601E-5</v>
      </c>
      <c r="R17" s="2">
        <v>6.36103199999999E-5</v>
      </c>
      <c r="S17" s="2">
        <v>6.268562E-5</v>
      </c>
    </row>
    <row r="18" ht="14.25" hidden="1" customHeight="1">
      <c r="A18" s="1" t="s">
        <v>5</v>
      </c>
      <c r="B18" s="1" t="s">
        <v>6</v>
      </c>
      <c r="C18" s="1" t="s">
        <v>21</v>
      </c>
      <c r="D18" s="1" t="s">
        <v>11</v>
      </c>
      <c r="E18" s="2">
        <v>3.6054E-6</v>
      </c>
      <c r="F18" s="2">
        <v>1.12196E-5</v>
      </c>
      <c r="G18" s="2">
        <v>1.94682E-5</v>
      </c>
      <c r="H18" s="2">
        <v>1.98303E-5</v>
      </c>
      <c r="I18" s="2">
        <v>2.862231E-5</v>
      </c>
      <c r="J18" s="2">
        <v>3.26074E-5</v>
      </c>
      <c r="K18" s="2">
        <v>3.095394E-5</v>
      </c>
      <c r="L18" s="2">
        <v>2.83884299999999E-5</v>
      </c>
      <c r="M18" s="2">
        <v>2.770981E-5</v>
      </c>
      <c r="N18" s="2">
        <v>2.303845E-5</v>
      </c>
      <c r="O18" s="2">
        <v>1.950858E-5</v>
      </c>
      <c r="P18" s="2">
        <v>1.786229E-5</v>
      </c>
      <c r="Q18" s="2">
        <v>1.678537E-5</v>
      </c>
      <c r="R18" s="2">
        <v>1.57016399999999E-5</v>
      </c>
      <c r="S18" s="2">
        <v>1.472144E-5</v>
      </c>
    </row>
    <row r="19" ht="14.25" hidden="1" customHeight="1">
      <c r="A19" s="1" t="s">
        <v>5</v>
      </c>
      <c r="B19" s="1" t="s">
        <v>6</v>
      </c>
      <c r="C19" s="1" t="s">
        <v>21</v>
      </c>
      <c r="D19" s="1" t="s">
        <v>22</v>
      </c>
      <c r="E19" s="2">
        <v>3.6E-6</v>
      </c>
      <c r="F19" s="2">
        <v>1.12E-5</v>
      </c>
      <c r="G19" s="2">
        <v>1.95E-5</v>
      </c>
      <c r="H19" s="2">
        <v>1.42511099999999E-5</v>
      </c>
      <c r="I19" s="2">
        <v>1.066638E-5</v>
      </c>
      <c r="J19" s="2">
        <v>2.12166299999999E-5</v>
      </c>
      <c r="K19" s="2">
        <v>1.524476E-5</v>
      </c>
      <c r="L19" s="2">
        <v>1.50495699999999E-5</v>
      </c>
      <c r="M19" s="2">
        <v>1.253595E-5</v>
      </c>
      <c r="N19" s="2">
        <v>1.241876E-5</v>
      </c>
      <c r="O19" s="2">
        <v>1.22697999999999E-5</v>
      </c>
      <c r="P19" s="2">
        <v>1.232824E-5</v>
      </c>
      <c r="Q19" s="2">
        <v>1.22147299999999E-5</v>
      </c>
      <c r="R19" s="2">
        <v>1.19775499999999E-5</v>
      </c>
      <c r="S19" s="2">
        <v>1.161994E-5</v>
      </c>
    </row>
    <row r="20" ht="14.25" hidden="1" customHeight="1">
      <c r="A20" s="1" t="s">
        <v>5</v>
      </c>
      <c r="B20" s="1" t="s">
        <v>6</v>
      </c>
      <c r="C20" s="1" t="s">
        <v>21</v>
      </c>
      <c r="D20" s="1" t="s">
        <v>23</v>
      </c>
      <c r="E20" s="2">
        <v>3.608319E-6</v>
      </c>
      <c r="F20" s="2">
        <v>1.120991E-5</v>
      </c>
      <c r="G20" s="2">
        <v>1.949608E-5</v>
      </c>
      <c r="H20" s="2">
        <v>1.104514E-5</v>
      </c>
      <c r="I20" s="2">
        <v>1.263097E-5</v>
      </c>
      <c r="J20" s="2">
        <v>2.5472875E-5</v>
      </c>
      <c r="K20" s="2">
        <v>1.669668E-5</v>
      </c>
      <c r="L20" s="2">
        <v>1.82491499999999E-5</v>
      </c>
      <c r="M20" s="2">
        <v>1.767271E-5</v>
      </c>
      <c r="N20" s="2">
        <v>1.76945999999999E-5</v>
      </c>
      <c r="O20" s="2">
        <v>1.773792E-5</v>
      </c>
      <c r="P20" s="2">
        <v>1.970298E-5</v>
      </c>
      <c r="Q20" s="2">
        <v>2.15224299999999E-5</v>
      </c>
      <c r="R20" s="2">
        <v>2.312013E-5</v>
      </c>
      <c r="S20" s="2">
        <v>2.45511E-5</v>
      </c>
    </row>
    <row r="21" ht="14.25" hidden="1" customHeight="1">
      <c r="A21" s="1" t="s">
        <v>5</v>
      </c>
      <c r="B21" s="1" t="s">
        <v>6</v>
      </c>
      <c r="C21" s="1" t="s">
        <v>21</v>
      </c>
      <c r="D21" s="1" t="s">
        <v>24</v>
      </c>
      <c r="E21" s="2">
        <v>2.200246E-6</v>
      </c>
      <c r="F21" s="2">
        <v>6.69591E-6</v>
      </c>
      <c r="G21" s="2">
        <v>1.17008099999999E-5</v>
      </c>
      <c r="H21" s="2">
        <v>9.70971E-6</v>
      </c>
      <c r="I21" s="2">
        <v>8.0377E-6</v>
      </c>
      <c r="J21" s="2">
        <v>9.91599399999999E-6</v>
      </c>
      <c r="K21" s="2">
        <v>8.69956E-6</v>
      </c>
      <c r="L21" s="2">
        <v>8.78651E-6</v>
      </c>
      <c r="M21" s="2">
        <v>8.57458E-6</v>
      </c>
      <c r="N21" s="2">
        <v>8.27118999999999E-6</v>
      </c>
      <c r="O21" s="2">
        <v>8.02403E-6</v>
      </c>
      <c r="P21" s="2">
        <v>8.10698E-6</v>
      </c>
      <c r="Q21" s="2">
        <v>8.05157E-6</v>
      </c>
      <c r="R21" s="2">
        <v>7.86904999999999E-6</v>
      </c>
      <c r="S21" s="2">
        <v>7.61452E-6</v>
      </c>
    </row>
    <row r="22" ht="14.25" hidden="1" customHeight="1">
      <c r="A22" s="1" t="s">
        <v>5</v>
      </c>
      <c r="B22" s="1" t="s">
        <v>6</v>
      </c>
      <c r="C22" s="1" t="s">
        <v>21</v>
      </c>
      <c r="D22" s="1" t="s">
        <v>12</v>
      </c>
      <c r="E22" s="2">
        <v>3.93632E-7</v>
      </c>
      <c r="F22" s="2">
        <v>1.07675E-6</v>
      </c>
      <c r="G22" s="2">
        <v>1.9E-6</v>
      </c>
      <c r="H22" s="2">
        <v>4.39046E-7</v>
      </c>
      <c r="I22" s="2">
        <v>1.14583E-6</v>
      </c>
      <c r="J22" s="2">
        <v>1.99083E-6</v>
      </c>
      <c r="K22" s="2">
        <v>1.36998E-6</v>
      </c>
      <c r="L22" s="2">
        <v>1.29234E-6</v>
      </c>
      <c r="M22" s="2">
        <v>1.0384E-6</v>
      </c>
      <c r="N22" s="2">
        <v>1.02151E-6</v>
      </c>
      <c r="O22" s="2">
        <v>1.00273E-6</v>
      </c>
      <c r="P22" s="2">
        <v>9.91243E-7</v>
      </c>
      <c r="Q22" s="2">
        <v>9.71125E-7</v>
      </c>
      <c r="R22" s="2">
        <v>9.44963E-7</v>
      </c>
      <c r="S22" s="2">
        <v>9.12164E-7</v>
      </c>
    </row>
    <row r="23" ht="14.25" hidden="1" customHeight="1">
      <c r="A23" s="1" t="s">
        <v>5</v>
      </c>
      <c r="B23" s="1" t="s">
        <v>6</v>
      </c>
      <c r="C23" s="1" t="s">
        <v>21</v>
      </c>
      <c r="D23" s="1" t="s">
        <v>13</v>
      </c>
      <c r="E23" s="2">
        <v>1.36207E-5</v>
      </c>
      <c r="F23" s="2">
        <v>4.21699E-5</v>
      </c>
      <c r="G23" s="2">
        <v>6.64377E-5</v>
      </c>
      <c r="H23" s="2">
        <v>6.12506E-5</v>
      </c>
      <c r="I23" s="2">
        <v>4.44888E-5</v>
      </c>
      <c r="J23" s="2">
        <v>7.954029E-5</v>
      </c>
      <c r="K23" s="2">
        <v>1.1985831E-4</v>
      </c>
      <c r="L23" s="2">
        <v>1.771487E-4</v>
      </c>
      <c r="M23" s="2">
        <v>2.336231E-4</v>
      </c>
      <c r="N23" s="2">
        <v>3.016798E-4</v>
      </c>
      <c r="O23" s="2">
        <v>3.73567E-4</v>
      </c>
      <c r="P23" s="2">
        <v>4.441525E-4</v>
      </c>
      <c r="Q23" s="2">
        <v>5.152346E-4</v>
      </c>
      <c r="R23" s="2">
        <v>5.837855E-4</v>
      </c>
      <c r="S23" s="2">
        <v>6.510037E-4</v>
      </c>
    </row>
    <row r="24" ht="14.25" hidden="1" customHeight="1">
      <c r="A24" s="1" t="s">
        <v>5</v>
      </c>
      <c r="B24" s="1" t="s">
        <v>6</v>
      </c>
      <c r="C24" s="1" t="s">
        <v>21</v>
      </c>
      <c r="D24" s="1" t="s">
        <v>14</v>
      </c>
      <c r="E24" s="2">
        <v>6.7874E-6</v>
      </c>
      <c r="F24" s="2">
        <v>2.11047E-5</v>
      </c>
      <c r="G24" s="2">
        <v>3.31952E-5</v>
      </c>
      <c r="H24" s="2">
        <v>4.57964E-5</v>
      </c>
      <c r="I24" s="2">
        <v>1.013943E-4</v>
      </c>
      <c r="J24" s="2">
        <v>1.127653E-4</v>
      </c>
      <c r="K24" s="2">
        <v>7.06500999999999E-5</v>
      </c>
      <c r="L24" s="2">
        <v>4.79275E-5</v>
      </c>
      <c r="M24" s="2">
        <v>4.57136E-5</v>
      </c>
      <c r="N24" s="2">
        <v>4.49548E-5</v>
      </c>
      <c r="O24" s="2">
        <v>4.94232E-5</v>
      </c>
      <c r="P24" s="2">
        <v>5.70945E-5</v>
      </c>
      <c r="Q24" s="2">
        <v>6.30771999999999E-5</v>
      </c>
      <c r="R24" s="2">
        <v>6.74805E-5</v>
      </c>
      <c r="S24" s="2">
        <v>7.19262E-5</v>
      </c>
    </row>
    <row r="25" ht="14.25" hidden="1" customHeight="1">
      <c r="A25" s="1" t="s">
        <v>5</v>
      </c>
      <c r="B25" s="1" t="s">
        <v>6</v>
      </c>
      <c r="C25" s="1" t="s">
        <v>21</v>
      </c>
      <c r="D25" s="1" t="s">
        <v>25</v>
      </c>
      <c r="E25" s="2">
        <v>6.8E-6</v>
      </c>
      <c r="F25" s="2">
        <v>2.11E-5</v>
      </c>
      <c r="G25" s="2">
        <v>3.32E-5</v>
      </c>
      <c r="H25" s="2">
        <v>2.04718E-5</v>
      </c>
      <c r="I25" s="2">
        <v>2.64911849999999E-5</v>
      </c>
      <c r="J25" s="2">
        <v>3.11795E-5</v>
      </c>
      <c r="K25" s="2">
        <v>2.46060499999999E-5</v>
      </c>
      <c r="L25" s="2">
        <v>2.368849E-5</v>
      </c>
      <c r="M25" s="2">
        <v>1.8871E-5</v>
      </c>
      <c r="N25" s="2">
        <v>2.242054E-5</v>
      </c>
      <c r="O25" s="2">
        <v>2.662212E-5</v>
      </c>
      <c r="P25" s="2">
        <v>3.142567E-5</v>
      </c>
      <c r="Q25" s="2">
        <v>3.63339E-5</v>
      </c>
      <c r="R25" s="2">
        <v>4.11152999999999E-5</v>
      </c>
      <c r="S25" s="2">
        <v>4.55912E-5</v>
      </c>
    </row>
    <row r="26" ht="14.25" hidden="1" customHeight="1">
      <c r="A26" s="1" t="s">
        <v>5</v>
      </c>
      <c r="B26" s="1" t="s">
        <v>6</v>
      </c>
      <c r="C26" s="1" t="s">
        <v>21</v>
      </c>
      <c r="D26" s="1" t="s">
        <v>26</v>
      </c>
      <c r="E26" s="2">
        <v>6.79571E-6</v>
      </c>
      <c r="F26" s="2">
        <v>2.110379E-5</v>
      </c>
      <c r="G26" s="2">
        <v>3.320875E-5</v>
      </c>
      <c r="H26" s="2">
        <v>1.91382799999999E-5</v>
      </c>
      <c r="I26" s="2">
        <v>2.065545E-5</v>
      </c>
      <c r="J26" s="2">
        <v>3.242135E-5</v>
      </c>
      <c r="K26" s="2">
        <v>2.60426599999999E-5</v>
      </c>
      <c r="L26" s="2">
        <v>2.776236E-5</v>
      </c>
      <c r="M26" s="2">
        <v>2.407519E-5</v>
      </c>
      <c r="N26" s="2">
        <v>3.23031E-5</v>
      </c>
      <c r="O26" s="2">
        <v>4.30361499999999E-5</v>
      </c>
      <c r="P26" s="2">
        <v>5.641708E-5</v>
      </c>
      <c r="Q26" s="2">
        <v>7.18415E-5</v>
      </c>
      <c r="R26" s="2">
        <v>8.91269E-5</v>
      </c>
      <c r="S26" s="2">
        <v>1.08148899999999E-4</v>
      </c>
    </row>
    <row r="27" ht="14.25" hidden="1" customHeight="1">
      <c r="A27" s="1" t="s">
        <v>5</v>
      </c>
      <c r="B27" s="1" t="s">
        <v>6</v>
      </c>
      <c r="C27" s="1" t="s">
        <v>21</v>
      </c>
      <c r="D27" s="1" t="s">
        <v>27</v>
      </c>
      <c r="E27" s="2">
        <v>5.40387E-6</v>
      </c>
      <c r="F27" s="2">
        <v>1.689602E-5</v>
      </c>
      <c r="G27" s="2">
        <v>2.650246E-5</v>
      </c>
      <c r="H27" s="2">
        <v>2.322667E-5</v>
      </c>
      <c r="I27" s="2">
        <v>2.507378E-5</v>
      </c>
      <c r="J27" s="2">
        <v>4.232454E-5</v>
      </c>
      <c r="K27" s="2">
        <v>4.88019E-5</v>
      </c>
      <c r="L27" s="2">
        <v>6.005451E-5</v>
      </c>
      <c r="M27" s="2">
        <v>6.92494699999999E-5</v>
      </c>
      <c r="N27" s="2">
        <v>8.161675E-5</v>
      </c>
      <c r="O27" s="2">
        <v>9.36572E-5</v>
      </c>
      <c r="P27" s="2">
        <v>1.077272E-4</v>
      </c>
      <c r="Q27" s="2">
        <v>1.224655E-4</v>
      </c>
      <c r="R27" s="2">
        <v>1.364747E-4</v>
      </c>
      <c r="S27" s="2">
        <v>1.503874E-4</v>
      </c>
    </row>
    <row r="28" ht="14.25" hidden="1" customHeight="1">
      <c r="A28" s="1" t="s">
        <v>5</v>
      </c>
      <c r="B28" s="1" t="s">
        <v>6</v>
      </c>
      <c r="C28" s="1" t="s">
        <v>21</v>
      </c>
      <c r="D28" s="1" t="s">
        <v>28</v>
      </c>
      <c r="E28" s="2">
        <v>7.0E-7</v>
      </c>
      <c r="F28" s="2">
        <v>2.1E-6</v>
      </c>
      <c r="G28" s="2">
        <v>3.3E-6</v>
      </c>
      <c r="H28" s="2">
        <v>2.1368E-6</v>
      </c>
      <c r="I28" s="2">
        <v>2.25547E-6</v>
      </c>
      <c r="J28" s="2">
        <v>2.85306E-6</v>
      </c>
      <c r="K28" s="2">
        <v>2.42552E-6</v>
      </c>
      <c r="L28" s="2">
        <v>2.20818E-6</v>
      </c>
      <c r="M28" s="2">
        <v>1.6999E-6</v>
      </c>
      <c r="N28" s="2">
        <v>1.93629E-6</v>
      </c>
      <c r="O28" s="2">
        <v>2.23969E-6</v>
      </c>
      <c r="P28" s="2">
        <v>2.59042E-6</v>
      </c>
      <c r="Q28" s="2">
        <v>2.95672E-6</v>
      </c>
      <c r="R28" s="2">
        <v>3.31634E-6</v>
      </c>
      <c r="S28" s="2">
        <v>3.65563E-6</v>
      </c>
    </row>
    <row r="29" ht="14.25" hidden="1" customHeight="1">
      <c r="A29" s="1" t="s">
        <v>5</v>
      </c>
      <c r="B29" s="1" t="s">
        <v>6</v>
      </c>
      <c r="C29" s="1" t="s">
        <v>29</v>
      </c>
      <c r="D29" s="1" t="s">
        <v>16</v>
      </c>
      <c r="E29" s="2">
        <v>5.49284E-6</v>
      </c>
      <c r="F29" s="2">
        <v>1.05745E-5</v>
      </c>
      <c r="G29" s="2">
        <v>3.95406E-5</v>
      </c>
      <c r="H29" s="2">
        <v>3.05659849E-5</v>
      </c>
      <c r="I29" s="2">
        <v>2.64528351999999E-5</v>
      </c>
      <c r="J29" s="2">
        <v>2.25719209E-5</v>
      </c>
      <c r="K29" s="2">
        <v>1.97189645E-5</v>
      </c>
      <c r="L29" s="2">
        <v>1.80489110999999E-5</v>
      </c>
      <c r="M29" s="2">
        <v>1.256305374E-5</v>
      </c>
      <c r="N29" s="2">
        <v>1.51511649999999E-5</v>
      </c>
      <c r="O29" s="2">
        <v>1.8487217E-5</v>
      </c>
      <c r="P29" s="2">
        <v>2.2437158E-5</v>
      </c>
      <c r="Q29" s="2">
        <v>2.6907813E-5</v>
      </c>
      <c r="R29" s="2">
        <v>3.1761643E-5</v>
      </c>
      <c r="S29" s="2">
        <v>3.6589256E-5</v>
      </c>
    </row>
    <row r="30" ht="14.25" hidden="1" customHeight="1">
      <c r="A30" s="1" t="s">
        <v>5</v>
      </c>
      <c r="B30" s="1" t="s">
        <v>6</v>
      </c>
      <c r="C30" s="1" t="s">
        <v>29</v>
      </c>
      <c r="D30" s="1" t="s">
        <v>8</v>
      </c>
      <c r="E30" s="2">
        <v>1.09958E-5</v>
      </c>
      <c r="F30" s="2">
        <v>2.11043E-5</v>
      </c>
      <c r="G30" s="2">
        <v>7.89736E-5</v>
      </c>
      <c r="H30" s="2">
        <v>6.096042745E-5</v>
      </c>
      <c r="I30" s="2">
        <v>5.398112994E-5</v>
      </c>
      <c r="J30" s="2">
        <v>4.306490326E-5</v>
      </c>
      <c r="K30" s="2">
        <v>3.2010932726E-5</v>
      </c>
      <c r="L30" s="2">
        <v>2.2683259196E-5</v>
      </c>
      <c r="M30" s="2">
        <v>5.017089507E-6</v>
      </c>
      <c r="N30" s="2">
        <v>5.513006E-6</v>
      </c>
      <c r="O30" s="2">
        <v>5.981841E-6</v>
      </c>
      <c r="P30" s="2">
        <v>6.75143699999999E-6</v>
      </c>
      <c r="Q30" s="2">
        <v>7.594688E-6</v>
      </c>
      <c r="R30" s="2">
        <v>8.448072E-6</v>
      </c>
      <c r="S30" s="2">
        <v>9.274733E-6</v>
      </c>
    </row>
    <row r="31" ht="14.25" hidden="1" customHeight="1">
      <c r="A31" s="1" t="s">
        <v>5</v>
      </c>
      <c r="B31" s="1" t="s">
        <v>6</v>
      </c>
      <c r="C31" s="1" t="s">
        <v>29</v>
      </c>
      <c r="D31" s="1" t="s">
        <v>10</v>
      </c>
      <c r="E31" s="2">
        <v>1.89741E-5</v>
      </c>
      <c r="F31" s="2">
        <v>3.65055E-5</v>
      </c>
      <c r="G31" s="2">
        <v>3.26414E-5</v>
      </c>
      <c r="H31" s="2">
        <v>1.032966E-4</v>
      </c>
      <c r="I31" s="2">
        <v>7.16818E-5</v>
      </c>
      <c r="J31" s="2">
        <v>7.25431997E-5</v>
      </c>
      <c r="K31" s="2">
        <v>5.71915072E-5</v>
      </c>
      <c r="L31" s="2">
        <v>4.155857006E-5</v>
      </c>
      <c r="M31" s="2">
        <v>2.569169986E-5</v>
      </c>
      <c r="N31" s="2">
        <v>1.567714967E-5</v>
      </c>
      <c r="O31" s="2">
        <v>1.44010525699999E-5</v>
      </c>
      <c r="P31" s="2">
        <v>1.29480189999999E-5</v>
      </c>
      <c r="Q31" s="2">
        <v>1.140083E-5</v>
      </c>
      <c r="R31" s="2">
        <v>1.0315979E-5</v>
      </c>
      <c r="S31" s="2">
        <v>9.55704099999999E-6</v>
      </c>
    </row>
    <row r="32" ht="14.25" hidden="1" customHeight="1">
      <c r="A32" s="1" t="s">
        <v>5</v>
      </c>
      <c r="B32" s="1" t="s">
        <v>6</v>
      </c>
      <c r="C32" s="1" t="s">
        <v>29</v>
      </c>
      <c r="D32" s="1" t="s">
        <v>11</v>
      </c>
      <c r="E32" s="2">
        <v>6.46968E-5</v>
      </c>
      <c r="F32" s="2">
        <v>1.24217E-4</v>
      </c>
      <c r="G32" s="2">
        <v>1.10619E-4</v>
      </c>
      <c r="H32" s="2">
        <v>8.54063401E-5</v>
      </c>
      <c r="I32" s="2">
        <v>7.28476086E-5</v>
      </c>
      <c r="J32" s="2">
        <v>5.77430167E-5</v>
      </c>
      <c r="K32" s="2">
        <v>4.9208883E-5</v>
      </c>
      <c r="L32" s="2">
        <v>4.338588133E-5</v>
      </c>
      <c r="M32" s="2">
        <v>2.660807149E-5</v>
      </c>
      <c r="N32" s="2">
        <v>3.1032846E-5</v>
      </c>
      <c r="O32" s="2">
        <v>3.37173279999999E-5</v>
      </c>
      <c r="P32" s="2">
        <v>3.442616E-5</v>
      </c>
      <c r="Q32" s="2">
        <v>3.426355E-5</v>
      </c>
      <c r="R32" s="2">
        <v>3.384056E-5</v>
      </c>
      <c r="S32" s="2">
        <v>3.318604E-5</v>
      </c>
    </row>
    <row r="33" ht="14.25" hidden="1" customHeight="1">
      <c r="A33" s="1" t="s">
        <v>5</v>
      </c>
      <c r="B33" s="1" t="s">
        <v>6</v>
      </c>
      <c r="C33" s="1" t="s">
        <v>29</v>
      </c>
      <c r="D33" s="1" t="s">
        <v>13</v>
      </c>
      <c r="E33" s="2">
        <v>2.07315E-5</v>
      </c>
      <c r="F33" s="2">
        <v>3.97716E-5</v>
      </c>
      <c r="G33" s="2">
        <v>5.26299E-5</v>
      </c>
      <c r="H33" s="2">
        <v>8.85380999999999E-5</v>
      </c>
      <c r="I33" s="2">
        <v>7.51165E-5</v>
      </c>
      <c r="J33" s="2">
        <v>6.972513E-5</v>
      </c>
      <c r="K33" s="2">
        <v>7.02490999999999E-5</v>
      </c>
      <c r="L33" s="2">
        <v>7.032877E-5</v>
      </c>
      <c r="M33" s="2">
        <v>6.333156E-5</v>
      </c>
      <c r="N33" s="2">
        <v>6.517706E-5</v>
      </c>
      <c r="O33" s="2">
        <v>7.099097E-5</v>
      </c>
      <c r="P33" s="2">
        <v>7.54250099999999E-5</v>
      </c>
      <c r="Q33" s="2">
        <v>8.106004E-5</v>
      </c>
      <c r="R33" s="2">
        <v>8.773972E-5</v>
      </c>
      <c r="S33" s="2">
        <v>9.466548E-5</v>
      </c>
    </row>
    <row r="34" ht="14.25" hidden="1" customHeight="1">
      <c r="A34" s="1" t="s">
        <v>5</v>
      </c>
      <c r="B34" s="1" t="s">
        <v>6</v>
      </c>
      <c r="C34" s="1" t="s">
        <v>29</v>
      </c>
      <c r="D34" s="1" t="s">
        <v>14</v>
      </c>
      <c r="E34" s="2">
        <v>1.40739E-4</v>
      </c>
      <c r="F34" s="2">
        <v>2.7076E-4</v>
      </c>
      <c r="G34" s="2">
        <v>3.57648E-4</v>
      </c>
      <c r="H34" s="2">
        <v>2.771282E-4</v>
      </c>
      <c r="I34" s="2">
        <v>2.44567444E-4</v>
      </c>
      <c r="J34" s="2">
        <v>2.0009061E-4</v>
      </c>
      <c r="K34" s="2">
        <v>1.7047268E-4</v>
      </c>
      <c r="L34" s="2">
        <v>1.427647E-4</v>
      </c>
      <c r="M34" s="2">
        <v>7.6590176E-5</v>
      </c>
      <c r="N34" s="2">
        <v>8.725838E-5</v>
      </c>
      <c r="O34" s="2">
        <v>1.0103949E-4</v>
      </c>
      <c r="P34" s="2">
        <v>1.17355419999999E-4</v>
      </c>
      <c r="Q34" s="2">
        <v>1.3546475E-4</v>
      </c>
      <c r="R34" s="2">
        <v>1.5504291E-4</v>
      </c>
      <c r="S34" s="2">
        <v>1.7411229E-4</v>
      </c>
    </row>
    <row r="35" ht="14.25" hidden="1" customHeight="1">
      <c r="A35" s="1" t="s">
        <v>5</v>
      </c>
      <c r="B35" s="1" t="s">
        <v>30</v>
      </c>
      <c r="C35" s="1" t="s">
        <v>7</v>
      </c>
      <c r="D35" s="1" t="s">
        <v>8</v>
      </c>
      <c r="E35" s="1">
        <v>0.0128675</v>
      </c>
      <c r="F35" s="1">
        <v>0.0163817</v>
      </c>
      <c r="G35" s="1">
        <v>0.0175315</v>
      </c>
      <c r="H35" s="1">
        <v>0.00114025</v>
      </c>
      <c r="I35" s="1">
        <v>0.00131827</v>
      </c>
      <c r="J35" s="2">
        <v>1.47713E-4</v>
      </c>
      <c r="K35" s="2">
        <v>9.99691E-5</v>
      </c>
      <c r="L35" s="2">
        <v>8.57717E-5</v>
      </c>
      <c r="M35" s="2">
        <v>5.70149E-5</v>
      </c>
      <c r="N35" s="2">
        <v>3.25742E-5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</row>
    <row r="36" ht="14.25" hidden="1" customHeight="1">
      <c r="A36" s="1" t="s">
        <v>5</v>
      </c>
      <c r="B36" s="1" t="s">
        <v>30</v>
      </c>
      <c r="C36" s="1" t="s">
        <v>9</v>
      </c>
      <c r="D36" s="1" t="s">
        <v>8</v>
      </c>
      <c r="E36" s="1">
        <v>0.00548009</v>
      </c>
      <c r="F36" s="1">
        <v>0.00480618</v>
      </c>
      <c r="G36" s="1">
        <v>0.0070688</v>
      </c>
      <c r="H36" s="2">
        <v>3.37965E-4</v>
      </c>
      <c r="I36" s="1">
        <v>0.0222006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</row>
    <row r="37" ht="14.25" hidden="1" customHeight="1">
      <c r="A37" s="1" t="s">
        <v>5</v>
      </c>
      <c r="B37" s="1" t="s">
        <v>30</v>
      </c>
      <c r="C37" s="1" t="s">
        <v>9</v>
      </c>
      <c r="D37" s="1" t="s">
        <v>10</v>
      </c>
      <c r="E37" s="1">
        <v>0.00252967</v>
      </c>
      <c r="F37" s="1">
        <v>0.00221858</v>
      </c>
      <c r="G37" s="2">
        <v>6.84395E-4</v>
      </c>
      <c r="H37" s="2">
        <v>1.11127E-6</v>
      </c>
      <c r="I37" s="1">
        <v>0.00390282</v>
      </c>
      <c r="J37" s="1">
        <v>0.0181535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</row>
    <row r="38" ht="14.25" hidden="1" customHeight="1">
      <c r="A38" s="1" t="s">
        <v>5</v>
      </c>
      <c r="B38" s="1" t="s">
        <v>30</v>
      </c>
      <c r="C38" s="1" t="s">
        <v>9</v>
      </c>
      <c r="D38" s="1" t="s">
        <v>11</v>
      </c>
      <c r="E38" s="1">
        <v>0.00252963</v>
      </c>
      <c r="F38" s="1">
        <v>0.00221861</v>
      </c>
      <c r="G38" s="2">
        <v>6.84405E-4</v>
      </c>
      <c r="H38" s="2">
        <v>4.44939E-4</v>
      </c>
      <c r="I38" s="2">
        <v>5.40691E-7</v>
      </c>
      <c r="J38" s="2">
        <v>2.39418E-6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</row>
    <row r="39" ht="14.25" hidden="1" customHeight="1">
      <c r="A39" s="1" t="s">
        <v>5</v>
      </c>
      <c r="B39" s="1" t="s">
        <v>30</v>
      </c>
      <c r="C39" s="1" t="s">
        <v>9</v>
      </c>
      <c r="D39" s="1" t="s">
        <v>12</v>
      </c>
      <c r="E39" s="2">
        <v>2.52891E-4</v>
      </c>
      <c r="F39" s="2">
        <v>2.21786E-4</v>
      </c>
      <c r="G39" s="2">
        <v>6.84353E-5</v>
      </c>
      <c r="H39" s="2">
        <v>9.04954E-5</v>
      </c>
      <c r="I39" s="2">
        <v>5.51004E-5</v>
      </c>
      <c r="J39" s="2">
        <v>1.37568E-5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</row>
    <row r="40" ht="14.25" hidden="1" customHeight="1">
      <c r="A40" s="1" t="s">
        <v>5</v>
      </c>
      <c r="B40" s="1" t="s">
        <v>30</v>
      </c>
      <c r="C40" s="1" t="s">
        <v>9</v>
      </c>
      <c r="D40" s="1" t="s">
        <v>13</v>
      </c>
      <c r="E40" s="1">
        <v>0.0</v>
      </c>
      <c r="F40" s="1">
        <v>0.0</v>
      </c>
      <c r="G40" s="1">
        <v>0.0</v>
      </c>
      <c r="H40" s="1">
        <v>0.00270549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</row>
    <row r="41" ht="14.25" hidden="1" customHeight="1">
      <c r="A41" s="1" t="s">
        <v>5</v>
      </c>
      <c r="B41" s="1" t="s">
        <v>30</v>
      </c>
      <c r="C41" s="1" t="s">
        <v>9</v>
      </c>
      <c r="D41" s="1" t="s">
        <v>14</v>
      </c>
      <c r="E41" s="1">
        <v>0.0</v>
      </c>
      <c r="F41" s="1">
        <v>0.0</v>
      </c>
      <c r="G41" s="1">
        <v>0.0</v>
      </c>
      <c r="H41" s="2">
        <v>1.35714E-4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</row>
    <row r="42" ht="14.25" hidden="1" customHeight="1">
      <c r="A42" s="1" t="s">
        <v>5</v>
      </c>
      <c r="B42" s="1" t="s">
        <v>30</v>
      </c>
      <c r="C42" s="1" t="s">
        <v>15</v>
      </c>
      <c r="D42" s="1" t="s">
        <v>16</v>
      </c>
      <c r="E42" s="1">
        <v>0.0</v>
      </c>
      <c r="F42" s="1">
        <v>0.0</v>
      </c>
      <c r="G42" s="1">
        <v>0.0</v>
      </c>
      <c r="H42" s="1">
        <v>0.0</v>
      </c>
      <c r="I42" s="1">
        <v>0.00327089</v>
      </c>
      <c r="J42" s="1">
        <v>0.00699504</v>
      </c>
      <c r="K42" s="1">
        <v>0.01135722</v>
      </c>
      <c r="L42" s="1">
        <v>0.0165954099999999</v>
      </c>
      <c r="M42" s="1">
        <v>0.023363983</v>
      </c>
      <c r="N42" s="1">
        <v>0.0294451599999999</v>
      </c>
      <c r="O42" s="1">
        <v>0.035579059</v>
      </c>
      <c r="P42" s="1">
        <v>0.042027604</v>
      </c>
      <c r="Q42" s="1">
        <v>0.048456239</v>
      </c>
      <c r="R42" s="1">
        <v>0.05476702</v>
      </c>
      <c r="S42" s="1">
        <v>0.0609933499999999</v>
      </c>
    </row>
    <row r="43" ht="14.25" customHeight="1">
      <c r="A43" s="1" t="s">
        <v>5</v>
      </c>
      <c r="B43" s="1" t="s">
        <v>30</v>
      </c>
      <c r="C43" s="1" t="s">
        <v>15</v>
      </c>
      <c r="D43" s="1" t="s">
        <v>14</v>
      </c>
      <c r="E43" s="1">
        <v>0.0</v>
      </c>
      <c r="F43" s="1">
        <v>0.0</v>
      </c>
      <c r="G43" s="1">
        <v>0.0</v>
      </c>
      <c r="H43" s="2">
        <v>6.97741E-5</v>
      </c>
      <c r="I43" s="2">
        <v>5.62240799999999E-4</v>
      </c>
      <c r="J43" s="1">
        <v>0.0061893338</v>
      </c>
      <c r="K43" s="1">
        <v>0.011344222</v>
      </c>
      <c r="L43" s="1">
        <v>0.0167983153</v>
      </c>
      <c r="M43" s="1">
        <v>0.02329607133</v>
      </c>
      <c r="N43" s="1">
        <v>0.0283534287</v>
      </c>
      <c r="O43" s="1">
        <v>0.033204131</v>
      </c>
      <c r="P43" s="1">
        <v>0.037122741</v>
      </c>
      <c r="Q43" s="1">
        <v>0.040920052</v>
      </c>
      <c r="R43" s="1">
        <v>0.0447022</v>
      </c>
      <c r="S43" s="1">
        <v>0.04851553</v>
      </c>
    </row>
    <row r="44" ht="14.25" hidden="1" customHeight="1">
      <c r="A44" s="1" t="s">
        <v>5</v>
      </c>
      <c r="B44" s="1" t="s">
        <v>30</v>
      </c>
      <c r="C44" s="1" t="s">
        <v>17</v>
      </c>
      <c r="D44" s="1" t="s">
        <v>16</v>
      </c>
      <c r="E44" s="2">
        <v>1.06998E-5</v>
      </c>
      <c r="F44" s="2">
        <v>3.33997E-5</v>
      </c>
      <c r="G44" s="2">
        <v>3.16002E-5</v>
      </c>
      <c r="H44" s="2">
        <v>1.439839E-4</v>
      </c>
      <c r="I44" s="2">
        <v>1.2558518E-4</v>
      </c>
      <c r="J44" s="2">
        <v>1.83543025E-4</v>
      </c>
      <c r="K44" s="2">
        <v>1.89860139E-4</v>
      </c>
      <c r="L44" s="2">
        <v>1.98263497999999E-4</v>
      </c>
      <c r="M44" s="2">
        <v>2.22116137E-4</v>
      </c>
      <c r="N44" s="2">
        <v>2.45257251E-4</v>
      </c>
      <c r="O44" s="2">
        <v>2.873303E-4</v>
      </c>
      <c r="P44" s="2">
        <v>3.3532823E-4</v>
      </c>
      <c r="Q44" s="2">
        <v>3.8487802E-4</v>
      </c>
      <c r="R44" s="2">
        <v>4.36194439999999E-4</v>
      </c>
      <c r="S44" s="2">
        <v>4.88436E-4</v>
      </c>
    </row>
    <row r="45" ht="14.25" hidden="1" customHeight="1">
      <c r="A45" s="1" t="s">
        <v>5</v>
      </c>
      <c r="B45" s="1" t="s">
        <v>30</v>
      </c>
      <c r="C45" s="1" t="s">
        <v>17</v>
      </c>
      <c r="D45" s="1" t="s">
        <v>18</v>
      </c>
      <c r="E45" s="1">
        <v>0.00316888</v>
      </c>
      <c r="F45" s="1">
        <v>0.00985831</v>
      </c>
      <c r="G45" s="1">
        <v>0.0093425</v>
      </c>
      <c r="H45" s="1">
        <v>0.005314</v>
      </c>
      <c r="I45" s="1">
        <v>0.00580117</v>
      </c>
      <c r="J45" s="1">
        <v>0.01128889</v>
      </c>
      <c r="K45" s="1">
        <v>0.01434628</v>
      </c>
      <c r="L45" s="1">
        <v>0.01770533</v>
      </c>
      <c r="M45" s="1">
        <v>0.02103977</v>
      </c>
      <c r="N45" s="1">
        <v>0.0245654</v>
      </c>
      <c r="O45" s="1">
        <v>0.0279648329999999</v>
      </c>
      <c r="P45" s="1">
        <v>0.0312437849999999</v>
      </c>
      <c r="Q45" s="1">
        <v>0.034377698</v>
      </c>
      <c r="R45" s="1">
        <v>0.037361223</v>
      </c>
      <c r="S45" s="1">
        <v>0.039973438</v>
      </c>
    </row>
    <row r="46" ht="14.25" hidden="1" customHeight="1">
      <c r="A46" s="1" t="s">
        <v>5</v>
      </c>
      <c r="B46" s="1" t="s">
        <v>30</v>
      </c>
      <c r="C46" s="1" t="s">
        <v>17</v>
      </c>
      <c r="D46" s="1" t="s">
        <v>19</v>
      </c>
      <c r="E46" s="1">
        <v>0.0014406</v>
      </c>
      <c r="F46" s="1">
        <v>0.0044817</v>
      </c>
      <c r="G46" s="1">
        <v>0.0042472</v>
      </c>
      <c r="H46" s="1">
        <v>0.00444546</v>
      </c>
      <c r="I46" s="1">
        <v>0.001376715</v>
      </c>
      <c r="J46" s="1">
        <v>0.007084228</v>
      </c>
      <c r="K46" s="1">
        <v>0.008914566</v>
      </c>
      <c r="L46" s="1">
        <v>0.01109311</v>
      </c>
      <c r="M46" s="1">
        <v>0.01335937</v>
      </c>
      <c r="N46" s="1">
        <v>0.01587209</v>
      </c>
      <c r="O46" s="1">
        <v>0.01856652</v>
      </c>
      <c r="P46" s="1">
        <v>0.02138211</v>
      </c>
      <c r="Q46" s="1">
        <v>0.02423832</v>
      </c>
      <c r="R46" s="1">
        <v>0.02705644</v>
      </c>
      <c r="S46" s="1">
        <v>0.0297708</v>
      </c>
    </row>
    <row r="47" ht="14.25" hidden="1" customHeight="1">
      <c r="A47" s="1" t="s">
        <v>5</v>
      </c>
      <c r="B47" s="1" t="s">
        <v>30</v>
      </c>
      <c r="C47" s="1" t="s">
        <v>17</v>
      </c>
      <c r="D47" s="1" t="s">
        <v>8</v>
      </c>
      <c r="E47" s="2">
        <v>6.39811E-4</v>
      </c>
      <c r="F47" s="1">
        <v>0.00199039</v>
      </c>
      <c r="G47" s="1">
        <v>0.0018862</v>
      </c>
      <c r="H47" s="1">
        <v>0.00524288</v>
      </c>
      <c r="I47" s="1">
        <v>0.00375105241549</v>
      </c>
      <c r="J47" s="1">
        <v>0.01579221647391</v>
      </c>
      <c r="K47" s="1">
        <v>0.02096971170775</v>
      </c>
      <c r="L47" s="1">
        <v>0.026777280941578</v>
      </c>
      <c r="M47" s="1">
        <v>0.03244453</v>
      </c>
      <c r="N47" s="1">
        <v>0.0384248499999999</v>
      </c>
      <c r="O47" s="1">
        <v>0.04475603</v>
      </c>
      <c r="P47" s="1">
        <v>0.05122424</v>
      </c>
      <c r="Q47" s="1">
        <v>0.0577034699999999</v>
      </c>
      <c r="R47" s="1">
        <v>0.06400024</v>
      </c>
      <c r="S47" s="1">
        <v>0.06997798</v>
      </c>
    </row>
    <row r="48" ht="14.25" hidden="1" customHeight="1">
      <c r="A48" s="1" t="s">
        <v>5</v>
      </c>
      <c r="B48" s="1" t="s">
        <v>30</v>
      </c>
      <c r="C48" s="1" t="s">
        <v>17</v>
      </c>
      <c r="D48" s="1" t="s">
        <v>20</v>
      </c>
      <c r="E48" s="2">
        <v>4.81053E-4</v>
      </c>
      <c r="F48" s="1">
        <v>0.00149632</v>
      </c>
      <c r="G48" s="1">
        <v>0.00141789</v>
      </c>
      <c r="H48" s="1">
        <v>0.001504015</v>
      </c>
      <c r="I48" s="2">
        <v>9.10381E-4</v>
      </c>
      <c r="J48" s="1">
        <v>0.00251006999999999</v>
      </c>
      <c r="K48" s="1">
        <v>0.00319522</v>
      </c>
      <c r="L48" s="1">
        <v>0.00390217</v>
      </c>
      <c r="M48" s="1">
        <v>0.004653028</v>
      </c>
      <c r="N48" s="1">
        <v>0.005498856</v>
      </c>
      <c r="O48" s="1">
        <v>0.00639443999999999</v>
      </c>
      <c r="P48" s="1">
        <v>0.00731306</v>
      </c>
      <c r="Q48" s="1">
        <v>0.00823658</v>
      </c>
      <c r="R48" s="1">
        <v>0.00913667</v>
      </c>
      <c r="S48" s="1">
        <v>0.00998787</v>
      </c>
    </row>
    <row r="49" ht="14.25" hidden="1" customHeight="1">
      <c r="A49" s="1" t="s">
        <v>5</v>
      </c>
      <c r="B49" s="1" t="s">
        <v>30</v>
      </c>
      <c r="C49" s="1" t="s">
        <v>21</v>
      </c>
      <c r="D49" s="1" t="s">
        <v>10</v>
      </c>
      <c r="E49" s="1">
        <v>0.00190475</v>
      </c>
      <c r="F49" s="1">
        <v>0.00592534</v>
      </c>
      <c r="G49" s="1">
        <v>0.00696315</v>
      </c>
      <c r="H49" s="1">
        <v>0.00731306</v>
      </c>
      <c r="I49" s="1">
        <v>0.00679127</v>
      </c>
      <c r="J49" s="1">
        <v>0.00457164347</v>
      </c>
      <c r="K49" s="1">
        <v>0.01072204938</v>
      </c>
      <c r="L49" s="1">
        <v>0.01140037886</v>
      </c>
      <c r="M49" s="1">
        <v>0.01160436081</v>
      </c>
      <c r="N49" s="1">
        <v>0.01148213</v>
      </c>
      <c r="O49" s="1">
        <v>0.01118328</v>
      </c>
      <c r="P49" s="1">
        <v>0.011086825</v>
      </c>
      <c r="Q49" s="1">
        <v>0.0110577159999999</v>
      </c>
      <c r="R49" s="1">
        <v>0.0109269</v>
      </c>
      <c r="S49" s="1">
        <v>0.01069403</v>
      </c>
    </row>
    <row r="50" ht="14.25" hidden="1" customHeight="1">
      <c r="A50" s="1" t="s">
        <v>5</v>
      </c>
      <c r="B50" s="1" t="s">
        <v>30</v>
      </c>
      <c r="C50" s="1" t="s">
        <v>21</v>
      </c>
      <c r="D50" s="1" t="s">
        <v>11</v>
      </c>
      <c r="E50" s="2">
        <v>1.08001E-5</v>
      </c>
      <c r="F50" s="2">
        <v>3.37001E-5</v>
      </c>
      <c r="G50" s="2">
        <v>3.96003E-5</v>
      </c>
      <c r="H50" s="1">
        <v>0.0036536425</v>
      </c>
      <c r="I50" s="1">
        <v>0.00409844</v>
      </c>
      <c r="J50" s="1">
        <v>0.00270091</v>
      </c>
      <c r="K50" s="2">
        <v>8.93761E-4</v>
      </c>
      <c r="L50" s="2">
        <v>1.92791E-4</v>
      </c>
      <c r="M50" s="2">
        <v>1.346982E-4</v>
      </c>
      <c r="N50" s="2">
        <v>1.022281E-4</v>
      </c>
      <c r="O50" s="2">
        <v>8.68335E-5</v>
      </c>
      <c r="P50" s="2">
        <v>8.49594999999999E-5</v>
      </c>
      <c r="Q50" s="2">
        <v>8.10585E-5</v>
      </c>
      <c r="R50" s="2">
        <v>7.30713E-5</v>
      </c>
      <c r="S50" s="2">
        <v>6.74959E-5</v>
      </c>
    </row>
    <row r="51" ht="14.25" hidden="1" customHeight="1">
      <c r="A51" s="1" t="s">
        <v>5</v>
      </c>
      <c r="B51" s="1" t="s">
        <v>30</v>
      </c>
      <c r="C51" s="1" t="s">
        <v>21</v>
      </c>
      <c r="D51" s="1" t="s">
        <v>22</v>
      </c>
      <c r="E51" s="2">
        <v>1.299E-4</v>
      </c>
      <c r="F51" s="2">
        <v>4.04E-4</v>
      </c>
      <c r="G51" s="2">
        <v>4.748E-4</v>
      </c>
      <c r="H51" s="2">
        <v>5.21781E-4</v>
      </c>
      <c r="I51" s="2">
        <v>5.46254E-4</v>
      </c>
      <c r="J51" s="1">
        <v>0.00130024499999999</v>
      </c>
      <c r="K51" s="2">
        <v>8.43472E-4</v>
      </c>
      <c r="L51" s="2">
        <v>8.24715E-4</v>
      </c>
      <c r="M51" s="2">
        <v>7.45462E-4</v>
      </c>
      <c r="N51" s="2">
        <v>7.0802E-4</v>
      </c>
      <c r="O51" s="2">
        <v>6.67274E-4</v>
      </c>
      <c r="P51" s="2">
        <v>6.45292E-4</v>
      </c>
      <c r="Q51" s="2">
        <v>6.36311E-4</v>
      </c>
      <c r="R51" s="2">
        <v>6.29975E-4</v>
      </c>
      <c r="S51" s="2">
        <v>6.18367E-4</v>
      </c>
    </row>
    <row r="52" ht="14.25" hidden="1" customHeight="1">
      <c r="A52" s="1" t="s">
        <v>5</v>
      </c>
      <c r="B52" s="1" t="s">
        <v>30</v>
      </c>
      <c r="C52" s="1" t="s">
        <v>21</v>
      </c>
      <c r="D52" s="1" t="s">
        <v>23</v>
      </c>
      <c r="E52" s="2">
        <v>1.081842E-4</v>
      </c>
      <c r="F52" s="2">
        <v>3.366821E-4</v>
      </c>
      <c r="G52" s="2">
        <v>3.955872E-4</v>
      </c>
      <c r="H52" s="2">
        <v>3.74964899999999E-4</v>
      </c>
      <c r="I52" s="2">
        <v>5.777612E-4</v>
      </c>
      <c r="J52" s="1">
        <v>0.0018702797</v>
      </c>
      <c r="K52" s="1">
        <v>0.0011583459</v>
      </c>
      <c r="L52" s="1">
        <v>0.0013136283</v>
      </c>
      <c r="M52" s="1">
        <v>0.001431163</v>
      </c>
      <c r="N52" s="1">
        <v>0.00151419</v>
      </c>
      <c r="O52" s="1">
        <v>0.001521998</v>
      </c>
      <c r="P52" s="1">
        <v>0.001666429</v>
      </c>
      <c r="Q52" s="1">
        <v>0.001801359</v>
      </c>
      <c r="R52" s="1">
        <v>0.001920043</v>
      </c>
      <c r="S52" s="1">
        <v>0.002009973</v>
      </c>
    </row>
    <row r="53" ht="14.25" hidden="1" customHeight="1">
      <c r="A53" s="1" t="s">
        <v>5</v>
      </c>
      <c r="B53" s="1" t="s">
        <v>30</v>
      </c>
      <c r="C53" s="1" t="s">
        <v>21</v>
      </c>
      <c r="D53" s="1" t="s">
        <v>24</v>
      </c>
      <c r="E53" s="2">
        <v>8.44102999999999E-4</v>
      </c>
      <c r="F53" s="1">
        <v>0.002626001</v>
      </c>
      <c r="G53" s="1">
        <v>0.003085999</v>
      </c>
      <c r="H53" s="1">
        <v>0.003533833</v>
      </c>
      <c r="I53" s="1">
        <v>0.002899567</v>
      </c>
      <c r="J53" s="1">
        <v>0.003824956</v>
      </c>
      <c r="K53" s="1">
        <v>0.003171888</v>
      </c>
      <c r="L53" s="1">
        <v>0.0030342</v>
      </c>
      <c r="M53" s="1">
        <v>0.002893133</v>
      </c>
      <c r="N53" s="1">
        <v>0.002737512</v>
      </c>
      <c r="O53" s="1">
        <v>0.002601072</v>
      </c>
      <c r="P53" s="1">
        <v>0.002582159</v>
      </c>
      <c r="Q53" s="1">
        <v>0.002580426</v>
      </c>
      <c r="R53" s="1">
        <v>0.002554082</v>
      </c>
      <c r="S53" s="1">
        <v>0.002508706</v>
      </c>
    </row>
    <row r="54" ht="14.25" hidden="1" customHeight="1">
      <c r="A54" s="1" t="s">
        <v>5</v>
      </c>
      <c r="B54" s="1" t="s">
        <v>30</v>
      </c>
      <c r="C54" s="1" t="s">
        <v>21</v>
      </c>
      <c r="D54" s="1" t="s">
        <v>12</v>
      </c>
      <c r="E54" s="2">
        <v>1.09953E-6</v>
      </c>
      <c r="F54" s="2">
        <v>3.39825E-6</v>
      </c>
      <c r="G54" s="2">
        <v>4.00206E-6</v>
      </c>
      <c r="H54" s="2">
        <v>7.57512E-7</v>
      </c>
      <c r="I54" s="2">
        <v>1.21458E-5</v>
      </c>
      <c r="J54" s="2">
        <v>4.0227E-5</v>
      </c>
      <c r="K54" s="2">
        <v>2.75902E-5</v>
      </c>
      <c r="L54" s="2">
        <v>2.69671E-5</v>
      </c>
      <c r="M54" s="2">
        <v>2.43704E-5</v>
      </c>
      <c r="N54" s="2">
        <v>2.31444E-5</v>
      </c>
      <c r="O54" s="2">
        <v>2.18111E-5</v>
      </c>
      <c r="P54" s="2">
        <v>2.10924E-5</v>
      </c>
      <c r="Q54" s="2">
        <v>2.07986E-5</v>
      </c>
      <c r="R54" s="2">
        <v>2.05914E-5</v>
      </c>
      <c r="S54" s="2">
        <v>2.0212E-5</v>
      </c>
    </row>
    <row r="55" ht="14.25" hidden="1" customHeight="1">
      <c r="A55" s="1" t="s">
        <v>5</v>
      </c>
      <c r="B55" s="1" t="s">
        <v>30</v>
      </c>
      <c r="C55" s="1" t="s">
        <v>21</v>
      </c>
      <c r="D55" s="1" t="s">
        <v>13</v>
      </c>
      <c r="E55" s="1">
        <v>0.00206283</v>
      </c>
      <c r="F55" s="1">
        <v>0.00641742</v>
      </c>
      <c r="G55" s="1">
        <v>0.0114941</v>
      </c>
      <c r="H55" s="1">
        <v>0.01182601</v>
      </c>
      <c r="I55" s="1">
        <v>0.01711529</v>
      </c>
      <c r="J55" s="1">
        <v>0.0225315</v>
      </c>
      <c r="K55" s="1">
        <v>0.030802506</v>
      </c>
      <c r="L55" s="1">
        <v>0.0415651</v>
      </c>
      <c r="M55" s="1">
        <v>0.05287232</v>
      </c>
      <c r="N55" s="1">
        <v>0.06637541</v>
      </c>
      <c r="O55" s="1">
        <v>0.07911782</v>
      </c>
      <c r="P55" s="1">
        <v>0.09065644</v>
      </c>
      <c r="Q55" s="1">
        <v>0.10126658</v>
      </c>
      <c r="R55" s="1">
        <v>0.11140851</v>
      </c>
      <c r="S55" s="1">
        <v>0.12097361</v>
      </c>
    </row>
    <row r="56" ht="14.25" hidden="1" customHeight="1">
      <c r="A56" s="1" t="s">
        <v>5</v>
      </c>
      <c r="B56" s="1" t="s">
        <v>30</v>
      </c>
      <c r="C56" s="1" t="s">
        <v>21</v>
      </c>
      <c r="D56" s="1" t="s">
        <v>14</v>
      </c>
      <c r="E56" s="2">
        <v>1.09001E-5</v>
      </c>
      <c r="F56" s="2">
        <v>3.37999E-5</v>
      </c>
      <c r="G56" s="2">
        <v>6.05002E-5</v>
      </c>
      <c r="H56" s="1">
        <v>0.0025216126</v>
      </c>
      <c r="I56" s="1">
        <v>0.001744115</v>
      </c>
      <c r="J56" s="2">
        <v>5.17854E-4</v>
      </c>
      <c r="K56" s="2">
        <v>1.260327E-4</v>
      </c>
      <c r="L56" s="2">
        <v>3.6331E-5</v>
      </c>
      <c r="M56" s="2">
        <v>4.33525E-5</v>
      </c>
      <c r="N56" s="2">
        <v>4.65634E-5</v>
      </c>
      <c r="O56" s="2">
        <v>4.97844E-5</v>
      </c>
      <c r="P56" s="2">
        <v>5.57897E-5</v>
      </c>
      <c r="Q56" s="2">
        <v>5.90261E-5</v>
      </c>
      <c r="R56" s="2">
        <v>6.26624E-5</v>
      </c>
      <c r="S56" s="2">
        <v>6.6737E-5</v>
      </c>
    </row>
    <row r="57" ht="14.25" hidden="1" customHeight="1">
      <c r="A57" s="1" t="s">
        <v>5</v>
      </c>
      <c r="B57" s="1" t="s">
        <v>30</v>
      </c>
      <c r="C57" s="1" t="s">
        <v>21</v>
      </c>
      <c r="D57" s="1" t="s">
        <v>25</v>
      </c>
      <c r="E57" s="2">
        <v>3.909E-4</v>
      </c>
      <c r="F57" s="1">
        <v>0.0012159</v>
      </c>
      <c r="G57" s="1">
        <v>0.0021778</v>
      </c>
      <c r="H57" s="1">
        <v>0.001869792</v>
      </c>
      <c r="I57" s="1">
        <v>0.003150524</v>
      </c>
      <c r="J57" s="1">
        <v>0.00351912</v>
      </c>
      <c r="K57" s="1">
        <v>0.00324739</v>
      </c>
      <c r="L57" s="1">
        <v>0.00337861999999999</v>
      </c>
      <c r="M57" s="1">
        <v>0.00320682</v>
      </c>
      <c r="N57" s="1">
        <v>0.00365932999999999</v>
      </c>
      <c r="O57" s="1">
        <v>0.00413685</v>
      </c>
      <c r="P57" s="1">
        <v>0.00469711</v>
      </c>
      <c r="Q57" s="1">
        <v>0.0052822</v>
      </c>
      <c r="R57" s="1">
        <v>0.00586757</v>
      </c>
      <c r="S57" s="1">
        <v>0.00638482</v>
      </c>
    </row>
    <row r="58" ht="14.25" hidden="1" customHeight="1">
      <c r="A58" s="1" t="s">
        <v>5</v>
      </c>
      <c r="B58" s="1" t="s">
        <v>30</v>
      </c>
      <c r="C58" s="1" t="s">
        <v>21</v>
      </c>
      <c r="D58" s="1" t="s">
        <v>26</v>
      </c>
      <c r="E58" s="2">
        <v>1.954062E-4</v>
      </c>
      <c r="F58" s="2">
        <v>6.07986E-4</v>
      </c>
      <c r="G58" s="1">
        <v>0.001088915</v>
      </c>
      <c r="H58" s="2">
        <v>9.40314E-4</v>
      </c>
      <c r="I58" s="1">
        <v>0.001539909</v>
      </c>
      <c r="J58" s="1">
        <v>0.00293148639999999</v>
      </c>
      <c r="K58" s="1">
        <v>0.002643968</v>
      </c>
      <c r="L58" s="1">
        <v>0.003214321</v>
      </c>
      <c r="M58" s="1">
        <v>0.00363291999999999</v>
      </c>
      <c r="N58" s="1">
        <v>0.004989368</v>
      </c>
      <c r="O58" s="1">
        <v>0.00678506</v>
      </c>
      <c r="P58" s="1">
        <v>0.00900216</v>
      </c>
      <c r="Q58" s="1">
        <v>0.01180532</v>
      </c>
      <c r="R58" s="1">
        <v>0.01508096</v>
      </c>
      <c r="S58" s="1">
        <v>0.01868704</v>
      </c>
    </row>
    <row r="59" ht="14.25" hidden="1" customHeight="1">
      <c r="A59" s="1" t="s">
        <v>5</v>
      </c>
      <c r="B59" s="1" t="s">
        <v>30</v>
      </c>
      <c r="C59" s="1" t="s">
        <v>21</v>
      </c>
      <c r="D59" s="1" t="s">
        <v>27</v>
      </c>
      <c r="E59" s="2">
        <v>8.05596E-4</v>
      </c>
      <c r="F59" s="1">
        <v>0.0025062</v>
      </c>
      <c r="G59" s="1">
        <v>0.004488699</v>
      </c>
      <c r="H59" s="1">
        <v>0.006113036</v>
      </c>
      <c r="I59" s="1">
        <v>0.0154932259999999</v>
      </c>
      <c r="J59" s="1">
        <v>0.013051549</v>
      </c>
      <c r="K59" s="1">
        <v>0.014721208</v>
      </c>
      <c r="L59" s="1">
        <v>0.01741907</v>
      </c>
      <c r="M59" s="1">
        <v>0.02015174</v>
      </c>
      <c r="N59" s="1">
        <v>0.02323565</v>
      </c>
      <c r="O59" s="1">
        <v>0.02604067</v>
      </c>
      <c r="P59" s="1">
        <v>0.02940813</v>
      </c>
      <c r="Q59" s="1">
        <v>0.03271159</v>
      </c>
      <c r="R59" s="1">
        <v>0.03592241</v>
      </c>
      <c r="S59" s="1">
        <v>0.0390204</v>
      </c>
    </row>
    <row r="60" ht="14.25" hidden="1" customHeight="1">
      <c r="A60" s="1" t="s">
        <v>5</v>
      </c>
      <c r="B60" s="1" t="s">
        <v>30</v>
      </c>
      <c r="C60" s="1" t="s">
        <v>21</v>
      </c>
      <c r="D60" s="1" t="s">
        <v>28</v>
      </c>
      <c r="E60" s="2">
        <v>1.1E-6</v>
      </c>
      <c r="F60" s="2">
        <v>3.4E-6</v>
      </c>
      <c r="G60" s="2">
        <v>6.0E-6</v>
      </c>
      <c r="H60" s="2">
        <v>5.3768E-6</v>
      </c>
      <c r="I60" s="2">
        <v>7.50944E-6</v>
      </c>
      <c r="J60" s="2">
        <v>8.14383E-6</v>
      </c>
      <c r="K60" s="2">
        <v>7.78446E-6</v>
      </c>
      <c r="L60" s="2">
        <v>7.77256E-6</v>
      </c>
      <c r="M60" s="2">
        <v>7.20876E-6</v>
      </c>
      <c r="N60" s="2">
        <v>8.12161E-6</v>
      </c>
      <c r="O60" s="2">
        <v>9.13771E-6</v>
      </c>
      <c r="P60" s="2">
        <v>1.036E-5</v>
      </c>
      <c r="Q60" s="2">
        <v>1.16458E-5</v>
      </c>
      <c r="R60" s="2">
        <v>1.29352E-5</v>
      </c>
      <c r="S60" s="2">
        <v>1.40753E-5</v>
      </c>
    </row>
    <row r="61" ht="14.25" hidden="1" customHeight="1">
      <c r="A61" s="1" t="s">
        <v>5</v>
      </c>
      <c r="B61" s="1" t="s">
        <v>30</v>
      </c>
      <c r="C61" s="1" t="s">
        <v>29</v>
      </c>
      <c r="D61" s="1" t="s">
        <v>16</v>
      </c>
      <c r="E61" s="1">
        <v>0.00483942</v>
      </c>
      <c r="F61" s="1">
        <v>0.00929091</v>
      </c>
      <c r="G61" s="1">
        <v>0.00809826</v>
      </c>
      <c r="H61" s="1">
        <v>0.00822498</v>
      </c>
      <c r="I61" s="1">
        <v>0.007280922</v>
      </c>
      <c r="J61" s="1">
        <v>0.008201578</v>
      </c>
      <c r="K61" s="1">
        <v>0.008334277</v>
      </c>
      <c r="L61" s="1">
        <v>0.008428753</v>
      </c>
      <c r="M61" s="1">
        <v>0.007701806</v>
      </c>
      <c r="N61" s="1">
        <v>0.00812676559999999</v>
      </c>
      <c r="O61" s="1">
        <v>0.008804581</v>
      </c>
      <c r="P61" s="1">
        <v>0.009529205</v>
      </c>
      <c r="Q61" s="1">
        <v>0.010424477</v>
      </c>
      <c r="R61" s="1">
        <v>0.011413086</v>
      </c>
      <c r="S61" s="1">
        <v>0.012318029</v>
      </c>
    </row>
    <row r="62" ht="14.25" hidden="1" customHeight="1">
      <c r="A62" s="1" t="s">
        <v>5</v>
      </c>
      <c r="B62" s="1" t="s">
        <v>30</v>
      </c>
      <c r="C62" s="1" t="s">
        <v>29</v>
      </c>
      <c r="D62" s="1" t="s">
        <v>8</v>
      </c>
      <c r="E62" s="2">
        <v>4.74008E-5</v>
      </c>
      <c r="F62" s="2">
        <v>9.10997E-5</v>
      </c>
      <c r="G62" s="2">
        <v>7.94E-5</v>
      </c>
      <c r="H62" s="2">
        <v>6.13566389E-5</v>
      </c>
      <c r="I62" s="2">
        <v>5.778581728E-4</v>
      </c>
      <c r="J62" s="2">
        <v>5.241240437E-4</v>
      </c>
      <c r="K62" s="2">
        <v>4.537532195E-4</v>
      </c>
      <c r="L62" s="2">
        <v>3.484369952E-4</v>
      </c>
      <c r="M62" s="2">
        <v>2.3084516617E-4</v>
      </c>
      <c r="N62" s="2">
        <v>1.6899051E-4</v>
      </c>
      <c r="O62" s="2">
        <v>1.130139E-4</v>
      </c>
      <c r="P62" s="2">
        <v>1.24378809999999E-4</v>
      </c>
      <c r="Q62" s="2">
        <v>1.37155839999999E-4</v>
      </c>
      <c r="R62" s="2">
        <v>1.49862659999999E-4</v>
      </c>
      <c r="S62" s="2">
        <v>1.6109831E-4</v>
      </c>
    </row>
    <row r="63" ht="14.25" hidden="1" customHeight="1">
      <c r="A63" s="1" t="s">
        <v>5</v>
      </c>
      <c r="B63" s="1" t="s">
        <v>30</v>
      </c>
      <c r="C63" s="1" t="s">
        <v>29</v>
      </c>
      <c r="D63" s="1" t="s">
        <v>10</v>
      </c>
      <c r="E63" s="2">
        <v>2.39007E-5</v>
      </c>
      <c r="F63" s="2">
        <v>4.59995E-5</v>
      </c>
      <c r="G63" s="2">
        <v>1.38999E-5</v>
      </c>
      <c r="H63" s="2">
        <v>7.492232E-4</v>
      </c>
      <c r="I63" s="2">
        <v>6.6640552E-4</v>
      </c>
      <c r="J63" s="2">
        <v>5.5249521778E-4</v>
      </c>
      <c r="K63" s="2">
        <v>3.98164983049999E-4</v>
      </c>
      <c r="L63" s="2">
        <v>2.3429383022E-4</v>
      </c>
      <c r="M63" s="2">
        <v>1.1867396389E-4</v>
      </c>
      <c r="N63" s="2">
        <v>1.739346756E-5</v>
      </c>
      <c r="O63" s="2">
        <v>1.290702473E-5</v>
      </c>
      <c r="P63" s="2">
        <v>1.046121E-5</v>
      </c>
      <c r="Q63" s="2">
        <v>8.121084E-6</v>
      </c>
      <c r="R63" s="2">
        <v>7.173157E-6</v>
      </c>
      <c r="S63" s="2">
        <v>6.614333E-6</v>
      </c>
    </row>
    <row r="64" ht="14.25" hidden="1" customHeight="1">
      <c r="A64" s="1" t="s">
        <v>5</v>
      </c>
      <c r="B64" s="1" t="s">
        <v>30</v>
      </c>
      <c r="C64" s="1" t="s">
        <v>29</v>
      </c>
      <c r="D64" s="1" t="s">
        <v>11</v>
      </c>
      <c r="E64" s="1">
        <v>0.0137259</v>
      </c>
      <c r="F64" s="1">
        <v>0.0263512</v>
      </c>
      <c r="G64" s="1">
        <v>0.00799735</v>
      </c>
      <c r="H64" s="1">
        <v>0.006515958</v>
      </c>
      <c r="I64" s="1">
        <v>0.008379968</v>
      </c>
      <c r="J64" s="1">
        <v>0.010217245</v>
      </c>
      <c r="K64" s="1">
        <v>0.011925969</v>
      </c>
      <c r="L64" s="1">
        <v>0.0119967924999999</v>
      </c>
      <c r="M64" s="1">
        <v>0.0105545071</v>
      </c>
      <c r="N64" s="1">
        <v>0.009980442</v>
      </c>
      <c r="O64" s="1">
        <v>0.00935126599999999</v>
      </c>
      <c r="P64" s="1">
        <v>0.008983531</v>
      </c>
      <c r="Q64" s="1">
        <v>0.008827834</v>
      </c>
      <c r="R64" s="1">
        <v>0.008722586</v>
      </c>
      <c r="S64" s="1">
        <v>0.008600044</v>
      </c>
    </row>
    <row r="65" ht="14.25" hidden="1" customHeight="1">
      <c r="A65" s="1" t="s">
        <v>5</v>
      </c>
      <c r="B65" s="1" t="s">
        <v>30</v>
      </c>
      <c r="C65" s="1" t="s">
        <v>29</v>
      </c>
      <c r="D65" s="1" t="s">
        <v>13</v>
      </c>
      <c r="E65" s="2">
        <v>2.39991E-5</v>
      </c>
      <c r="F65" s="2">
        <v>4.59994E-5</v>
      </c>
      <c r="G65" s="2">
        <v>1.94001E-5</v>
      </c>
      <c r="H65" s="1">
        <v>0.0135031747</v>
      </c>
      <c r="I65" s="1">
        <v>0.0122720269</v>
      </c>
      <c r="J65" s="1">
        <v>0.01222669103</v>
      </c>
      <c r="K65" s="1">
        <v>0.01345137518</v>
      </c>
      <c r="L65" s="1">
        <v>0.0141634144</v>
      </c>
      <c r="M65" s="1">
        <v>0.014808376</v>
      </c>
      <c r="N65" s="1">
        <v>0.0145363102999999</v>
      </c>
      <c r="O65" s="1">
        <v>0.015316882</v>
      </c>
      <c r="P65" s="1">
        <v>0.015731693</v>
      </c>
      <c r="Q65" s="1">
        <v>0.0162720329999999</v>
      </c>
      <c r="R65" s="1">
        <v>0.017042215</v>
      </c>
      <c r="S65" s="1">
        <v>0.017867096</v>
      </c>
    </row>
    <row r="66" ht="14.25" hidden="1" customHeight="1">
      <c r="A66" s="1" t="s">
        <v>5</v>
      </c>
      <c r="B66" s="1" t="s">
        <v>30</v>
      </c>
      <c r="C66" s="1" t="s">
        <v>29</v>
      </c>
      <c r="D66" s="1" t="s">
        <v>14</v>
      </c>
      <c r="E66" s="1">
        <v>0.0283393</v>
      </c>
      <c r="F66" s="1">
        <v>0.0544062</v>
      </c>
      <c r="G66" s="1">
        <v>0.0228989</v>
      </c>
      <c r="H66" s="1">
        <v>0.017921533</v>
      </c>
      <c r="I66" s="1">
        <v>0.020675207</v>
      </c>
      <c r="J66" s="1">
        <v>0.018435443</v>
      </c>
      <c r="K66" s="1">
        <v>0.0155253669999999</v>
      </c>
      <c r="L66" s="1">
        <v>0.0127579498</v>
      </c>
      <c r="M66" s="1">
        <v>0.008003801</v>
      </c>
      <c r="N66" s="1">
        <v>0.008567714</v>
      </c>
      <c r="O66" s="1">
        <v>0.009508991</v>
      </c>
      <c r="P66" s="1">
        <v>0.0111600949999999</v>
      </c>
      <c r="Q66" s="1">
        <v>0.012833397</v>
      </c>
      <c r="R66" s="1">
        <v>0.0146086219999999</v>
      </c>
      <c r="S66" s="1">
        <v>0.016303118</v>
      </c>
    </row>
    <row r="67" ht="14.25" hidden="1" customHeight="1">
      <c r="A67" s="1" t="s">
        <v>5</v>
      </c>
      <c r="B67" s="1" t="s">
        <v>30</v>
      </c>
      <c r="C67" s="1" t="s">
        <v>31</v>
      </c>
      <c r="D67" s="1" t="s">
        <v>11</v>
      </c>
      <c r="E67" s="1">
        <v>0.0155509</v>
      </c>
      <c r="F67" s="1">
        <v>0.01822</v>
      </c>
      <c r="G67" s="1">
        <v>0.0193653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</row>
    <row r="68" ht="14.25" hidden="1" customHeight="1">
      <c r="A68" s="1" t="s">
        <v>5</v>
      </c>
      <c r="B68" s="1" t="s">
        <v>32</v>
      </c>
      <c r="C68" s="1" t="s">
        <v>7</v>
      </c>
      <c r="D68" s="1" t="s">
        <v>8</v>
      </c>
      <c r="E68" s="2">
        <v>6.90201E-4</v>
      </c>
      <c r="F68" s="2">
        <v>8.78562E-4</v>
      </c>
      <c r="G68" s="2">
        <v>9.40122E-4</v>
      </c>
      <c r="H68" s="2">
        <v>1.91966E-4</v>
      </c>
      <c r="I68" s="2">
        <v>7.25657E-4</v>
      </c>
      <c r="J68" s="2">
        <v>9.33865E-5</v>
      </c>
      <c r="K68" s="2">
        <v>5.48766E-5</v>
      </c>
      <c r="L68" s="2">
        <v>5.10253E-5</v>
      </c>
      <c r="M68" s="2">
        <v>3.80269E-5</v>
      </c>
      <c r="N68" s="2">
        <v>2.24281E-5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</row>
    <row r="69" ht="14.25" hidden="1" customHeight="1">
      <c r="A69" s="1" t="s">
        <v>5</v>
      </c>
      <c r="B69" s="1" t="s">
        <v>32</v>
      </c>
      <c r="C69" s="1" t="s">
        <v>9</v>
      </c>
      <c r="D69" s="1" t="s">
        <v>8</v>
      </c>
      <c r="E69" s="2">
        <v>9.37537E-4</v>
      </c>
      <c r="F69" s="2">
        <v>8.22064E-4</v>
      </c>
      <c r="G69" s="1">
        <v>0.00120887</v>
      </c>
      <c r="H69" s="1">
        <v>0.00157301</v>
      </c>
      <c r="I69" s="2">
        <v>9.99577E-6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</row>
    <row r="70" ht="14.25" hidden="1" customHeight="1">
      <c r="A70" s="1" t="s">
        <v>5</v>
      </c>
      <c r="B70" s="1" t="s">
        <v>32</v>
      </c>
      <c r="C70" s="1" t="s">
        <v>9</v>
      </c>
      <c r="D70" s="1" t="s">
        <v>10</v>
      </c>
      <c r="E70" s="1">
        <v>0.0</v>
      </c>
      <c r="F70" s="1">
        <v>0.0</v>
      </c>
      <c r="G70" s="2">
        <v>1.74692E-4</v>
      </c>
      <c r="H70" s="1">
        <v>0.0</v>
      </c>
      <c r="I70" s="2">
        <v>2.4541E-4</v>
      </c>
      <c r="J70" s="2">
        <v>2.44368E-4</v>
      </c>
      <c r="K70" s="1">
        <v>0.0</v>
      </c>
      <c r="L70" s="1">
        <v>0.0</v>
      </c>
      <c r="M70" s="1">
        <v>0.0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</row>
    <row r="71" ht="14.25" hidden="1" customHeight="1">
      <c r="A71" s="1" t="s">
        <v>5</v>
      </c>
      <c r="B71" s="1" t="s">
        <v>32</v>
      </c>
      <c r="C71" s="1" t="s">
        <v>9</v>
      </c>
      <c r="D71" s="1" t="s">
        <v>11</v>
      </c>
      <c r="E71" s="1">
        <v>0.0</v>
      </c>
      <c r="F71" s="1">
        <v>0.0</v>
      </c>
      <c r="G71" s="2">
        <v>1.74733E-4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</row>
    <row r="72" ht="14.25" hidden="1" customHeight="1">
      <c r="A72" s="1" t="s">
        <v>5</v>
      </c>
      <c r="B72" s="1" t="s">
        <v>32</v>
      </c>
      <c r="C72" s="1" t="s">
        <v>9</v>
      </c>
      <c r="D72" s="1" t="s">
        <v>12</v>
      </c>
      <c r="E72" s="1">
        <v>0.0</v>
      </c>
      <c r="F72" s="1">
        <v>0.0</v>
      </c>
      <c r="G72" s="2">
        <v>1.73948E-5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</row>
    <row r="73" ht="14.25" hidden="1" customHeight="1">
      <c r="A73" s="1" t="s">
        <v>5</v>
      </c>
      <c r="B73" s="1" t="s">
        <v>32</v>
      </c>
      <c r="C73" s="1" t="s">
        <v>9</v>
      </c>
      <c r="D73" s="1" t="s">
        <v>13</v>
      </c>
      <c r="E73" s="1">
        <v>0.0</v>
      </c>
      <c r="F73" s="1">
        <v>0.0</v>
      </c>
      <c r="G73" s="1">
        <v>0.0</v>
      </c>
      <c r="H73" s="2">
        <v>2.126E-5</v>
      </c>
      <c r="I73" s="1">
        <v>0.0</v>
      </c>
      <c r="J73" s="1">
        <v>0.0</v>
      </c>
      <c r="K73" s="1">
        <v>0.0</v>
      </c>
      <c r="L73" s="1">
        <v>0.0</v>
      </c>
      <c r="M73" s="1">
        <v>0.0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</row>
    <row r="74" ht="14.25" hidden="1" customHeight="1">
      <c r="A74" s="1" t="s">
        <v>5</v>
      </c>
      <c r="B74" s="1" t="s">
        <v>32</v>
      </c>
      <c r="C74" s="1" t="s">
        <v>9</v>
      </c>
      <c r="D74" s="1" t="s">
        <v>14</v>
      </c>
      <c r="E74" s="1">
        <v>0.0</v>
      </c>
      <c r="F74" s="1">
        <v>0.0</v>
      </c>
      <c r="G74" s="1">
        <v>0.0</v>
      </c>
      <c r="H74" s="2">
        <v>1.59465E-5</v>
      </c>
      <c r="I74" s="1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</row>
    <row r="75" ht="14.25" hidden="1" customHeight="1">
      <c r="A75" s="1" t="s">
        <v>5</v>
      </c>
      <c r="B75" s="1" t="s">
        <v>32</v>
      </c>
      <c r="C75" s="1" t="s">
        <v>15</v>
      </c>
      <c r="D75" s="1" t="s">
        <v>16</v>
      </c>
      <c r="E75" s="1">
        <v>0.0</v>
      </c>
      <c r="F75" s="1">
        <v>0.0</v>
      </c>
      <c r="G75" s="1">
        <v>0.0</v>
      </c>
      <c r="H75" s="1">
        <v>0.0</v>
      </c>
      <c r="I75" s="2">
        <v>8.38171E-5</v>
      </c>
      <c r="J75" s="2">
        <v>1.864673E-4</v>
      </c>
      <c r="K75" s="2">
        <v>3.301504E-4</v>
      </c>
      <c r="L75" s="2">
        <v>5.092699E-4</v>
      </c>
      <c r="M75" s="2">
        <v>7.083369E-4</v>
      </c>
      <c r="N75" s="2">
        <v>9.130028E-4</v>
      </c>
      <c r="O75" s="1">
        <v>0.0011153135</v>
      </c>
      <c r="P75" s="1">
        <v>0.0013165191</v>
      </c>
      <c r="Q75" s="1">
        <v>0.0015270407</v>
      </c>
      <c r="R75" s="1">
        <v>0.0017366449</v>
      </c>
      <c r="S75" s="1">
        <v>0.001947534</v>
      </c>
    </row>
    <row r="76" ht="14.25" customHeight="1">
      <c r="A76" s="1" t="s">
        <v>5</v>
      </c>
      <c r="B76" s="1" t="s">
        <v>32</v>
      </c>
      <c r="C76" s="1" t="s">
        <v>15</v>
      </c>
      <c r="D76" s="1" t="s">
        <v>14</v>
      </c>
      <c r="E76" s="1">
        <v>0.0</v>
      </c>
      <c r="F76" s="1">
        <v>0.0</v>
      </c>
      <c r="G76" s="1">
        <v>0.0</v>
      </c>
      <c r="H76" s="1">
        <v>0.0</v>
      </c>
      <c r="I76" s="2">
        <v>2.06818E-6</v>
      </c>
      <c r="J76" s="2">
        <v>1.809568E-4</v>
      </c>
      <c r="K76" s="2">
        <v>3.6565948E-4</v>
      </c>
      <c r="L76" s="2">
        <v>5.6788509E-4</v>
      </c>
      <c r="M76" s="2">
        <v>7.92896301E-4</v>
      </c>
      <c r="N76" s="2">
        <v>9.87045382E-4</v>
      </c>
      <c r="O76" s="1">
        <v>0.0011742669</v>
      </c>
      <c r="P76" s="1">
        <v>0.0013196045</v>
      </c>
      <c r="Q76" s="1">
        <v>0.0014704868</v>
      </c>
      <c r="R76" s="1">
        <v>0.0016176163</v>
      </c>
      <c r="S76" s="1">
        <v>0.0017630902</v>
      </c>
    </row>
    <row r="77" ht="14.25" hidden="1" customHeight="1">
      <c r="A77" s="1" t="s">
        <v>5</v>
      </c>
      <c r="B77" s="1" t="s">
        <v>32</v>
      </c>
      <c r="C77" s="1" t="s">
        <v>17</v>
      </c>
      <c r="D77" s="1" t="s">
        <v>16</v>
      </c>
      <c r="E77" s="2">
        <v>9.55249E-6</v>
      </c>
      <c r="F77" s="2">
        <v>3.00046E-5</v>
      </c>
      <c r="G77" s="2">
        <v>4.60946E-5</v>
      </c>
      <c r="H77" s="2">
        <v>1.269132E-4</v>
      </c>
      <c r="I77" s="2">
        <v>1.16799569999999E-4</v>
      </c>
      <c r="J77" s="2">
        <v>1.7752241E-4</v>
      </c>
      <c r="K77" s="2">
        <v>2.3110631E-4</v>
      </c>
      <c r="L77" s="2">
        <v>2.891477E-4</v>
      </c>
      <c r="M77" s="2">
        <v>3.58029159999999E-4</v>
      </c>
      <c r="N77" s="2">
        <v>4.26714261E-4</v>
      </c>
      <c r="O77" s="2">
        <v>5.111515E-4</v>
      </c>
      <c r="P77" s="2">
        <v>6.054591E-4</v>
      </c>
      <c r="Q77" s="2">
        <v>6.988023E-4</v>
      </c>
      <c r="R77" s="2">
        <v>7.946281E-4</v>
      </c>
      <c r="S77" s="2">
        <v>8.878342E-4</v>
      </c>
    </row>
    <row r="78" ht="14.25" hidden="1" customHeight="1">
      <c r="A78" s="1" t="s">
        <v>5</v>
      </c>
      <c r="B78" s="1" t="s">
        <v>32</v>
      </c>
      <c r="C78" s="1" t="s">
        <v>17</v>
      </c>
      <c r="D78" s="1" t="s">
        <v>18</v>
      </c>
      <c r="E78" s="2">
        <v>4.23846E-5</v>
      </c>
      <c r="F78" s="2">
        <v>1.31808E-4</v>
      </c>
      <c r="G78" s="2">
        <v>2.02692E-4</v>
      </c>
      <c r="H78" s="2">
        <v>2.126065E-4</v>
      </c>
      <c r="I78" s="2">
        <v>1.662783E-4</v>
      </c>
      <c r="J78" s="2">
        <v>3.01105899999999E-4</v>
      </c>
      <c r="K78" s="2">
        <v>3.879294E-4</v>
      </c>
      <c r="L78" s="2">
        <v>4.8979179E-4</v>
      </c>
      <c r="M78" s="2">
        <v>5.8915902E-4</v>
      </c>
      <c r="N78" s="2">
        <v>7.03383399999999E-4</v>
      </c>
      <c r="O78" s="2">
        <v>8.164928E-4</v>
      </c>
      <c r="P78" s="2">
        <v>9.2813E-4</v>
      </c>
      <c r="Q78" s="1">
        <v>0.0010353151</v>
      </c>
      <c r="R78" s="1">
        <v>0.0011401531</v>
      </c>
      <c r="S78" s="1">
        <v>0.0012326161</v>
      </c>
    </row>
    <row r="79" ht="14.25" hidden="1" customHeight="1">
      <c r="A79" s="1" t="s">
        <v>5</v>
      </c>
      <c r="B79" s="1" t="s">
        <v>32</v>
      </c>
      <c r="C79" s="1" t="s">
        <v>17</v>
      </c>
      <c r="D79" s="1" t="s">
        <v>19</v>
      </c>
      <c r="E79" s="2">
        <v>1.9301E-5</v>
      </c>
      <c r="F79" s="2">
        <v>5.98983E-5</v>
      </c>
      <c r="G79" s="2">
        <v>9.21001E-5</v>
      </c>
      <c r="H79" s="2">
        <v>1.182844E-4</v>
      </c>
      <c r="I79" s="2">
        <v>9.224015E-5</v>
      </c>
      <c r="J79" s="2">
        <v>2.167456E-4</v>
      </c>
      <c r="K79" s="2">
        <v>2.9399072E-4</v>
      </c>
      <c r="L79" s="2">
        <v>3.8927945E-4</v>
      </c>
      <c r="M79" s="2">
        <v>4.869446E-4</v>
      </c>
      <c r="N79" s="2">
        <v>5.992657E-4</v>
      </c>
      <c r="O79" s="2">
        <v>7.217549E-4</v>
      </c>
      <c r="P79" s="2">
        <v>8.501435E-4</v>
      </c>
      <c r="Q79" s="2">
        <v>9.820353E-4</v>
      </c>
      <c r="R79" s="1">
        <v>0.0011145782</v>
      </c>
      <c r="S79" s="1">
        <v>0.00124451</v>
      </c>
    </row>
    <row r="80" ht="14.25" hidden="1" customHeight="1">
      <c r="A80" s="1" t="s">
        <v>5</v>
      </c>
      <c r="B80" s="1" t="s">
        <v>32</v>
      </c>
      <c r="C80" s="1" t="s">
        <v>17</v>
      </c>
      <c r="D80" s="1" t="s">
        <v>8</v>
      </c>
      <c r="E80" s="2">
        <v>9.60141E-6</v>
      </c>
      <c r="F80" s="2">
        <v>2.99987E-5</v>
      </c>
      <c r="G80" s="2">
        <v>4.60913E-5</v>
      </c>
      <c r="H80" s="2">
        <v>1.25934E-4</v>
      </c>
      <c r="I80" s="2">
        <v>9.008304156E-5</v>
      </c>
      <c r="J80" s="1">
        <v>0.00204750245118</v>
      </c>
      <c r="K80" s="1">
        <v>0.00297997487078</v>
      </c>
      <c r="L80" s="1">
        <v>0.004076649590382</v>
      </c>
      <c r="M80" s="1">
        <v>0.005237907</v>
      </c>
      <c r="N80" s="1">
        <v>0.006473859</v>
      </c>
      <c r="O80" s="1">
        <v>0.007810027</v>
      </c>
      <c r="P80" s="1">
        <v>0.009146551</v>
      </c>
      <c r="Q80" s="1">
        <v>0.010500398</v>
      </c>
      <c r="R80" s="1">
        <v>0.01184267</v>
      </c>
      <c r="S80" s="1">
        <v>0.01314166</v>
      </c>
    </row>
    <row r="81" ht="14.25" hidden="1" customHeight="1">
      <c r="A81" s="1" t="s">
        <v>5</v>
      </c>
      <c r="B81" s="1" t="s">
        <v>32</v>
      </c>
      <c r="C81" s="1" t="s">
        <v>17</v>
      </c>
      <c r="D81" s="1" t="s">
        <v>20</v>
      </c>
      <c r="E81" s="2">
        <v>5.78947E-6</v>
      </c>
      <c r="F81" s="2">
        <v>1.78947E-5</v>
      </c>
      <c r="G81" s="2">
        <v>2.73684E-5</v>
      </c>
      <c r="H81" s="2">
        <v>3.66378E-5</v>
      </c>
      <c r="I81" s="2">
        <v>4.58713999999999E-5</v>
      </c>
      <c r="J81" s="2">
        <v>6.875545E-5</v>
      </c>
      <c r="K81" s="2">
        <v>9.40666E-5</v>
      </c>
      <c r="L81" s="2">
        <v>1.216937E-4</v>
      </c>
      <c r="M81" s="2">
        <v>1.510677E-4</v>
      </c>
      <c r="N81" s="2">
        <v>1.848183E-4</v>
      </c>
      <c r="O81" s="2">
        <v>2.211857E-4</v>
      </c>
      <c r="P81" s="2">
        <v>2.588351E-4</v>
      </c>
      <c r="Q81" s="2">
        <v>2.970521E-4</v>
      </c>
      <c r="R81" s="2">
        <v>3.349974E-4</v>
      </c>
      <c r="S81" s="2">
        <v>3.716432E-4</v>
      </c>
    </row>
    <row r="82" ht="14.25" hidden="1" customHeight="1">
      <c r="A82" s="1" t="s">
        <v>5</v>
      </c>
      <c r="B82" s="1" t="s">
        <v>32</v>
      </c>
      <c r="C82" s="1" t="s">
        <v>21</v>
      </c>
      <c r="D82" s="1" t="s">
        <v>10</v>
      </c>
      <c r="E82" s="2">
        <v>1.0616E-5</v>
      </c>
      <c r="F82" s="2">
        <v>3.29423E-5</v>
      </c>
      <c r="G82" s="2">
        <v>4.56242E-5</v>
      </c>
      <c r="H82" s="2">
        <v>3.414195E-5</v>
      </c>
      <c r="I82" s="2">
        <v>2.573667E-5</v>
      </c>
      <c r="J82" s="2">
        <v>1.80973129999999E-5</v>
      </c>
      <c r="K82" s="2">
        <v>1.50263361E-4</v>
      </c>
      <c r="L82" s="2">
        <v>2.00130355E-4</v>
      </c>
      <c r="M82" s="2">
        <v>2.40568040999999E-4</v>
      </c>
      <c r="N82" s="2">
        <v>2.813475E-4</v>
      </c>
      <c r="O82" s="2">
        <v>2.982319E-4</v>
      </c>
      <c r="P82" s="2">
        <v>3.153159E-4</v>
      </c>
      <c r="Q82" s="2">
        <v>3.304096E-4</v>
      </c>
      <c r="R82" s="2">
        <v>3.420117E-4</v>
      </c>
      <c r="S82" s="2">
        <v>3.51157999999999E-4</v>
      </c>
    </row>
    <row r="83" ht="14.25" hidden="1" customHeight="1">
      <c r="A83" s="1" t="s">
        <v>5</v>
      </c>
      <c r="B83" s="1" t="s">
        <v>32</v>
      </c>
      <c r="C83" s="1" t="s">
        <v>21</v>
      </c>
      <c r="D83" s="1" t="s">
        <v>11</v>
      </c>
      <c r="E83" s="2">
        <v>5.29991E-6</v>
      </c>
      <c r="F83" s="2">
        <v>1.64944E-5</v>
      </c>
      <c r="G83" s="2">
        <v>2.28174E-5</v>
      </c>
      <c r="H83" s="2">
        <v>9.799168E-5</v>
      </c>
      <c r="I83" s="2">
        <v>9.4587E-5</v>
      </c>
      <c r="J83" s="2">
        <v>9.26204E-5</v>
      </c>
      <c r="K83" s="2">
        <v>8.76406E-5</v>
      </c>
      <c r="L83" s="2">
        <v>8.03023E-5</v>
      </c>
      <c r="M83" s="2">
        <v>7.88993E-5</v>
      </c>
      <c r="N83" s="2">
        <v>7.15254E-5</v>
      </c>
      <c r="O83" s="2">
        <v>6.70978E-5</v>
      </c>
      <c r="P83" s="2">
        <v>6.71263E-5</v>
      </c>
      <c r="Q83" s="2">
        <v>6.69652E-5</v>
      </c>
      <c r="R83" s="2">
        <v>6.71765E-5</v>
      </c>
      <c r="S83" s="2">
        <v>6.74218E-5</v>
      </c>
    </row>
    <row r="84" ht="14.25" hidden="1" customHeight="1">
      <c r="A84" s="1" t="s">
        <v>5</v>
      </c>
      <c r="B84" s="1" t="s">
        <v>32</v>
      </c>
      <c r="C84" s="1" t="s">
        <v>21</v>
      </c>
      <c r="D84" s="1" t="s">
        <v>22</v>
      </c>
      <c r="E84" s="2">
        <v>5.3E-6</v>
      </c>
      <c r="F84" s="2">
        <v>1.65E-5</v>
      </c>
      <c r="G84" s="2">
        <v>2.28E-5</v>
      </c>
      <c r="H84" s="2">
        <v>2.56149E-5</v>
      </c>
      <c r="I84" s="2">
        <v>3.522676E-5</v>
      </c>
      <c r="J84" s="2">
        <v>3.66313E-5</v>
      </c>
      <c r="K84" s="2">
        <v>2.68233999999999E-5</v>
      </c>
      <c r="L84" s="2">
        <v>2.663508E-5</v>
      </c>
      <c r="M84" s="2">
        <v>2.51812E-5</v>
      </c>
      <c r="N84" s="2">
        <v>2.604651E-5</v>
      </c>
      <c r="O84" s="2">
        <v>2.67009E-5</v>
      </c>
      <c r="P84" s="2">
        <v>2.747621E-5</v>
      </c>
      <c r="Q84" s="2">
        <v>2.82984E-5</v>
      </c>
      <c r="R84" s="2">
        <v>2.92344E-5</v>
      </c>
      <c r="S84" s="2">
        <v>3.00477E-5</v>
      </c>
    </row>
    <row r="85" ht="14.25" hidden="1" customHeight="1">
      <c r="A85" s="1" t="s">
        <v>5</v>
      </c>
      <c r="B85" s="1" t="s">
        <v>32</v>
      </c>
      <c r="C85" s="1" t="s">
        <v>21</v>
      </c>
      <c r="D85" s="1" t="s">
        <v>23</v>
      </c>
      <c r="E85" s="2">
        <v>5.30526999999999E-6</v>
      </c>
      <c r="F85" s="2">
        <v>1.648717E-5</v>
      </c>
      <c r="G85" s="2">
        <v>2.28047E-5</v>
      </c>
      <c r="H85" s="2">
        <v>9.32059899999999E-5</v>
      </c>
      <c r="I85" s="2">
        <v>1.86435299999999E-4</v>
      </c>
      <c r="J85" s="2">
        <v>3.230969E-4</v>
      </c>
      <c r="K85" s="2">
        <v>2.664633E-4</v>
      </c>
      <c r="L85" s="2">
        <v>2.75980399999999E-4</v>
      </c>
      <c r="M85" s="2">
        <v>2.677969E-4</v>
      </c>
      <c r="N85" s="2">
        <v>2.728693E-4</v>
      </c>
      <c r="O85" s="2">
        <v>2.75545599999999E-4</v>
      </c>
      <c r="P85" s="2">
        <v>2.783698E-4</v>
      </c>
      <c r="Q85" s="2">
        <v>2.810054E-4</v>
      </c>
      <c r="R85" s="2">
        <v>2.830202E-4</v>
      </c>
      <c r="S85" s="2">
        <v>2.834443E-4</v>
      </c>
    </row>
    <row r="86" ht="14.25" hidden="1" customHeight="1">
      <c r="A86" s="1" t="s">
        <v>5</v>
      </c>
      <c r="B86" s="1" t="s">
        <v>32</v>
      </c>
      <c r="C86" s="1" t="s">
        <v>21</v>
      </c>
      <c r="D86" s="1" t="s">
        <v>24</v>
      </c>
      <c r="E86" s="2">
        <v>8.49719E-6</v>
      </c>
      <c r="F86" s="2">
        <v>2.639975E-5</v>
      </c>
      <c r="G86" s="2">
        <v>3.650475E-5</v>
      </c>
      <c r="H86" s="2">
        <v>7.474042E-5</v>
      </c>
      <c r="I86" s="2">
        <v>6.29318999999999E-5</v>
      </c>
      <c r="J86" s="2">
        <v>5.041976E-5</v>
      </c>
      <c r="K86" s="2">
        <v>4.75794E-5</v>
      </c>
      <c r="L86" s="2">
        <v>4.72264E-5</v>
      </c>
      <c r="M86" s="2">
        <v>4.742161E-5</v>
      </c>
      <c r="N86" s="2">
        <v>4.85453E-5</v>
      </c>
      <c r="O86" s="2">
        <v>4.95822999999999E-5</v>
      </c>
      <c r="P86" s="2">
        <v>5.18082E-5</v>
      </c>
      <c r="Q86" s="2">
        <v>5.36735999999999E-5</v>
      </c>
      <c r="R86" s="2">
        <v>5.53674999999999E-5</v>
      </c>
      <c r="S86" s="2">
        <v>5.68218E-5</v>
      </c>
    </row>
    <row r="87" ht="14.25" hidden="1" customHeight="1">
      <c r="A87" s="1" t="s">
        <v>5</v>
      </c>
      <c r="B87" s="1" t="s">
        <v>32</v>
      </c>
      <c r="C87" s="1" t="s">
        <v>21</v>
      </c>
      <c r="D87" s="1" t="s">
        <v>12</v>
      </c>
      <c r="E87" s="2">
        <v>5.0E-7</v>
      </c>
      <c r="F87" s="2">
        <v>1.7E-6</v>
      </c>
      <c r="G87" s="2">
        <v>2.28617E-6</v>
      </c>
      <c r="H87" s="2">
        <v>5.14325E-6</v>
      </c>
      <c r="I87" s="2">
        <v>7.92028E-6</v>
      </c>
      <c r="J87" s="2">
        <v>7.96907E-6</v>
      </c>
      <c r="K87" s="2">
        <v>5.83542E-6</v>
      </c>
      <c r="L87" s="2">
        <v>5.79445E-6</v>
      </c>
      <c r="M87" s="2">
        <v>5.47818E-6</v>
      </c>
      <c r="N87" s="2">
        <v>5.6664E-6</v>
      </c>
      <c r="O87" s="2">
        <v>5.80878E-6</v>
      </c>
      <c r="P87" s="2">
        <v>5.97745E-6</v>
      </c>
      <c r="Q87" s="2">
        <v>6.15629E-6</v>
      </c>
      <c r="R87" s="2">
        <v>6.35992E-6</v>
      </c>
      <c r="S87" s="2">
        <v>6.53687E-6</v>
      </c>
    </row>
    <row r="88" ht="14.25" hidden="1" customHeight="1">
      <c r="A88" s="1" t="s">
        <v>5</v>
      </c>
      <c r="B88" s="1" t="s">
        <v>32</v>
      </c>
      <c r="C88" s="1" t="s">
        <v>21</v>
      </c>
      <c r="D88" s="1" t="s">
        <v>13</v>
      </c>
      <c r="E88" s="2">
        <v>1.05705E-5</v>
      </c>
      <c r="F88" s="2">
        <v>3.29756E-5</v>
      </c>
      <c r="G88" s="2">
        <v>8.28186E-5</v>
      </c>
      <c r="H88" s="2">
        <v>8.55305E-5</v>
      </c>
      <c r="I88" s="2">
        <v>1.116371E-4</v>
      </c>
      <c r="J88" s="2">
        <v>2.10263E-4</v>
      </c>
      <c r="K88" s="2">
        <v>3.204249E-4</v>
      </c>
      <c r="L88" s="2">
        <v>4.537536E-4</v>
      </c>
      <c r="M88" s="2">
        <v>5.991166E-4</v>
      </c>
      <c r="N88" s="2">
        <v>7.584903E-4</v>
      </c>
      <c r="O88" s="2">
        <v>9.14633999999999E-4</v>
      </c>
      <c r="P88" s="1">
        <v>0.0010500198</v>
      </c>
      <c r="Q88" s="1">
        <v>0.00118104729999999</v>
      </c>
      <c r="R88" s="1">
        <v>0.0013061066</v>
      </c>
      <c r="S88" s="1">
        <v>0.001422078</v>
      </c>
    </row>
    <row r="89" ht="14.25" hidden="1" customHeight="1">
      <c r="A89" s="1" t="s">
        <v>5</v>
      </c>
      <c r="B89" s="1" t="s">
        <v>32</v>
      </c>
      <c r="C89" s="1" t="s">
        <v>21</v>
      </c>
      <c r="D89" s="1" t="s">
        <v>14</v>
      </c>
      <c r="E89" s="2">
        <v>5.29772E-6</v>
      </c>
      <c r="F89" s="2">
        <v>1.64945E-5</v>
      </c>
      <c r="G89" s="2">
        <v>4.13863E-5</v>
      </c>
      <c r="H89" s="2">
        <v>1.014245E-4</v>
      </c>
      <c r="I89" s="2">
        <v>8.83081E-5</v>
      </c>
      <c r="J89" s="2">
        <v>5.60323E-5</v>
      </c>
      <c r="K89" s="2">
        <v>4.33318E-5</v>
      </c>
      <c r="L89" s="2">
        <v>4.19704E-5</v>
      </c>
      <c r="M89" s="2">
        <v>5.08745E-5</v>
      </c>
      <c r="N89" s="2">
        <v>5.66587E-5</v>
      </c>
      <c r="O89" s="2">
        <v>6.68252E-5</v>
      </c>
      <c r="P89" s="2">
        <v>7.86817E-5</v>
      </c>
      <c r="Q89" s="2">
        <v>8.62188E-5</v>
      </c>
      <c r="R89" s="2">
        <v>9.40129E-5</v>
      </c>
      <c r="S89" s="2">
        <v>1.009491E-4</v>
      </c>
    </row>
    <row r="90" ht="14.25" hidden="1" customHeight="1">
      <c r="A90" s="1" t="s">
        <v>5</v>
      </c>
      <c r="B90" s="1" t="s">
        <v>32</v>
      </c>
      <c r="C90" s="1" t="s">
        <v>21</v>
      </c>
      <c r="D90" s="1" t="s">
        <v>25</v>
      </c>
      <c r="E90" s="2">
        <v>5.3E-6</v>
      </c>
      <c r="F90" s="2">
        <v>1.65E-5</v>
      </c>
      <c r="G90" s="2">
        <v>4.14E-5</v>
      </c>
      <c r="H90" s="2">
        <v>6.76919E-5</v>
      </c>
      <c r="I90" s="2">
        <v>7.73078E-5</v>
      </c>
      <c r="J90" s="2">
        <v>7.64013E-5</v>
      </c>
      <c r="K90" s="2">
        <v>6.88084E-5</v>
      </c>
      <c r="L90" s="2">
        <v>6.32678E-5</v>
      </c>
      <c r="M90" s="2">
        <v>5.46812999999999E-5</v>
      </c>
      <c r="N90" s="2">
        <v>5.94341E-5</v>
      </c>
      <c r="O90" s="2">
        <v>6.75934E-5</v>
      </c>
      <c r="P90" s="2">
        <v>7.76852999999999E-5</v>
      </c>
      <c r="Q90" s="2">
        <v>8.8442E-5</v>
      </c>
      <c r="R90" s="2">
        <v>9.93156E-5</v>
      </c>
      <c r="S90" s="2">
        <v>1.089773E-4</v>
      </c>
    </row>
    <row r="91" ht="14.25" hidden="1" customHeight="1">
      <c r="A91" s="1" t="s">
        <v>5</v>
      </c>
      <c r="B91" s="1" t="s">
        <v>32</v>
      </c>
      <c r="C91" s="1" t="s">
        <v>21</v>
      </c>
      <c r="D91" s="1" t="s">
        <v>26</v>
      </c>
      <c r="E91" s="2">
        <v>5.30526999999999E-6</v>
      </c>
      <c r="F91" s="2">
        <v>1.648717E-5</v>
      </c>
      <c r="G91" s="2">
        <v>4.14057099999999E-5</v>
      </c>
      <c r="H91" s="2">
        <v>2.6266063E-4</v>
      </c>
      <c r="I91" s="2">
        <v>4.399073E-4</v>
      </c>
      <c r="J91" s="2">
        <v>8.361075E-4</v>
      </c>
      <c r="K91" s="2">
        <v>9.10016E-4</v>
      </c>
      <c r="L91" s="2">
        <v>9.46661E-4</v>
      </c>
      <c r="M91" s="2">
        <v>8.97587999999999E-4</v>
      </c>
      <c r="N91" s="1">
        <v>0.001049201</v>
      </c>
      <c r="O91" s="1">
        <v>0.001254126</v>
      </c>
      <c r="P91" s="1">
        <v>0.00147336999999999</v>
      </c>
      <c r="Q91" s="1">
        <v>0.001687573</v>
      </c>
      <c r="R91" s="1">
        <v>0.001881077</v>
      </c>
      <c r="S91" s="1">
        <v>0.00203256899999999</v>
      </c>
    </row>
    <row r="92" ht="14.25" hidden="1" customHeight="1">
      <c r="A92" s="1" t="s">
        <v>5</v>
      </c>
      <c r="B92" s="1" t="s">
        <v>32</v>
      </c>
      <c r="C92" s="1" t="s">
        <v>21</v>
      </c>
      <c r="D92" s="1" t="s">
        <v>27</v>
      </c>
      <c r="E92" s="2">
        <v>7.39542E-6</v>
      </c>
      <c r="F92" s="2">
        <v>2.309782E-5</v>
      </c>
      <c r="G92" s="2">
        <v>5.80023E-5</v>
      </c>
      <c r="H92" s="2">
        <v>1.5834437E-4</v>
      </c>
      <c r="I92" s="2">
        <v>1.842385E-4</v>
      </c>
      <c r="J92" s="2">
        <v>2.2728639E-4</v>
      </c>
      <c r="K92" s="2">
        <v>2.464457E-4</v>
      </c>
      <c r="L92" s="2">
        <v>2.769542E-4</v>
      </c>
      <c r="M92" s="2">
        <v>3.1248E-4</v>
      </c>
      <c r="N92" s="2">
        <v>3.546139E-4</v>
      </c>
      <c r="O92" s="2">
        <v>3.999924E-4</v>
      </c>
      <c r="P92" s="2">
        <v>4.52510099999999E-4</v>
      </c>
      <c r="Q92" s="2">
        <v>5.072313E-4</v>
      </c>
      <c r="R92" s="2">
        <v>5.597295E-4</v>
      </c>
      <c r="S92" s="2">
        <v>6.094981E-4</v>
      </c>
    </row>
    <row r="93" ht="14.25" hidden="1" customHeight="1">
      <c r="A93" s="1" t="s">
        <v>5</v>
      </c>
      <c r="B93" s="1" t="s">
        <v>32</v>
      </c>
      <c r="C93" s="1" t="s">
        <v>21</v>
      </c>
      <c r="D93" s="1" t="s">
        <v>28</v>
      </c>
      <c r="E93" s="2">
        <v>5.0E-7</v>
      </c>
      <c r="F93" s="2">
        <v>1.6E-6</v>
      </c>
      <c r="G93" s="2">
        <v>4.1E-6</v>
      </c>
      <c r="H93" s="2">
        <v>5.11693E-6</v>
      </c>
      <c r="I93" s="2">
        <v>6.42489E-6</v>
      </c>
      <c r="J93" s="2">
        <v>6.05297E-6</v>
      </c>
      <c r="K93" s="2">
        <v>5.45142E-6</v>
      </c>
      <c r="L93" s="2">
        <v>5.01246E-6</v>
      </c>
      <c r="M93" s="2">
        <v>4.33218E-6</v>
      </c>
      <c r="N93" s="2">
        <v>4.70873E-6</v>
      </c>
      <c r="O93" s="2">
        <v>5.35515E-6</v>
      </c>
      <c r="P93" s="2">
        <v>6.1547E-6</v>
      </c>
      <c r="Q93" s="2">
        <v>7.00691E-6</v>
      </c>
      <c r="R93" s="2">
        <v>7.86837E-6</v>
      </c>
      <c r="S93" s="2">
        <v>8.63384E-6</v>
      </c>
    </row>
    <row r="94" ht="14.25" hidden="1" customHeight="1">
      <c r="A94" s="1" t="s">
        <v>5</v>
      </c>
      <c r="B94" s="1" t="s">
        <v>32</v>
      </c>
      <c r="C94" s="1" t="s">
        <v>29</v>
      </c>
      <c r="D94" s="1" t="s">
        <v>16</v>
      </c>
      <c r="E94" s="2">
        <v>4.87575E-6</v>
      </c>
      <c r="F94" s="2">
        <v>9.50145E-6</v>
      </c>
      <c r="G94" s="2">
        <v>1.42583E-4</v>
      </c>
      <c r="H94" s="2">
        <v>1.1962507E-4</v>
      </c>
      <c r="I94" s="2">
        <v>1.2713848E-4</v>
      </c>
      <c r="J94" s="2">
        <v>1.1951117E-4</v>
      </c>
      <c r="K94" s="2">
        <v>1.1488764E-4</v>
      </c>
      <c r="L94" s="2">
        <v>1.162089E-4</v>
      </c>
      <c r="M94" s="2">
        <v>1.0492628E-4</v>
      </c>
      <c r="N94" s="2">
        <v>1.25395359999999E-4</v>
      </c>
      <c r="O94" s="2">
        <v>1.508651E-4</v>
      </c>
      <c r="P94" s="2">
        <v>1.8275808E-4</v>
      </c>
      <c r="Q94" s="2">
        <v>2.19609359999999E-4</v>
      </c>
      <c r="R94" s="2">
        <v>2.5980757E-4</v>
      </c>
      <c r="S94" s="2">
        <v>2.9940589E-4</v>
      </c>
    </row>
    <row r="95" ht="14.25" hidden="1" customHeight="1">
      <c r="A95" s="1" t="s">
        <v>5</v>
      </c>
      <c r="B95" s="1" t="s">
        <v>32</v>
      </c>
      <c r="C95" s="1" t="s">
        <v>29</v>
      </c>
      <c r="D95" s="1" t="s">
        <v>8</v>
      </c>
      <c r="E95" s="2">
        <v>9.90145E-6</v>
      </c>
      <c r="F95" s="2">
        <v>1.89992E-5</v>
      </c>
      <c r="G95" s="2">
        <v>2.85146E-4</v>
      </c>
      <c r="H95" s="2">
        <v>2.201221225E-4</v>
      </c>
      <c r="I95" s="2">
        <v>7.148733406E-4</v>
      </c>
      <c r="J95" s="2">
        <v>6.39422802E-4</v>
      </c>
      <c r="K95" s="2">
        <v>5.405930612E-4</v>
      </c>
      <c r="L95" s="2">
        <v>4.14104820519999E-4</v>
      </c>
      <c r="M95" s="2">
        <v>2.5723478186E-4</v>
      </c>
      <c r="N95" s="2">
        <v>2.054747E-4</v>
      </c>
      <c r="O95" s="2">
        <v>1.6040595E-4</v>
      </c>
      <c r="P95" s="2">
        <v>1.8340098E-4</v>
      </c>
      <c r="Q95" s="2">
        <v>2.0968444E-4</v>
      </c>
      <c r="R95" s="2">
        <v>2.3637562E-4</v>
      </c>
      <c r="S95" s="2">
        <v>2.6184065E-4</v>
      </c>
    </row>
    <row r="96" ht="14.25" hidden="1" customHeight="1">
      <c r="A96" s="1" t="s">
        <v>5</v>
      </c>
      <c r="B96" s="1" t="s">
        <v>32</v>
      </c>
      <c r="C96" s="1" t="s">
        <v>29</v>
      </c>
      <c r="D96" s="1" t="s">
        <v>10</v>
      </c>
      <c r="E96" s="2">
        <v>2.15325E-5</v>
      </c>
      <c r="F96" s="2">
        <v>4.12278E-5</v>
      </c>
      <c r="G96" s="2">
        <v>2.17115E-5</v>
      </c>
      <c r="H96" s="2">
        <v>2.870558E-4</v>
      </c>
      <c r="I96" s="2">
        <v>2.487643E-4</v>
      </c>
      <c r="J96" s="2">
        <v>2.054355763E-4</v>
      </c>
      <c r="K96" s="2">
        <v>1.787428443E-4</v>
      </c>
      <c r="L96" s="2">
        <v>1.323184774E-4</v>
      </c>
      <c r="M96" s="2">
        <v>9.45097382E-5</v>
      </c>
      <c r="N96" s="2">
        <v>5.87525589E-5</v>
      </c>
      <c r="O96" s="2">
        <v>5.369744197E-5</v>
      </c>
      <c r="P96" s="2">
        <v>4.755302E-5</v>
      </c>
      <c r="Q96" s="2">
        <v>4.138139E-5</v>
      </c>
      <c r="R96" s="2">
        <v>3.8806E-5</v>
      </c>
      <c r="S96" s="2">
        <v>3.736226E-5</v>
      </c>
    </row>
    <row r="97" ht="14.25" hidden="1" customHeight="1">
      <c r="A97" s="1" t="s">
        <v>5</v>
      </c>
      <c r="B97" s="1" t="s">
        <v>32</v>
      </c>
      <c r="C97" s="1" t="s">
        <v>29</v>
      </c>
      <c r="D97" s="1" t="s">
        <v>11</v>
      </c>
      <c r="E97" s="2">
        <v>1.93597E-4</v>
      </c>
      <c r="F97" s="2">
        <v>3.71473E-4</v>
      </c>
      <c r="G97" s="2">
        <v>1.95849E-4</v>
      </c>
      <c r="H97" s="2">
        <v>1.5573647E-4</v>
      </c>
      <c r="I97" s="2">
        <v>1.7213708E-4</v>
      </c>
      <c r="J97" s="2">
        <v>1.8249643E-4</v>
      </c>
      <c r="K97" s="2">
        <v>1.8618433E-4</v>
      </c>
      <c r="L97" s="2">
        <v>1.9412024E-4</v>
      </c>
      <c r="M97" s="2">
        <v>1.78401382E-4</v>
      </c>
      <c r="N97" s="2">
        <v>1.9713339E-4</v>
      </c>
      <c r="O97" s="2">
        <v>2.08788209999999E-4</v>
      </c>
      <c r="P97" s="2">
        <v>2.1696268E-4</v>
      </c>
      <c r="Q97" s="2">
        <v>2.2596545E-4</v>
      </c>
      <c r="R97" s="2">
        <v>2.3536499E-4</v>
      </c>
      <c r="S97" s="2">
        <v>2.4472213E-4</v>
      </c>
    </row>
    <row r="98" ht="14.25" hidden="1" customHeight="1">
      <c r="A98" s="1" t="s">
        <v>5</v>
      </c>
      <c r="B98" s="1" t="s">
        <v>32</v>
      </c>
      <c r="C98" s="1" t="s">
        <v>29</v>
      </c>
      <c r="D98" s="1" t="s">
        <v>13</v>
      </c>
      <c r="E98" s="2">
        <v>2.20385E-5</v>
      </c>
      <c r="F98" s="2">
        <v>4.24685E-5</v>
      </c>
      <c r="G98" s="2">
        <v>4.64104E-5</v>
      </c>
      <c r="H98" s="2">
        <v>2.600186E-4</v>
      </c>
      <c r="I98" s="2">
        <v>3.023729E-4</v>
      </c>
      <c r="J98" s="2">
        <v>2.898028E-4</v>
      </c>
      <c r="K98" s="2">
        <v>2.684736E-4</v>
      </c>
      <c r="L98" s="2">
        <v>2.390061E-4</v>
      </c>
      <c r="M98" s="2">
        <v>2.087261E-4</v>
      </c>
      <c r="N98" s="2">
        <v>1.848681E-4</v>
      </c>
      <c r="O98" s="2">
        <v>1.8354463E-4</v>
      </c>
      <c r="P98" s="2">
        <v>1.8645924E-4</v>
      </c>
      <c r="Q98" s="2">
        <v>1.9313422E-4</v>
      </c>
      <c r="R98" s="2">
        <v>2.02094449999999E-4</v>
      </c>
      <c r="S98" s="2">
        <v>2.11559939999999E-4</v>
      </c>
    </row>
    <row r="99" ht="14.25" hidden="1" customHeight="1">
      <c r="A99" s="1" t="s">
        <v>5</v>
      </c>
      <c r="B99" s="1" t="s">
        <v>32</v>
      </c>
      <c r="C99" s="1" t="s">
        <v>29</v>
      </c>
      <c r="D99" s="1" t="s">
        <v>14</v>
      </c>
      <c r="E99" s="2">
        <v>2.74082E-4</v>
      </c>
      <c r="F99" s="2">
        <v>5.26225E-4</v>
      </c>
      <c r="G99" s="2">
        <v>5.75309E-4</v>
      </c>
      <c r="H99" s="2">
        <v>5.419369E-4</v>
      </c>
      <c r="I99" s="2">
        <v>6.163793E-4</v>
      </c>
      <c r="J99" s="2">
        <v>5.550307E-4</v>
      </c>
      <c r="K99" s="2">
        <v>4.677504E-4</v>
      </c>
      <c r="L99" s="2">
        <v>3.821285E-4</v>
      </c>
      <c r="M99" s="2">
        <v>2.51089799999999E-4</v>
      </c>
      <c r="N99" s="2">
        <v>2.59567E-4</v>
      </c>
      <c r="O99" s="2">
        <v>2.9344307E-4</v>
      </c>
      <c r="P99" s="2">
        <v>3.4648457E-4</v>
      </c>
      <c r="Q99" s="2">
        <v>4.038687E-4</v>
      </c>
      <c r="R99" s="2">
        <v>4.643635E-4</v>
      </c>
      <c r="S99" s="2">
        <v>5.211022E-4</v>
      </c>
    </row>
    <row r="100" ht="14.25" hidden="1" customHeight="1">
      <c r="A100" s="1" t="s">
        <v>5</v>
      </c>
      <c r="B100" s="1" t="s">
        <v>32</v>
      </c>
      <c r="C100" s="1" t="s">
        <v>31</v>
      </c>
      <c r="D100" s="1" t="s">
        <v>11</v>
      </c>
      <c r="E100" s="2">
        <v>3.69994E-5</v>
      </c>
      <c r="F100" s="2">
        <v>4.32852E-5</v>
      </c>
      <c r="G100" s="2">
        <v>4.61352E-5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</row>
    <row r="101" ht="14.25" hidden="1" customHeight="1">
      <c r="A101" s="1" t="s">
        <v>5</v>
      </c>
      <c r="B101" s="1" t="s">
        <v>33</v>
      </c>
      <c r="C101" s="1" t="s">
        <v>7</v>
      </c>
      <c r="D101" s="1" t="s">
        <v>8</v>
      </c>
      <c r="E101" s="1">
        <v>0.00969344</v>
      </c>
      <c r="F101" s="1">
        <v>0.0123407</v>
      </c>
      <c r="G101" s="1">
        <v>0.0132066</v>
      </c>
      <c r="H101" s="1">
        <v>0.00314677</v>
      </c>
      <c r="I101" s="1">
        <v>0.00545603</v>
      </c>
      <c r="J101" s="2">
        <v>9.27612E-4</v>
      </c>
      <c r="K101" s="2">
        <v>5.85504E-4</v>
      </c>
      <c r="L101" s="2">
        <v>5.33972E-4</v>
      </c>
      <c r="M101" s="2">
        <v>4.02606E-4</v>
      </c>
      <c r="N101" s="2">
        <v>2.37347E-4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</row>
    <row r="102" ht="14.25" hidden="1" customHeight="1">
      <c r="A102" s="1" t="s">
        <v>5</v>
      </c>
      <c r="B102" s="1" t="s">
        <v>33</v>
      </c>
      <c r="C102" s="1" t="s">
        <v>9</v>
      </c>
      <c r="D102" s="1" t="s">
        <v>8</v>
      </c>
      <c r="E102" s="1">
        <v>0.00252641</v>
      </c>
      <c r="F102" s="1">
        <v>0.00221574</v>
      </c>
      <c r="G102" s="1">
        <v>0.00325893</v>
      </c>
      <c r="H102" s="1">
        <v>0.00583236</v>
      </c>
      <c r="I102" s="2">
        <v>1.17999E-4</v>
      </c>
      <c r="J102" s="2">
        <v>1.93862E-10</v>
      </c>
      <c r="K102" s="1">
        <v>0.0</v>
      </c>
      <c r="L102" s="1">
        <v>0.0</v>
      </c>
      <c r="M102" s="1">
        <v>0.0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</row>
    <row r="103" ht="14.25" hidden="1" customHeight="1">
      <c r="A103" s="1" t="s">
        <v>5</v>
      </c>
      <c r="B103" s="1" t="s">
        <v>33</v>
      </c>
      <c r="C103" s="1" t="s">
        <v>9</v>
      </c>
      <c r="D103" s="1" t="s">
        <v>10</v>
      </c>
      <c r="E103" s="1">
        <v>0.00383029</v>
      </c>
      <c r="F103" s="1">
        <v>0.0033593</v>
      </c>
      <c r="G103" s="2">
        <v>2.7869E-4</v>
      </c>
      <c r="H103" s="2">
        <v>1.8459E-6</v>
      </c>
      <c r="I103" s="2">
        <v>9.63979E-4</v>
      </c>
      <c r="J103" s="1">
        <v>0.00240622</v>
      </c>
      <c r="K103" s="1">
        <v>0.0</v>
      </c>
      <c r="L103" s="1">
        <v>0.0</v>
      </c>
      <c r="M103" s="1">
        <v>0.0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</row>
    <row r="104" ht="14.25" hidden="1" customHeight="1">
      <c r="A104" s="1" t="s">
        <v>5</v>
      </c>
      <c r="B104" s="1" t="s">
        <v>33</v>
      </c>
      <c r="C104" s="1" t="s">
        <v>9</v>
      </c>
      <c r="D104" s="1" t="s">
        <v>11</v>
      </c>
      <c r="E104" s="1">
        <v>0.00383032</v>
      </c>
      <c r="F104" s="1">
        <v>0.00335913</v>
      </c>
      <c r="G104" s="2">
        <v>2.78705E-4</v>
      </c>
      <c r="H104" s="1">
        <v>0.00110037</v>
      </c>
      <c r="I104" s="2">
        <v>3.30508E-6</v>
      </c>
      <c r="J104" s="2">
        <v>5.66806E-6</v>
      </c>
      <c r="K104" s="1">
        <v>0.0</v>
      </c>
      <c r="L104" s="1">
        <v>0.0</v>
      </c>
      <c r="M104" s="1">
        <v>0.0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</row>
    <row r="105" ht="14.25" hidden="1" customHeight="1">
      <c r="A105" s="1" t="s">
        <v>5</v>
      </c>
      <c r="B105" s="1" t="s">
        <v>33</v>
      </c>
      <c r="C105" s="1" t="s">
        <v>9</v>
      </c>
      <c r="D105" s="1" t="s">
        <v>12</v>
      </c>
      <c r="E105" s="2">
        <v>3.8311E-4</v>
      </c>
      <c r="F105" s="2">
        <v>3.35996E-4</v>
      </c>
      <c r="G105" s="2">
        <v>2.79787E-5</v>
      </c>
      <c r="H105" s="2">
        <v>3.80637E-5</v>
      </c>
      <c r="I105" s="2">
        <v>4.29987E-5</v>
      </c>
      <c r="J105" s="2">
        <v>2.03159E-5</v>
      </c>
      <c r="K105" s="1">
        <v>0.0</v>
      </c>
      <c r="L105" s="1">
        <v>0.0</v>
      </c>
      <c r="M105" s="1">
        <v>0.0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</row>
    <row r="106" ht="14.25" hidden="1" customHeight="1">
      <c r="A106" s="1" t="s">
        <v>5</v>
      </c>
      <c r="B106" s="1" t="s">
        <v>33</v>
      </c>
      <c r="C106" s="1" t="s">
        <v>9</v>
      </c>
      <c r="D106" s="1" t="s">
        <v>13</v>
      </c>
      <c r="E106" s="1">
        <v>0.0</v>
      </c>
      <c r="F106" s="1">
        <v>0.0</v>
      </c>
      <c r="G106" s="1">
        <v>0.0</v>
      </c>
      <c r="H106" s="2">
        <v>2.8352E-4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</row>
    <row r="107" ht="14.25" hidden="1" customHeight="1">
      <c r="A107" s="1" t="s">
        <v>5</v>
      </c>
      <c r="B107" s="1" t="s">
        <v>33</v>
      </c>
      <c r="C107" s="1" t="s">
        <v>9</v>
      </c>
      <c r="D107" s="1" t="s">
        <v>14</v>
      </c>
      <c r="E107" s="1">
        <v>0.0</v>
      </c>
      <c r="F107" s="1">
        <v>0.0</v>
      </c>
      <c r="G107" s="1">
        <v>0.0</v>
      </c>
      <c r="H107" s="2">
        <v>2.14193E-4</v>
      </c>
      <c r="I107" s="1">
        <v>0.0</v>
      </c>
      <c r="J107" s="1">
        <v>0.0</v>
      </c>
      <c r="K107" s="1">
        <v>0.0</v>
      </c>
      <c r="L107" s="1">
        <v>0.0</v>
      </c>
      <c r="M107" s="1">
        <v>0.0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0.0</v>
      </c>
    </row>
    <row r="108" ht="14.25" hidden="1" customHeight="1">
      <c r="A108" s="1" t="s">
        <v>5</v>
      </c>
      <c r="B108" s="1" t="s">
        <v>33</v>
      </c>
      <c r="C108" s="1" t="s">
        <v>15</v>
      </c>
      <c r="D108" s="1" t="s">
        <v>16</v>
      </c>
      <c r="E108" s="2">
        <v>6.29733E-6</v>
      </c>
      <c r="F108" s="2">
        <v>9.49958E-6</v>
      </c>
      <c r="G108" s="2">
        <v>3.59985E-6</v>
      </c>
      <c r="H108" s="2">
        <v>3.90708679999999E-4</v>
      </c>
      <c r="I108" s="2">
        <v>6.3859108E-4</v>
      </c>
      <c r="J108" s="1">
        <v>0.00186063091999999</v>
      </c>
      <c r="K108" s="1">
        <v>0.00313805676999999</v>
      </c>
      <c r="L108" s="1">
        <v>0.00474549417</v>
      </c>
      <c r="M108" s="1">
        <v>0.0068152207</v>
      </c>
      <c r="N108" s="1">
        <v>0.0089495269</v>
      </c>
      <c r="O108" s="1">
        <v>0.011281611</v>
      </c>
      <c r="P108" s="1">
        <v>0.013785216</v>
      </c>
      <c r="Q108" s="1">
        <v>0.016461919</v>
      </c>
      <c r="R108" s="1">
        <v>0.019228736</v>
      </c>
      <c r="S108" s="1">
        <v>0.0220638799999999</v>
      </c>
    </row>
    <row r="109" ht="14.25" hidden="1" customHeight="1">
      <c r="A109" s="1" t="s">
        <v>5</v>
      </c>
      <c r="B109" s="1" t="s">
        <v>33</v>
      </c>
      <c r="C109" s="1" t="s">
        <v>15</v>
      </c>
      <c r="D109" s="1" t="s">
        <v>13</v>
      </c>
      <c r="E109" s="2">
        <v>7.09941E-6</v>
      </c>
      <c r="F109" s="2">
        <v>1.07999E-5</v>
      </c>
      <c r="G109" s="2">
        <v>4.09991E-6</v>
      </c>
      <c r="H109" s="2">
        <v>3.2313738E-6</v>
      </c>
      <c r="I109" s="2">
        <v>2.7272847E-6</v>
      </c>
      <c r="J109" s="2">
        <v>3.8344765E-6</v>
      </c>
      <c r="K109" s="2">
        <v>5.76971981E-6</v>
      </c>
      <c r="L109" s="2">
        <v>7.38395464E-6</v>
      </c>
      <c r="M109" s="2">
        <v>8.21034195E-6</v>
      </c>
      <c r="N109" s="2">
        <v>9.50371735E-6</v>
      </c>
      <c r="O109" s="2">
        <v>9.905523E-6</v>
      </c>
      <c r="P109" s="2">
        <v>9.734419E-6</v>
      </c>
      <c r="Q109" s="2">
        <v>9.590996E-6</v>
      </c>
      <c r="R109" s="2">
        <v>9.504509E-6</v>
      </c>
      <c r="S109" s="2">
        <v>9.60682599999999E-6</v>
      </c>
    </row>
    <row r="110" ht="14.25" customHeight="1">
      <c r="A110" s="1" t="s">
        <v>5</v>
      </c>
      <c r="B110" s="1" t="s">
        <v>33</v>
      </c>
      <c r="C110" s="1" t="s">
        <v>15</v>
      </c>
      <c r="D110" s="1" t="s">
        <v>14</v>
      </c>
      <c r="E110" s="2">
        <v>7.09048E-6</v>
      </c>
      <c r="F110" s="2">
        <v>1.079E-5</v>
      </c>
      <c r="G110" s="2">
        <v>4.10001E-6</v>
      </c>
      <c r="H110" s="2">
        <v>3.16474E-6</v>
      </c>
      <c r="I110" s="2">
        <v>4.435769E-5</v>
      </c>
      <c r="J110" s="1">
        <v>0.0033545294</v>
      </c>
      <c r="K110" s="1">
        <v>0.00681645671</v>
      </c>
      <c r="L110" s="1">
        <v>0.010479986063</v>
      </c>
      <c r="M110" s="1">
        <v>0.0158882087</v>
      </c>
      <c r="N110" s="1">
        <v>0.01985201615</v>
      </c>
      <c r="O110" s="1">
        <v>0.023933157</v>
      </c>
      <c r="P110" s="1">
        <v>0.027465416</v>
      </c>
      <c r="Q110" s="1">
        <v>0.031276817</v>
      </c>
      <c r="R110" s="1">
        <v>0.035263359</v>
      </c>
      <c r="S110" s="1">
        <v>0.03943932</v>
      </c>
    </row>
    <row r="111" ht="14.25" hidden="1" customHeight="1">
      <c r="A111" s="1" t="s">
        <v>5</v>
      </c>
      <c r="B111" s="1" t="s">
        <v>33</v>
      </c>
      <c r="C111" s="1" t="s">
        <v>17</v>
      </c>
      <c r="D111" s="1" t="s">
        <v>16</v>
      </c>
      <c r="E111" s="2">
        <v>1.05955E-5</v>
      </c>
      <c r="F111" s="2">
        <v>3.27986E-5</v>
      </c>
      <c r="G111" s="2">
        <v>5.03979E-5</v>
      </c>
      <c r="H111" s="2">
        <v>1.190221E-4</v>
      </c>
      <c r="I111" s="2">
        <v>1.0642074E-4</v>
      </c>
      <c r="J111" s="2">
        <v>2.7193255E-4</v>
      </c>
      <c r="K111" s="2">
        <v>3.9949191E-4</v>
      </c>
      <c r="L111" s="2">
        <v>5.4544263E-4</v>
      </c>
      <c r="M111" s="2">
        <v>7.4374576E-4</v>
      </c>
      <c r="N111" s="2">
        <v>9.56005492E-4</v>
      </c>
      <c r="O111" s="1">
        <v>0.0012191528</v>
      </c>
      <c r="P111" s="1">
        <v>0.0015378923</v>
      </c>
      <c r="Q111" s="1">
        <v>0.0018620129</v>
      </c>
      <c r="R111" s="1">
        <v>0.0022092707</v>
      </c>
      <c r="S111" s="1">
        <v>0.0025674764</v>
      </c>
    </row>
    <row r="112" ht="14.25" hidden="1" customHeight="1">
      <c r="A112" s="1" t="s">
        <v>5</v>
      </c>
      <c r="B112" s="1" t="s">
        <v>33</v>
      </c>
      <c r="C112" s="1" t="s">
        <v>17</v>
      </c>
      <c r="D112" s="1" t="s">
        <v>18</v>
      </c>
      <c r="E112" s="2">
        <v>3.60885E-4</v>
      </c>
      <c r="F112" s="1">
        <v>0.00112269</v>
      </c>
      <c r="G112" s="1">
        <v>0.00172288</v>
      </c>
      <c r="H112" s="1">
        <v>0.00143015</v>
      </c>
      <c r="I112" s="1">
        <v>0.00118648</v>
      </c>
      <c r="J112" s="1">
        <v>0.002114137</v>
      </c>
      <c r="K112" s="1">
        <v>0.002829342</v>
      </c>
      <c r="L112" s="1">
        <v>0.003669831</v>
      </c>
      <c r="M112" s="1">
        <v>0.004599421</v>
      </c>
      <c r="N112" s="1">
        <v>0.00564588299999999</v>
      </c>
      <c r="O112" s="1">
        <v>0.006732666</v>
      </c>
      <c r="P112" s="1">
        <v>0.007861255</v>
      </c>
      <c r="Q112" s="1">
        <v>0.008990128</v>
      </c>
      <c r="R112" s="1">
        <v>0.010128741</v>
      </c>
      <c r="S112" s="1">
        <v>0.011180746</v>
      </c>
    </row>
    <row r="113" ht="14.25" hidden="1" customHeight="1">
      <c r="A113" s="1" t="s">
        <v>5</v>
      </c>
      <c r="B113" s="1" t="s">
        <v>33</v>
      </c>
      <c r="C113" s="1" t="s">
        <v>17</v>
      </c>
      <c r="D113" s="1" t="s">
        <v>19</v>
      </c>
      <c r="E113" s="2">
        <v>1.64598E-4</v>
      </c>
      <c r="F113" s="2">
        <v>5.12098E-4</v>
      </c>
      <c r="G113" s="2">
        <v>7.85901E-4</v>
      </c>
      <c r="H113" s="2">
        <v>9.07072E-4</v>
      </c>
      <c r="I113" s="2">
        <v>7.032298E-4</v>
      </c>
      <c r="J113" s="1">
        <v>0.0017309844</v>
      </c>
      <c r="K113" s="1">
        <v>0.0024009701</v>
      </c>
      <c r="L113" s="1">
        <v>0.0032322003</v>
      </c>
      <c r="M113" s="1">
        <v>0.00419215499999999</v>
      </c>
      <c r="N113" s="1">
        <v>0.005299171</v>
      </c>
      <c r="O113" s="1">
        <v>0.006547209</v>
      </c>
      <c r="P113" s="1">
        <v>0.007913764</v>
      </c>
      <c r="Q113" s="1">
        <v>0.009366883</v>
      </c>
      <c r="R113" s="1">
        <v>0.010869264</v>
      </c>
      <c r="S113" s="1">
        <v>0.01238312</v>
      </c>
    </row>
    <row r="114" ht="14.25" hidden="1" customHeight="1">
      <c r="A114" s="1" t="s">
        <v>5</v>
      </c>
      <c r="B114" s="1" t="s">
        <v>33</v>
      </c>
      <c r="C114" s="1" t="s">
        <v>17</v>
      </c>
      <c r="D114" s="1" t="s">
        <v>8</v>
      </c>
      <c r="E114" s="2">
        <v>7.39033E-5</v>
      </c>
      <c r="F114" s="2">
        <v>2.29804E-4</v>
      </c>
      <c r="G114" s="2">
        <v>3.52603E-4</v>
      </c>
      <c r="H114" s="1">
        <v>0.001315158</v>
      </c>
      <c r="I114" s="2">
        <v>9.4392044538E-4</v>
      </c>
      <c r="J114" s="1">
        <v>0.01143999294149</v>
      </c>
      <c r="K114" s="1">
        <v>0.01709246872269</v>
      </c>
      <c r="L114" s="1">
        <v>0.02364707260389</v>
      </c>
      <c r="M114" s="1">
        <v>0.03112545</v>
      </c>
      <c r="N114" s="1">
        <v>0.03941269</v>
      </c>
      <c r="O114" s="1">
        <v>0.04867699</v>
      </c>
      <c r="P114" s="1">
        <v>0.05849699</v>
      </c>
      <c r="Q114" s="1">
        <v>0.0688153199999999</v>
      </c>
      <c r="R114" s="1">
        <v>0.07935624</v>
      </c>
      <c r="S114" s="1">
        <v>0.08985401</v>
      </c>
    </row>
    <row r="115" ht="14.25" hidden="1" customHeight="1">
      <c r="A115" s="1" t="s">
        <v>5</v>
      </c>
      <c r="B115" s="1" t="s">
        <v>33</v>
      </c>
      <c r="C115" s="1" t="s">
        <v>17</v>
      </c>
      <c r="D115" s="1" t="s">
        <v>20</v>
      </c>
      <c r="E115" s="2">
        <v>5.47368E-5</v>
      </c>
      <c r="F115" s="2">
        <v>1.70526E-4</v>
      </c>
      <c r="G115" s="2">
        <v>2.62105E-4</v>
      </c>
      <c r="H115" s="2">
        <v>3.14408E-4</v>
      </c>
      <c r="I115" s="2">
        <v>3.98298E-4</v>
      </c>
      <c r="J115" s="2">
        <v>6.15068199999999E-4</v>
      </c>
      <c r="K115" s="2">
        <v>8.594452E-4</v>
      </c>
      <c r="L115" s="1">
        <v>0.001133958</v>
      </c>
      <c r="M115" s="1">
        <v>0.001459535</v>
      </c>
      <c r="N115" s="1">
        <v>0.001834175</v>
      </c>
      <c r="O115" s="1">
        <v>0.002251859</v>
      </c>
      <c r="P115" s="1">
        <v>0.002703995</v>
      </c>
      <c r="Q115" s="1">
        <v>0.00317986999999999</v>
      </c>
      <c r="R115" s="1">
        <v>0.003666412</v>
      </c>
      <c r="S115" s="1">
        <v>0.004150171</v>
      </c>
    </row>
    <row r="116" ht="14.25" hidden="1" customHeight="1">
      <c r="A116" s="1" t="s">
        <v>5</v>
      </c>
      <c r="B116" s="1" t="s">
        <v>33</v>
      </c>
      <c r="C116" s="1" t="s">
        <v>21</v>
      </c>
      <c r="D116" s="1" t="s">
        <v>10</v>
      </c>
      <c r="E116" s="2">
        <v>5.86198E-4</v>
      </c>
      <c r="F116" s="1">
        <v>0.0018235</v>
      </c>
      <c r="G116" s="2">
        <v>9.45167E-4</v>
      </c>
      <c r="H116" s="1">
        <v>0.001257206</v>
      </c>
      <c r="I116" s="1">
        <v>0.001091358</v>
      </c>
      <c r="J116" s="2">
        <v>7.2897401E-4</v>
      </c>
      <c r="K116" s="1">
        <v>0.001923544531</v>
      </c>
      <c r="L116" s="1">
        <v>0.002151488454</v>
      </c>
      <c r="M116" s="1">
        <v>0.002282298219</v>
      </c>
      <c r="N116" s="1">
        <v>0.002377331</v>
      </c>
      <c r="O116" s="1">
        <v>0.002377797</v>
      </c>
      <c r="P116" s="1">
        <v>0.002389468</v>
      </c>
      <c r="Q116" s="1">
        <v>0.002393054</v>
      </c>
      <c r="R116" s="1">
        <v>0.00238389799999999</v>
      </c>
      <c r="S116" s="1">
        <v>0.00236139499999999</v>
      </c>
    </row>
    <row r="117" ht="14.25" hidden="1" customHeight="1">
      <c r="A117" s="1" t="s">
        <v>5</v>
      </c>
      <c r="B117" s="1" t="s">
        <v>33</v>
      </c>
      <c r="C117" s="1" t="s">
        <v>21</v>
      </c>
      <c r="D117" s="1" t="s">
        <v>11</v>
      </c>
      <c r="E117" s="2">
        <v>1.05E-5</v>
      </c>
      <c r="F117" s="2">
        <v>3.25983E-5</v>
      </c>
      <c r="G117" s="2">
        <v>1.69003E-5</v>
      </c>
      <c r="H117" s="2">
        <v>6.1829762E-4</v>
      </c>
      <c r="I117" s="2">
        <v>6.92096E-4</v>
      </c>
      <c r="J117" s="2">
        <v>4.60915E-4</v>
      </c>
      <c r="K117" s="2">
        <v>3.40794E-4</v>
      </c>
      <c r="L117" s="2">
        <v>2.87306E-4</v>
      </c>
      <c r="M117" s="2">
        <v>2.887273E-4</v>
      </c>
      <c r="N117" s="2">
        <v>2.325734E-4</v>
      </c>
      <c r="O117" s="2">
        <v>2.044054E-4</v>
      </c>
      <c r="P117" s="2">
        <v>2.016676E-4</v>
      </c>
      <c r="Q117" s="2">
        <v>1.941526E-4</v>
      </c>
      <c r="R117" s="2">
        <v>1.866096E-4</v>
      </c>
      <c r="S117" s="2">
        <v>1.804155E-4</v>
      </c>
    </row>
    <row r="118" ht="14.25" hidden="1" customHeight="1">
      <c r="A118" s="1" t="s">
        <v>5</v>
      </c>
      <c r="B118" s="1" t="s">
        <v>33</v>
      </c>
      <c r="C118" s="1" t="s">
        <v>21</v>
      </c>
      <c r="D118" s="1" t="s">
        <v>22</v>
      </c>
      <c r="E118" s="2">
        <v>1.05E-5</v>
      </c>
      <c r="F118" s="2">
        <v>3.26E-5</v>
      </c>
      <c r="G118" s="2">
        <v>1.69E-5</v>
      </c>
      <c r="H118" s="2">
        <v>2.34933499999999E-5</v>
      </c>
      <c r="I118" s="2">
        <v>2.90416199999999E-5</v>
      </c>
      <c r="J118" s="2">
        <v>3.3081E-5</v>
      </c>
      <c r="K118" s="2">
        <v>2.77704E-5</v>
      </c>
      <c r="L118" s="2">
        <v>2.650202E-5</v>
      </c>
      <c r="M118" s="2">
        <v>2.32817E-5</v>
      </c>
      <c r="N118" s="2">
        <v>2.274795E-5</v>
      </c>
      <c r="O118" s="2">
        <v>2.20237099999999E-5</v>
      </c>
      <c r="P118" s="2">
        <v>2.171755E-5</v>
      </c>
      <c r="Q118" s="2">
        <v>2.156648E-5</v>
      </c>
      <c r="R118" s="2">
        <v>2.151822E-5</v>
      </c>
      <c r="S118" s="2">
        <v>2.141265E-5</v>
      </c>
    </row>
    <row r="119" ht="14.25" hidden="1" customHeight="1">
      <c r="A119" s="1" t="s">
        <v>5</v>
      </c>
      <c r="B119" s="1" t="s">
        <v>33</v>
      </c>
      <c r="C119" s="1" t="s">
        <v>21</v>
      </c>
      <c r="D119" s="1" t="s">
        <v>23</v>
      </c>
      <c r="E119" s="2">
        <v>2.089734E-5</v>
      </c>
      <c r="F119" s="2">
        <v>6.51056E-5</v>
      </c>
      <c r="G119" s="2">
        <v>3.380418E-5</v>
      </c>
      <c r="H119" s="2">
        <v>1.55172039999999E-4</v>
      </c>
      <c r="I119" s="2">
        <v>2.913823E-4</v>
      </c>
      <c r="J119" s="2">
        <v>5.657244E-4</v>
      </c>
      <c r="K119" s="2">
        <v>5.47883E-4</v>
      </c>
      <c r="L119" s="2">
        <v>5.547095E-4</v>
      </c>
      <c r="M119" s="2">
        <v>5.033664E-4</v>
      </c>
      <c r="N119" s="2">
        <v>4.86102499999999E-4</v>
      </c>
      <c r="O119" s="2">
        <v>4.62286199999999E-4</v>
      </c>
      <c r="P119" s="2">
        <v>4.443325E-4</v>
      </c>
      <c r="Q119" s="2">
        <v>4.306968E-4</v>
      </c>
      <c r="R119" s="2">
        <v>4.179649E-4</v>
      </c>
      <c r="S119" s="2">
        <v>4.048624E-4</v>
      </c>
    </row>
    <row r="120" ht="14.25" hidden="1" customHeight="1">
      <c r="A120" s="1" t="s">
        <v>5</v>
      </c>
      <c r="B120" s="1" t="s">
        <v>33</v>
      </c>
      <c r="C120" s="1" t="s">
        <v>21</v>
      </c>
      <c r="D120" s="1" t="s">
        <v>24</v>
      </c>
      <c r="E120" s="2">
        <v>3.977986E-4</v>
      </c>
      <c r="F120" s="1">
        <v>0.001237403</v>
      </c>
      <c r="G120" s="2">
        <v>6.41396E-4</v>
      </c>
      <c r="H120" s="1">
        <v>0.0012622592</v>
      </c>
      <c r="I120" s="1">
        <v>0.001090241</v>
      </c>
      <c r="J120" s="2">
        <v>8.92765E-4</v>
      </c>
      <c r="K120" s="2">
        <v>8.33582E-4</v>
      </c>
      <c r="L120" s="2">
        <v>8.13391E-4</v>
      </c>
      <c r="M120" s="2">
        <v>7.92356E-4</v>
      </c>
      <c r="N120" s="2">
        <v>7.7532E-4</v>
      </c>
      <c r="O120" s="2">
        <v>7.60348E-4</v>
      </c>
      <c r="P120" s="2">
        <v>7.67503E-4</v>
      </c>
      <c r="Q120" s="2">
        <v>7.70492E-4</v>
      </c>
      <c r="R120" s="2">
        <v>7.6993E-4</v>
      </c>
      <c r="S120" s="2">
        <v>7.65723E-4</v>
      </c>
    </row>
    <row r="121" ht="14.25" hidden="1" customHeight="1">
      <c r="A121" s="1" t="s">
        <v>5</v>
      </c>
      <c r="B121" s="1" t="s">
        <v>33</v>
      </c>
      <c r="C121" s="1" t="s">
        <v>21</v>
      </c>
      <c r="D121" s="1" t="s">
        <v>12</v>
      </c>
      <c r="E121" s="2">
        <v>1.00029E-6</v>
      </c>
      <c r="F121" s="2">
        <v>3.30094E-6</v>
      </c>
      <c r="G121" s="2">
        <v>1.70479E-6</v>
      </c>
      <c r="H121" s="2">
        <v>1.7204E-8</v>
      </c>
      <c r="I121" s="2">
        <v>2.12515E-6</v>
      </c>
      <c r="J121" s="2">
        <v>7.93795E-6</v>
      </c>
      <c r="K121" s="2">
        <v>1.05037E-5</v>
      </c>
      <c r="L121" s="2">
        <v>1.00255E-5</v>
      </c>
      <c r="M121" s="2">
        <v>8.80732E-6</v>
      </c>
      <c r="N121" s="2">
        <v>8.60543E-6</v>
      </c>
      <c r="O121" s="2">
        <v>8.33147E-6</v>
      </c>
      <c r="P121" s="2">
        <v>8.21566E-6</v>
      </c>
      <c r="Q121" s="2">
        <v>8.15851E-6</v>
      </c>
      <c r="R121" s="2">
        <v>8.14024E-6</v>
      </c>
      <c r="S121" s="2">
        <v>8.1003E-6</v>
      </c>
    </row>
    <row r="122" ht="14.25" hidden="1" customHeight="1">
      <c r="A122" s="1" t="s">
        <v>5</v>
      </c>
      <c r="B122" s="1" t="s">
        <v>33</v>
      </c>
      <c r="C122" s="1" t="s">
        <v>21</v>
      </c>
      <c r="D122" s="1" t="s">
        <v>13</v>
      </c>
      <c r="E122" s="2">
        <v>3.6417E-4</v>
      </c>
      <c r="F122" s="1">
        <v>0.00113289</v>
      </c>
      <c r="G122" s="1">
        <v>0.00173106</v>
      </c>
      <c r="H122" s="1">
        <v>0.001543397</v>
      </c>
      <c r="I122" s="1">
        <v>0.001798305</v>
      </c>
      <c r="J122" s="1">
        <v>0.00268803</v>
      </c>
      <c r="K122" s="1">
        <v>0.0036671644</v>
      </c>
      <c r="L122" s="1">
        <v>0.004839796</v>
      </c>
      <c r="M122" s="1">
        <v>0.006399612</v>
      </c>
      <c r="N122" s="1">
        <v>0.008145316</v>
      </c>
      <c r="O122" s="1">
        <v>0.009817791</v>
      </c>
      <c r="P122" s="1">
        <v>0.011436158</v>
      </c>
      <c r="Q122" s="1">
        <v>0.013109902</v>
      </c>
      <c r="R122" s="1">
        <v>0.0148157</v>
      </c>
      <c r="S122" s="1">
        <v>0.0165387499999999</v>
      </c>
    </row>
    <row r="123" ht="14.25" hidden="1" customHeight="1">
      <c r="A123" s="1" t="s">
        <v>5</v>
      </c>
      <c r="B123" s="1" t="s">
        <v>33</v>
      </c>
      <c r="C123" s="1" t="s">
        <v>21</v>
      </c>
      <c r="D123" s="1" t="s">
        <v>14</v>
      </c>
      <c r="E123" s="2">
        <v>1.06857E-5</v>
      </c>
      <c r="F123" s="2">
        <v>3.3269E-5</v>
      </c>
      <c r="G123" s="2">
        <v>5.09001E-5</v>
      </c>
      <c r="H123" s="2">
        <v>1.724906E-4</v>
      </c>
      <c r="I123" s="2">
        <v>2.803039E-4</v>
      </c>
      <c r="J123" s="2">
        <v>1.18391E-4</v>
      </c>
      <c r="K123" s="2">
        <v>3.27407999999999E-5</v>
      </c>
      <c r="L123" s="2">
        <v>3.244324E-5</v>
      </c>
      <c r="M123" s="2">
        <v>4.908198E-5</v>
      </c>
      <c r="N123" s="2">
        <v>5.60228999999999E-5</v>
      </c>
      <c r="O123" s="2">
        <v>7.04179E-5</v>
      </c>
      <c r="P123" s="2">
        <v>9.04988E-5</v>
      </c>
      <c r="Q123" s="2">
        <v>1.041384E-4</v>
      </c>
      <c r="R123" s="2">
        <v>1.187695E-4</v>
      </c>
      <c r="S123" s="2">
        <v>1.327946E-4</v>
      </c>
    </row>
    <row r="124" ht="14.25" hidden="1" customHeight="1">
      <c r="A124" s="1" t="s">
        <v>5</v>
      </c>
      <c r="B124" s="1" t="s">
        <v>33</v>
      </c>
      <c r="C124" s="1" t="s">
        <v>21</v>
      </c>
      <c r="D124" s="1" t="s">
        <v>25</v>
      </c>
      <c r="E124" s="2">
        <v>1.07E-5</v>
      </c>
      <c r="F124" s="2">
        <v>3.33E-5</v>
      </c>
      <c r="G124" s="2">
        <v>5.09E-5</v>
      </c>
      <c r="H124" s="2">
        <v>6.6299E-5</v>
      </c>
      <c r="I124" s="2">
        <v>8.01653E-5</v>
      </c>
      <c r="J124" s="2">
        <v>7.16749E-5</v>
      </c>
      <c r="K124" s="2">
        <v>5.74534E-5</v>
      </c>
      <c r="L124" s="2">
        <v>4.4242E-5</v>
      </c>
      <c r="M124" s="2">
        <v>2.56539E-5</v>
      </c>
      <c r="N124" s="2">
        <v>2.502666E-5</v>
      </c>
      <c r="O124" s="2">
        <v>2.6535E-5</v>
      </c>
      <c r="P124" s="2">
        <v>3.1317E-5</v>
      </c>
      <c r="Q124" s="2">
        <v>3.68063E-5</v>
      </c>
      <c r="R124" s="2">
        <v>4.26889E-5</v>
      </c>
      <c r="S124" s="2">
        <v>4.83327E-5</v>
      </c>
    </row>
    <row r="125" ht="14.25" hidden="1" customHeight="1">
      <c r="A125" s="1" t="s">
        <v>5</v>
      </c>
      <c r="B125" s="1" t="s">
        <v>33</v>
      </c>
      <c r="C125" s="1" t="s">
        <v>21</v>
      </c>
      <c r="D125" s="1" t="s">
        <v>26</v>
      </c>
      <c r="E125" s="2">
        <v>2.140354E-5</v>
      </c>
      <c r="F125" s="2">
        <v>6.65960999999999E-5</v>
      </c>
      <c r="G125" s="2">
        <v>1.018014E-4</v>
      </c>
      <c r="H125" s="2">
        <v>4.4967E-4</v>
      </c>
      <c r="I125" s="2">
        <v>8.40385E-4</v>
      </c>
      <c r="J125" s="1">
        <v>0.0015166666</v>
      </c>
      <c r="K125" s="1">
        <v>0.001518405</v>
      </c>
      <c r="L125" s="1">
        <v>0.001354465</v>
      </c>
      <c r="M125" s="2">
        <v>8.77733E-4</v>
      </c>
      <c r="N125" s="2">
        <v>9.085646E-4</v>
      </c>
      <c r="O125" s="1">
        <v>0.001011982</v>
      </c>
      <c r="P125" s="1">
        <v>0.00120686499999999</v>
      </c>
      <c r="Q125" s="1">
        <v>0.001420315</v>
      </c>
      <c r="R125" s="1">
        <v>0.00162766599999999</v>
      </c>
      <c r="S125" s="1">
        <v>0.00181088099999999</v>
      </c>
    </row>
    <row r="126" ht="14.25" hidden="1" customHeight="1">
      <c r="A126" s="1" t="s">
        <v>5</v>
      </c>
      <c r="B126" s="1" t="s">
        <v>33</v>
      </c>
      <c r="C126" s="1" t="s">
        <v>21</v>
      </c>
      <c r="D126" s="1" t="s">
        <v>27</v>
      </c>
      <c r="E126" s="2">
        <v>2.055987E-4</v>
      </c>
      <c r="F126" s="2">
        <v>6.39701E-4</v>
      </c>
      <c r="G126" s="2">
        <v>9.77597E-4</v>
      </c>
      <c r="H126" s="1">
        <v>0.00226445699999999</v>
      </c>
      <c r="I126" s="1">
        <v>0.002603157</v>
      </c>
      <c r="J126" s="1">
        <v>0.00305245689999999</v>
      </c>
      <c r="K126" s="1">
        <v>0.003061066</v>
      </c>
      <c r="L126" s="1">
        <v>0.00318410799999999</v>
      </c>
      <c r="M126" s="1">
        <v>0.003571254</v>
      </c>
      <c r="N126" s="1">
        <v>0.004015061</v>
      </c>
      <c r="O126" s="1">
        <v>0.004518067</v>
      </c>
      <c r="P126" s="1">
        <v>0.005187212</v>
      </c>
      <c r="Q126" s="1">
        <v>0.005923508</v>
      </c>
      <c r="R126" s="1">
        <v>0.00668091</v>
      </c>
      <c r="S126" s="1">
        <v>0.007458855</v>
      </c>
    </row>
    <row r="127" ht="14.25" hidden="1" customHeight="1">
      <c r="A127" s="1" t="s">
        <v>5</v>
      </c>
      <c r="B127" s="1" t="s">
        <v>33</v>
      </c>
      <c r="C127" s="1" t="s">
        <v>21</v>
      </c>
      <c r="D127" s="1" t="s">
        <v>28</v>
      </c>
      <c r="E127" s="2">
        <v>1.1E-6</v>
      </c>
      <c r="F127" s="2">
        <v>3.3E-6</v>
      </c>
      <c r="G127" s="2">
        <v>5.1E-6</v>
      </c>
      <c r="H127" s="2">
        <v>5.01087E-6</v>
      </c>
      <c r="I127" s="2">
        <v>6.68017E-6</v>
      </c>
      <c r="J127" s="2">
        <v>5.74551E-6</v>
      </c>
      <c r="K127" s="2">
        <v>4.60551E-6</v>
      </c>
      <c r="L127" s="2">
        <v>3.54647E-6</v>
      </c>
      <c r="M127" s="2">
        <v>2.05644E-6</v>
      </c>
      <c r="N127" s="2">
        <v>2.00615E-6</v>
      </c>
      <c r="O127" s="2">
        <v>2.12707E-6</v>
      </c>
      <c r="P127" s="2">
        <v>2.5104E-6</v>
      </c>
      <c r="Q127" s="2">
        <v>2.95042E-6</v>
      </c>
      <c r="R127" s="2">
        <v>3.42198E-6</v>
      </c>
      <c r="S127" s="2">
        <v>3.87438E-6</v>
      </c>
    </row>
    <row r="128" ht="14.25" hidden="1" customHeight="1">
      <c r="A128" s="1" t="s">
        <v>5</v>
      </c>
      <c r="B128" s="1" t="s">
        <v>33</v>
      </c>
      <c r="C128" s="1" t="s">
        <v>29</v>
      </c>
      <c r="D128" s="1" t="s">
        <v>16</v>
      </c>
      <c r="E128" s="2">
        <v>2.60689E-4</v>
      </c>
      <c r="F128" s="2">
        <v>5.00678E-4</v>
      </c>
      <c r="G128" s="1">
        <v>0.00130295</v>
      </c>
      <c r="H128" s="1">
        <v>0.001307153</v>
      </c>
      <c r="I128" s="1">
        <v>0.001267701</v>
      </c>
      <c r="J128" s="1">
        <v>0.001402153</v>
      </c>
      <c r="K128" s="1">
        <v>0.00140872399999999</v>
      </c>
      <c r="L128" s="1">
        <v>0.0014212688</v>
      </c>
      <c r="M128" s="1">
        <v>0.0013100355</v>
      </c>
      <c r="N128" s="1">
        <v>0.0014314405</v>
      </c>
      <c r="O128" s="1">
        <v>0.0016141321</v>
      </c>
      <c r="P128" s="1">
        <v>0.0018429381</v>
      </c>
      <c r="Q128" s="1">
        <v>0.0021182095</v>
      </c>
      <c r="R128" s="1">
        <v>0.0024214303</v>
      </c>
      <c r="S128" s="1">
        <v>0.0027117603</v>
      </c>
    </row>
    <row r="129" ht="14.25" hidden="1" customHeight="1">
      <c r="A129" s="1" t="s">
        <v>5</v>
      </c>
      <c r="B129" s="1" t="s">
        <v>33</v>
      </c>
      <c r="C129" s="1" t="s">
        <v>29</v>
      </c>
      <c r="D129" s="1" t="s">
        <v>8</v>
      </c>
      <c r="E129" s="2">
        <v>4.3502E-5</v>
      </c>
      <c r="F129" s="2">
        <v>8.34014E-5</v>
      </c>
      <c r="G129" s="2">
        <v>2.17202E-4</v>
      </c>
      <c r="H129" s="2">
        <v>1.67812384E-4</v>
      </c>
      <c r="I129" s="1">
        <v>0.001939574788</v>
      </c>
      <c r="J129" s="1">
        <v>0.00183273655</v>
      </c>
      <c r="K129" s="1">
        <v>0.0016403098919</v>
      </c>
      <c r="L129" s="1">
        <v>0.0013377643335</v>
      </c>
      <c r="M129" s="1">
        <v>0.00101208729589999</v>
      </c>
      <c r="N129" s="2">
        <v>8.748804E-4</v>
      </c>
      <c r="O129" s="2">
        <v>7.634167E-4</v>
      </c>
      <c r="P129" s="2">
        <v>8.85747E-4</v>
      </c>
      <c r="Q129" s="1">
        <v>0.00102755679999999</v>
      </c>
      <c r="R129" s="1">
        <v>0.0011741323</v>
      </c>
      <c r="S129" s="1">
        <v>0.00131578689999999</v>
      </c>
    </row>
    <row r="130" ht="14.25" hidden="1" customHeight="1">
      <c r="A130" s="1" t="s">
        <v>5</v>
      </c>
      <c r="B130" s="1" t="s">
        <v>33</v>
      </c>
      <c r="C130" s="1" t="s">
        <v>29</v>
      </c>
      <c r="D130" s="1" t="s">
        <v>10</v>
      </c>
      <c r="E130" s="2">
        <v>8.59998E-6</v>
      </c>
      <c r="F130" s="2">
        <v>1.65E-5</v>
      </c>
      <c r="G130" s="2">
        <v>4.29985E-5</v>
      </c>
      <c r="H130" s="2">
        <v>8.4831E-4</v>
      </c>
      <c r="I130" s="2">
        <v>7.4107456E-4</v>
      </c>
      <c r="J130" s="2">
        <v>6.1288646511E-4</v>
      </c>
      <c r="K130" s="2">
        <v>4.3400876907E-4</v>
      </c>
      <c r="L130" s="2">
        <v>2.5096172912E-4</v>
      </c>
      <c r="M130" s="2">
        <v>1.1952383755E-4</v>
      </c>
      <c r="N130" s="2">
        <v>1.058784599E-5</v>
      </c>
      <c r="O130" s="2">
        <v>8.480266043E-6</v>
      </c>
      <c r="P130" s="2">
        <v>6.98914E-6</v>
      </c>
      <c r="Q130" s="2">
        <v>5.532127E-6</v>
      </c>
      <c r="R130" s="2">
        <v>4.901234E-6</v>
      </c>
      <c r="S130" s="2">
        <v>4.5411E-6</v>
      </c>
    </row>
    <row r="131" ht="14.25" hidden="1" customHeight="1">
      <c r="A131" s="1" t="s">
        <v>5</v>
      </c>
      <c r="B131" s="1" t="s">
        <v>33</v>
      </c>
      <c r="C131" s="1" t="s">
        <v>29</v>
      </c>
      <c r="D131" s="1" t="s">
        <v>11</v>
      </c>
      <c r="E131" s="1">
        <v>0.00119631</v>
      </c>
      <c r="F131" s="1">
        <v>0.00229658</v>
      </c>
      <c r="G131" s="1">
        <v>0.00597252</v>
      </c>
      <c r="H131" s="1">
        <v>0.004859828</v>
      </c>
      <c r="I131" s="1">
        <v>0.00654032</v>
      </c>
      <c r="J131" s="1">
        <v>0.006770394</v>
      </c>
      <c r="K131" s="1">
        <v>0.00663478899999999</v>
      </c>
      <c r="L131" s="1">
        <v>0.0063634947</v>
      </c>
      <c r="M131" s="1">
        <v>0.00547281419999999</v>
      </c>
      <c r="N131" s="1">
        <v>0.005395664</v>
      </c>
      <c r="O131" s="1">
        <v>0.005229223</v>
      </c>
      <c r="P131" s="1">
        <v>0.005145931</v>
      </c>
      <c r="Q131" s="1">
        <v>0.005109802</v>
      </c>
      <c r="R131" s="1">
        <v>0.005097396</v>
      </c>
      <c r="S131" s="1">
        <v>0.00508964</v>
      </c>
    </row>
    <row r="132" ht="14.25" hidden="1" customHeight="1">
      <c r="A132" s="1" t="s">
        <v>5</v>
      </c>
      <c r="B132" s="1" t="s">
        <v>33</v>
      </c>
      <c r="C132" s="1" t="s">
        <v>29</v>
      </c>
      <c r="D132" s="1" t="s">
        <v>13</v>
      </c>
      <c r="E132" s="2">
        <v>1.09991E-6</v>
      </c>
      <c r="F132" s="2">
        <v>2.09999E-6</v>
      </c>
      <c r="G132" s="2">
        <v>9.20979E-5</v>
      </c>
      <c r="H132" s="1">
        <v>0.0033050192</v>
      </c>
      <c r="I132" s="1">
        <v>0.0039367835</v>
      </c>
      <c r="J132" s="1">
        <v>0.00372757399999999</v>
      </c>
      <c r="K132" s="1">
        <v>0.00339098539999999</v>
      </c>
      <c r="L132" s="1">
        <v>0.00285789669999999</v>
      </c>
      <c r="M132" s="1">
        <v>0.002449302</v>
      </c>
      <c r="N132" s="1">
        <v>0.002043436</v>
      </c>
      <c r="O132" s="1">
        <v>0.0019891211</v>
      </c>
      <c r="P132" s="1">
        <v>0.002028754</v>
      </c>
      <c r="Q132" s="1">
        <v>0.002128037</v>
      </c>
      <c r="R132" s="1">
        <v>0.0022724965</v>
      </c>
      <c r="S132" s="1">
        <v>0.0024332582</v>
      </c>
    </row>
    <row r="133" ht="14.25" hidden="1" customHeight="1">
      <c r="A133" s="1" t="s">
        <v>5</v>
      </c>
      <c r="B133" s="1" t="s">
        <v>33</v>
      </c>
      <c r="C133" s="1" t="s">
        <v>29</v>
      </c>
      <c r="D133" s="1" t="s">
        <v>14</v>
      </c>
      <c r="E133" s="2">
        <v>1.99432E-4</v>
      </c>
      <c r="F133" s="2">
        <v>3.83143E-4</v>
      </c>
      <c r="G133" s="1">
        <v>0.0171163</v>
      </c>
      <c r="H133" s="1">
        <v>0.01450303</v>
      </c>
      <c r="I133" s="1">
        <v>0.01698541</v>
      </c>
      <c r="J133" s="1">
        <v>0.013961304</v>
      </c>
      <c r="K133" s="1">
        <v>0.010673361</v>
      </c>
      <c r="L133" s="1">
        <v>0.00744856899999999</v>
      </c>
      <c r="M133" s="1">
        <v>0.00270397799999999</v>
      </c>
      <c r="N133" s="1">
        <v>0.0021623206</v>
      </c>
      <c r="O133" s="1">
        <v>0.0020132705</v>
      </c>
      <c r="P133" s="1">
        <v>0.0025527777</v>
      </c>
      <c r="Q133" s="1">
        <v>0.0031513699</v>
      </c>
      <c r="R133" s="1">
        <v>0.0038231634</v>
      </c>
      <c r="S133" s="1">
        <v>0.00449250009999999</v>
      </c>
    </row>
    <row r="134" ht="14.25" hidden="1" customHeight="1">
      <c r="A134" s="1" t="s">
        <v>5</v>
      </c>
      <c r="B134" s="1" t="s">
        <v>33</v>
      </c>
      <c r="C134" s="1" t="s">
        <v>31</v>
      </c>
      <c r="D134" s="1" t="s">
        <v>11</v>
      </c>
      <c r="E134" s="1">
        <v>0.00378972</v>
      </c>
      <c r="F134" s="1">
        <v>0.00443997</v>
      </c>
      <c r="G134" s="1">
        <v>0.00471939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1">
        <v>0.0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</row>
    <row r="135" ht="14.25" hidden="1" customHeight="1">
      <c r="A135" s="1" t="s">
        <v>5</v>
      </c>
      <c r="B135" s="1" t="s">
        <v>34</v>
      </c>
      <c r="C135" s="1" t="s">
        <v>7</v>
      </c>
      <c r="D135" s="1" t="s">
        <v>8</v>
      </c>
      <c r="E135" s="1">
        <v>0.0113074</v>
      </c>
      <c r="F135" s="1">
        <v>0.0143958</v>
      </c>
      <c r="G135" s="1">
        <v>0.0154061</v>
      </c>
      <c r="H135" s="1">
        <v>0.00595185</v>
      </c>
      <c r="I135" s="1">
        <v>0.0142535</v>
      </c>
      <c r="J135" s="1">
        <v>0.00176182</v>
      </c>
      <c r="K135" s="1">
        <v>0.0011141</v>
      </c>
      <c r="L135" s="1">
        <v>0.0010212</v>
      </c>
      <c r="M135" s="2">
        <v>7.5064E-4</v>
      </c>
      <c r="N135" s="2">
        <v>4.36706E-4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</row>
    <row r="136" ht="14.25" hidden="1" customHeight="1">
      <c r="A136" s="1" t="s">
        <v>5</v>
      </c>
      <c r="B136" s="1" t="s">
        <v>34</v>
      </c>
      <c r="C136" s="1" t="s">
        <v>9</v>
      </c>
      <c r="D136" s="1" t="s">
        <v>8</v>
      </c>
      <c r="E136" s="1">
        <v>0.0282658</v>
      </c>
      <c r="F136" s="1">
        <v>0.0247906</v>
      </c>
      <c r="G136" s="1">
        <v>0.0364615</v>
      </c>
      <c r="H136" s="1">
        <v>0.0141181</v>
      </c>
      <c r="I136" s="1">
        <v>0.00182569</v>
      </c>
      <c r="J136" s="2">
        <v>4.43879E-10</v>
      </c>
      <c r="K136" s="1">
        <v>0.0</v>
      </c>
      <c r="L136" s="1">
        <v>0.0</v>
      </c>
      <c r="M136" s="1">
        <v>0.0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</row>
    <row r="137" ht="14.25" hidden="1" customHeight="1">
      <c r="A137" s="1" t="s">
        <v>5</v>
      </c>
      <c r="B137" s="1" t="s">
        <v>34</v>
      </c>
      <c r="C137" s="1" t="s">
        <v>9</v>
      </c>
      <c r="D137" s="1" t="s">
        <v>10</v>
      </c>
      <c r="E137" s="1">
        <v>0.00494995</v>
      </c>
      <c r="F137" s="1">
        <v>0.00434134</v>
      </c>
      <c r="G137" s="1">
        <v>0.00571983</v>
      </c>
      <c r="H137" s="2">
        <v>1.15721E-6</v>
      </c>
      <c r="I137" s="1">
        <v>0.00239395</v>
      </c>
      <c r="J137" s="1">
        <v>0.0164757</v>
      </c>
      <c r="K137" s="1">
        <v>0.0</v>
      </c>
      <c r="L137" s="1">
        <v>0.0</v>
      </c>
      <c r="M137" s="1">
        <v>0.0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0.0</v>
      </c>
    </row>
    <row r="138" ht="14.25" hidden="1" customHeight="1">
      <c r="A138" s="1" t="s">
        <v>5</v>
      </c>
      <c r="B138" s="1" t="s">
        <v>34</v>
      </c>
      <c r="C138" s="1" t="s">
        <v>9</v>
      </c>
      <c r="D138" s="1" t="s">
        <v>11</v>
      </c>
      <c r="E138" s="1">
        <v>0.0049499</v>
      </c>
      <c r="F138" s="1">
        <v>0.0043413</v>
      </c>
      <c r="G138" s="1">
        <v>0.0057197</v>
      </c>
      <c r="H138" s="2">
        <v>1.45681E-4</v>
      </c>
      <c r="I138" s="1">
        <v>0.0</v>
      </c>
      <c r="J138" s="2">
        <v>1.90028E-4</v>
      </c>
      <c r="K138" s="1">
        <v>0.0</v>
      </c>
      <c r="L138" s="1">
        <v>0.0</v>
      </c>
      <c r="M138" s="1">
        <v>0.0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</row>
    <row r="139" ht="14.25" hidden="1" customHeight="1">
      <c r="A139" s="1" t="s">
        <v>5</v>
      </c>
      <c r="B139" s="1" t="s">
        <v>34</v>
      </c>
      <c r="C139" s="1" t="s">
        <v>9</v>
      </c>
      <c r="D139" s="1" t="s">
        <v>12</v>
      </c>
      <c r="E139" s="2">
        <v>4.9511E-4</v>
      </c>
      <c r="F139" s="2">
        <v>4.34218E-4</v>
      </c>
      <c r="G139" s="2">
        <v>5.72E-4</v>
      </c>
      <c r="H139" s="2">
        <v>5.60684E-4</v>
      </c>
      <c r="I139" s="2">
        <v>4.3642E-4</v>
      </c>
      <c r="J139" s="2">
        <v>3.72454E-4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</row>
    <row r="140" ht="14.25" hidden="1" customHeight="1">
      <c r="A140" s="1" t="s">
        <v>5</v>
      </c>
      <c r="B140" s="1" t="s">
        <v>34</v>
      </c>
      <c r="C140" s="1" t="s">
        <v>9</v>
      </c>
      <c r="D140" s="1" t="s">
        <v>13</v>
      </c>
      <c r="E140" s="1">
        <v>0.0</v>
      </c>
      <c r="F140" s="1">
        <v>0.0</v>
      </c>
      <c r="G140" s="1">
        <v>0.0</v>
      </c>
      <c r="H140" s="2">
        <v>1.27841E-4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</row>
    <row r="141" ht="14.25" hidden="1" customHeight="1">
      <c r="A141" s="1" t="s">
        <v>5</v>
      </c>
      <c r="B141" s="1" t="s">
        <v>34</v>
      </c>
      <c r="C141" s="1" t="s">
        <v>9</v>
      </c>
      <c r="D141" s="1" t="s">
        <v>14</v>
      </c>
      <c r="E141" s="1">
        <v>0.0</v>
      </c>
      <c r="F141" s="1">
        <v>0.0</v>
      </c>
      <c r="G141" s="1">
        <v>0.0</v>
      </c>
      <c r="H141" s="2">
        <v>1.37801E-4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</row>
    <row r="142" ht="14.25" hidden="1" customHeight="1">
      <c r="A142" s="1" t="s">
        <v>5</v>
      </c>
      <c r="B142" s="1" t="s">
        <v>34</v>
      </c>
      <c r="C142" s="1" t="s">
        <v>15</v>
      </c>
      <c r="D142" s="1" t="s">
        <v>16</v>
      </c>
      <c r="E142" s="1">
        <v>0.0</v>
      </c>
      <c r="F142" s="1">
        <v>0.0</v>
      </c>
      <c r="G142" s="1">
        <v>0.0</v>
      </c>
      <c r="H142" s="1">
        <v>0.0</v>
      </c>
      <c r="I142" s="2">
        <v>2.84933E-4</v>
      </c>
      <c r="J142" s="2">
        <v>7.14276E-4</v>
      </c>
      <c r="K142" s="1">
        <v>0.001297888</v>
      </c>
      <c r="L142" s="1">
        <v>0.002019184</v>
      </c>
      <c r="M142" s="1">
        <v>0.0029393012</v>
      </c>
      <c r="N142" s="1">
        <v>0.00382479</v>
      </c>
      <c r="O142" s="1">
        <v>0.0047645942</v>
      </c>
      <c r="P142" s="1">
        <v>0.0057816015</v>
      </c>
      <c r="Q142" s="1">
        <v>0.00687550699999999</v>
      </c>
      <c r="R142" s="1">
        <v>0.008012876</v>
      </c>
      <c r="S142" s="1">
        <v>0.009191751</v>
      </c>
    </row>
    <row r="143" ht="14.25" customHeight="1">
      <c r="A143" s="1" t="s">
        <v>5</v>
      </c>
      <c r="B143" s="1" t="s">
        <v>34</v>
      </c>
      <c r="C143" s="1" t="s">
        <v>15</v>
      </c>
      <c r="D143" s="1" t="s">
        <v>14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0.00514562</v>
      </c>
      <c r="K143" s="1">
        <v>0.02111993</v>
      </c>
      <c r="L143" s="1">
        <v>0.02718117</v>
      </c>
      <c r="M143" s="1">
        <v>0.03532734</v>
      </c>
      <c r="N143" s="1">
        <v>0.04097859</v>
      </c>
      <c r="O143" s="1">
        <v>0.046672244</v>
      </c>
      <c r="P143" s="1">
        <v>0.05391726</v>
      </c>
      <c r="Q143" s="1">
        <v>0.06180977</v>
      </c>
      <c r="R143" s="1">
        <v>0.07182258</v>
      </c>
      <c r="S143" s="1">
        <v>0.08253833</v>
      </c>
    </row>
    <row r="144" ht="14.25" hidden="1" customHeight="1">
      <c r="A144" s="1" t="s">
        <v>5</v>
      </c>
      <c r="B144" s="1" t="s">
        <v>34</v>
      </c>
      <c r="C144" s="1" t="s">
        <v>17</v>
      </c>
      <c r="D144" s="1" t="s">
        <v>16</v>
      </c>
      <c r="E144" s="2">
        <v>1.05988E-5</v>
      </c>
      <c r="F144" s="2">
        <v>3.30971E-5</v>
      </c>
      <c r="G144" s="2">
        <v>5.05998E-5</v>
      </c>
      <c r="H144" s="2">
        <v>2.900805E-4</v>
      </c>
      <c r="I144" s="2">
        <v>3.11336699999999E-4</v>
      </c>
      <c r="J144" s="2">
        <v>4.38721E-4</v>
      </c>
      <c r="K144" s="2">
        <v>4.975761E-4</v>
      </c>
      <c r="L144" s="2">
        <v>5.6436556E-4</v>
      </c>
      <c r="M144" s="2">
        <v>6.865641E-4</v>
      </c>
      <c r="N144" s="2">
        <v>8.16244729999999E-4</v>
      </c>
      <c r="O144" s="2">
        <v>9.875345E-4</v>
      </c>
      <c r="P144" s="1">
        <v>0.001194162</v>
      </c>
      <c r="Q144" s="1">
        <v>0.0014038146</v>
      </c>
      <c r="R144" s="1">
        <v>0.0016283738</v>
      </c>
      <c r="S144" s="1">
        <v>0.0018671753</v>
      </c>
    </row>
    <row r="145" ht="14.25" hidden="1" customHeight="1">
      <c r="A145" s="1" t="s">
        <v>5</v>
      </c>
      <c r="B145" s="1" t="s">
        <v>34</v>
      </c>
      <c r="C145" s="1" t="s">
        <v>17</v>
      </c>
      <c r="D145" s="1" t="s">
        <v>18</v>
      </c>
      <c r="E145" s="2">
        <v>4.82692E-4</v>
      </c>
      <c r="F145" s="1">
        <v>0.00150162</v>
      </c>
      <c r="G145" s="1">
        <v>0.00229862</v>
      </c>
      <c r="H145" s="1">
        <v>0.00127473</v>
      </c>
      <c r="I145" s="2">
        <v>4.93876E-4</v>
      </c>
      <c r="J145" s="1">
        <v>0.001822525</v>
      </c>
      <c r="K145" s="1">
        <v>0.002428521</v>
      </c>
      <c r="L145" s="1">
        <v>0.003134919</v>
      </c>
      <c r="M145" s="1">
        <v>0.003877059</v>
      </c>
      <c r="N145" s="1">
        <v>0.0046948808</v>
      </c>
      <c r="O145" s="1">
        <v>0.00550371559999999</v>
      </c>
      <c r="P145" s="1">
        <v>0.006313853</v>
      </c>
      <c r="Q145" s="1">
        <v>0.007108944</v>
      </c>
      <c r="R145" s="1">
        <v>0.007936905</v>
      </c>
      <c r="S145" s="1">
        <v>0.008709825</v>
      </c>
    </row>
    <row r="146" ht="14.25" hidden="1" customHeight="1">
      <c r="A146" s="1" t="s">
        <v>5</v>
      </c>
      <c r="B146" s="1" t="s">
        <v>34</v>
      </c>
      <c r="C146" s="1" t="s">
        <v>17</v>
      </c>
      <c r="D146" s="1" t="s">
        <v>19</v>
      </c>
      <c r="E146" s="2">
        <v>2.19E-4</v>
      </c>
      <c r="F146" s="2">
        <v>6.81301E-4</v>
      </c>
      <c r="G146" s="1">
        <v>0.001043</v>
      </c>
      <c r="H146" s="1">
        <v>0.001131902</v>
      </c>
      <c r="I146" s="2">
        <v>2.95713E-4</v>
      </c>
      <c r="J146" s="1">
        <v>0.0018552</v>
      </c>
      <c r="K146" s="1">
        <v>0.002409934</v>
      </c>
      <c r="L146" s="1">
        <v>0.003085145</v>
      </c>
      <c r="M146" s="1">
        <v>0.003837109</v>
      </c>
      <c r="N146" s="1">
        <v>0.004699998</v>
      </c>
      <c r="O146" s="1">
        <v>0.005676148</v>
      </c>
      <c r="P146" s="1">
        <v>0.006747345</v>
      </c>
      <c r="Q146" s="1">
        <v>0.00789503999999999</v>
      </c>
      <c r="R146" s="1">
        <v>0.009094968</v>
      </c>
      <c r="S146" s="1">
        <v>0.010321831</v>
      </c>
    </row>
    <row r="147" ht="14.25" hidden="1" customHeight="1">
      <c r="A147" s="1" t="s">
        <v>5</v>
      </c>
      <c r="B147" s="1" t="s">
        <v>34</v>
      </c>
      <c r="C147" s="1" t="s">
        <v>17</v>
      </c>
      <c r="D147" s="1" t="s">
        <v>8</v>
      </c>
      <c r="E147" s="2">
        <v>9.77999E-5</v>
      </c>
      <c r="F147" s="2">
        <v>3.04301E-4</v>
      </c>
      <c r="G147" s="2">
        <v>4.65803E-4</v>
      </c>
      <c r="H147" s="1">
        <v>0.003505031</v>
      </c>
      <c r="I147" s="1">
        <v>0.0025273097433</v>
      </c>
      <c r="J147" s="1">
        <v>0.0287560455762</v>
      </c>
      <c r="K147" s="1">
        <v>0.04151936037167</v>
      </c>
      <c r="L147" s="1">
        <v>0.05644500516714</v>
      </c>
      <c r="M147" s="1">
        <v>0.0727804</v>
      </c>
      <c r="N147" s="1">
        <v>0.09028114</v>
      </c>
      <c r="O147" s="1">
        <v>0.10934659</v>
      </c>
      <c r="P147" s="1">
        <v>0.12947588</v>
      </c>
      <c r="Q147" s="1">
        <v>0.1506383</v>
      </c>
      <c r="R147" s="1">
        <v>0.1724585</v>
      </c>
      <c r="S147" s="1">
        <v>0.1945096</v>
      </c>
    </row>
    <row r="148" ht="14.25" hidden="1" customHeight="1">
      <c r="A148" s="1" t="s">
        <v>5</v>
      </c>
      <c r="B148" s="1" t="s">
        <v>34</v>
      </c>
      <c r="C148" s="1" t="s">
        <v>17</v>
      </c>
      <c r="D148" s="1" t="s">
        <v>20</v>
      </c>
      <c r="E148" s="2">
        <v>7.21053E-5</v>
      </c>
      <c r="F148" s="2">
        <v>2.24737E-4</v>
      </c>
      <c r="G148" s="2">
        <v>3.44211E-4</v>
      </c>
      <c r="H148" s="2">
        <v>3.85532E-4</v>
      </c>
      <c r="I148" s="2">
        <v>1.96112999999999E-4</v>
      </c>
      <c r="J148" s="2">
        <v>6.496958E-4</v>
      </c>
      <c r="K148" s="2">
        <v>8.54056E-4</v>
      </c>
      <c r="L148" s="1">
        <v>0.001072595</v>
      </c>
      <c r="M148" s="1">
        <v>0.00132130699999999</v>
      </c>
      <c r="N148" s="1">
        <v>0.001609566</v>
      </c>
      <c r="O148" s="1">
        <v>0.001932287</v>
      </c>
      <c r="P148" s="1">
        <v>0.002281208</v>
      </c>
      <c r="Q148" s="1">
        <v>0.002652056</v>
      </c>
      <c r="R148" s="1">
        <v>0.00303589099999999</v>
      </c>
      <c r="S148" s="1">
        <v>0.003423074</v>
      </c>
    </row>
    <row r="149" ht="14.25" hidden="1" customHeight="1">
      <c r="A149" s="1" t="s">
        <v>5</v>
      </c>
      <c r="B149" s="1" t="s">
        <v>34</v>
      </c>
      <c r="C149" s="1" t="s">
        <v>21</v>
      </c>
      <c r="D149" s="1" t="s">
        <v>10</v>
      </c>
      <c r="E149" s="1">
        <v>0.00135051</v>
      </c>
      <c r="F149" s="1">
        <v>0.00420144</v>
      </c>
      <c r="G149" s="1">
        <v>0.00167414</v>
      </c>
      <c r="H149" s="1">
        <v>0.00325485</v>
      </c>
      <c r="I149" s="1">
        <v>0.0027129</v>
      </c>
      <c r="J149" s="1">
        <v>0.0018112317</v>
      </c>
      <c r="K149" s="1">
        <v>0.0067095677</v>
      </c>
      <c r="L149" s="1">
        <v>0.0080263909</v>
      </c>
      <c r="M149" s="1">
        <v>0.00901266255999999</v>
      </c>
      <c r="N149" s="1">
        <v>0.0096883</v>
      </c>
      <c r="O149" s="1">
        <v>0.010086361</v>
      </c>
      <c r="P149" s="1">
        <v>0.010264399</v>
      </c>
      <c r="Q149" s="1">
        <v>0.010311451</v>
      </c>
      <c r="R149" s="1">
        <v>0.01019436</v>
      </c>
      <c r="S149" s="1">
        <v>0.010003219</v>
      </c>
    </row>
    <row r="150" ht="14.25" hidden="1" customHeight="1">
      <c r="A150" s="1" t="s">
        <v>5</v>
      </c>
      <c r="B150" s="1" t="s">
        <v>34</v>
      </c>
      <c r="C150" s="1" t="s">
        <v>21</v>
      </c>
      <c r="D150" s="1" t="s">
        <v>11</v>
      </c>
      <c r="E150" s="2">
        <v>1.07E-5</v>
      </c>
      <c r="F150" s="2">
        <v>3.33E-5</v>
      </c>
      <c r="G150" s="2">
        <v>1.33E-5</v>
      </c>
      <c r="H150" s="1">
        <v>0.01316829099</v>
      </c>
      <c r="I150" s="1">
        <v>0.005731110811519</v>
      </c>
      <c r="J150" s="1">
        <v>0.144668000353345</v>
      </c>
      <c r="K150" s="1">
        <v>0.1400422</v>
      </c>
      <c r="L150" s="1">
        <v>0.118378099999999</v>
      </c>
      <c r="M150" s="1">
        <v>0.1142909</v>
      </c>
      <c r="N150" s="1">
        <v>0.1150168</v>
      </c>
      <c r="O150" s="1">
        <v>0.1149279</v>
      </c>
      <c r="P150" s="1">
        <v>0.1027672</v>
      </c>
      <c r="Q150" s="1">
        <v>0.0939836999999999</v>
      </c>
      <c r="R150" s="1">
        <v>0.0885348</v>
      </c>
      <c r="S150" s="1">
        <v>0.0851116</v>
      </c>
    </row>
    <row r="151" ht="14.25" hidden="1" customHeight="1">
      <c r="A151" s="1" t="s">
        <v>5</v>
      </c>
      <c r="B151" s="1" t="s">
        <v>34</v>
      </c>
      <c r="C151" s="1" t="s">
        <v>21</v>
      </c>
      <c r="D151" s="1" t="s">
        <v>22</v>
      </c>
      <c r="E151" s="2">
        <v>6.43E-5</v>
      </c>
      <c r="F151" s="2">
        <v>2.001E-4</v>
      </c>
      <c r="G151" s="2">
        <v>7.97E-5</v>
      </c>
      <c r="H151" s="2">
        <v>9.14422E-5</v>
      </c>
      <c r="I151" s="2">
        <v>9.82799999999999E-5</v>
      </c>
      <c r="J151" s="2">
        <v>3.976864E-4</v>
      </c>
      <c r="K151" s="2">
        <v>4.44997E-4</v>
      </c>
      <c r="L151" s="2">
        <v>4.87556E-4</v>
      </c>
      <c r="M151" s="2">
        <v>5.38355E-4</v>
      </c>
      <c r="N151" s="2">
        <v>5.96597E-4</v>
      </c>
      <c r="O151" s="2">
        <v>6.52433E-4</v>
      </c>
      <c r="P151" s="2">
        <v>6.52146E-4</v>
      </c>
      <c r="Q151" s="2">
        <v>6.51106E-4</v>
      </c>
      <c r="R151" s="2">
        <v>6.45125E-4</v>
      </c>
      <c r="S151" s="2">
        <v>6.3809E-4</v>
      </c>
    </row>
    <row r="152" ht="14.25" hidden="1" customHeight="1">
      <c r="A152" s="1" t="s">
        <v>5</v>
      </c>
      <c r="B152" s="1" t="s">
        <v>34</v>
      </c>
      <c r="C152" s="1" t="s">
        <v>21</v>
      </c>
      <c r="D152" s="1" t="s">
        <v>23</v>
      </c>
      <c r="E152" s="2">
        <v>1.070376E-5</v>
      </c>
      <c r="F152" s="2">
        <v>3.329798E-5</v>
      </c>
      <c r="G152" s="2">
        <v>1.329571E-5</v>
      </c>
      <c r="H152" s="2">
        <v>2.525656E-5</v>
      </c>
      <c r="I152" s="2">
        <v>4.3530937E-5</v>
      </c>
      <c r="J152" s="2">
        <v>1.44279086E-4</v>
      </c>
      <c r="K152" s="2">
        <v>1.792908E-4</v>
      </c>
      <c r="L152" s="2">
        <v>2.31649499999999E-4</v>
      </c>
      <c r="M152" s="2">
        <v>3.059243E-4</v>
      </c>
      <c r="N152" s="2">
        <v>3.95143E-4</v>
      </c>
      <c r="O152" s="2">
        <v>4.859856E-4</v>
      </c>
      <c r="P152" s="2">
        <v>5.475921E-4</v>
      </c>
      <c r="Q152" s="2">
        <v>6.01953E-4</v>
      </c>
      <c r="R152" s="2">
        <v>6.44424E-4</v>
      </c>
      <c r="S152" s="2">
        <v>6.79142E-4</v>
      </c>
    </row>
    <row r="153" ht="14.25" hidden="1" customHeight="1">
      <c r="A153" s="1" t="s">
        <v>5</v>
      </c>
      <c r="B153" s="1" t="s">
        <v>34</v>
      </c>
      <c r="C153" s="1" t="s">
        <v>21</v>
      </c>
      <c r="D153" s="1" t="s">
        <v>24</v>
      </c>
      <c r="E153" s="2">
        <v>6.60295E-4</v>
      </c>
      <c r="F153" s="1">
        <v>0.002054</v>
      </c>
      <c r="G153" s="2">
        <v>8.18501E-4</v>
      </c>
      <c r="H153" s="1">
        <v>0.0012045239</v>
      </c>
      <c r="I153" s="1">
        <v>0.001031911</v>
      </c>
      <c r="J153" s="1">
        <v>0.0012822003</v>
      </c>
      <c r="K153" s="1">
        <v>0.001199088</v>
      </c>
      <c r="L153" s="1">
        <v>0.00121417299999999</v>
      </c>
      <c r="M153" s="1">
        <v>0.001203422</v>
      </c>
      <c r="N153" s="1">
        <v>0.00118957</v>
      </c>
      <c r="O153" s="1">
        <v>0.001170584</v>
      </c>
      <c r="P153" s="1">
        <v>0.001174125</v>
      </c>
      <c r="Q153" s="1">
        <v>0.001172729</v>
      </c>
      <c r="R153" s="1">
        <v>0.001157251</v>
      </c>
      <c r="S153" s="1">
        <v>0.001138468</v>
      </c>
    </row>
    <row r="154" ht="14.25" hidden="1" customHeight="1">
      <c r="A154" s="1" t="s">
        <v>5</v>
      </c>
      <c r="B154" s="1" t="s">
        <v>34</v>
      </c>
      <c r="C154" s="1" t="s">
        <v>21</v>
      </c>
      <c r="D154" s="1" t="s">
        <v>12</v>
      </c>
      <c r="E154" s="2">
        <v>1.10024E-6</v>
      </c>
      <c r="F154" s="2">
        <v>3.3009E-6</v>
      </c>
      <c r="G154" s="2">
        <v>1.3E-6</v>
      </c>
      <c r="H154" s="2">
        <v>3.69505E-6</v>
      </c>
      <c r="I154" s="2">
        <v>6.93001E-5</v>
      </c>
      <c r="J154" s="2">
        <v>4.34548E-4</v>
      </c>
      <c r="K154" s="2">
        <v>5.74573E-4</v>
      </c>
      <c r="L154" s="2">
        <v>6.32859E-4</v>
      </c>
      <c r="M154" s="2">
        <v>7.01007E-4</v>
      </c>
      <c r="N154" s="2">
        <v>7.77892E-4</v>
      </c>
      <c r="O154" s="2">
        <v>8.51072E-4</v>
      </c>
      <c r="P154" s="2">
        <v>8.5082E-4</v>
      </c>
      <c r="Q154" s="2">
        <v>8.49488E-4</v>
      </c>
      <c r="R154" s="2">
        <v>8.41691E-4</v>
      </c>
      <c r="S154" s="2">
        <v>8.32513E-4</v>
      </c>
    </row>
    <row r="155" ht="14.25" hidden="1" customHeight="1">
      <c r="A155" s="1" t="s">
        <v>5</v>
      </c>
      <c r="B155" s="1" t="s">
        <v>34</v>
      </c>
      <c r="C155" s="1" t="s">
        <v>21</v>
      </c>
      <c r="D155" s="1" t="s">
        <v>13</v>
      </c>
      <c r="E155" s="2">
        <v>7.35313E-4</v>
      </c>
      <c r="F155" s="1">
        <v>0.00228765</v>
      </c>
      <c r="G155" s="1">
        <v>0.00247045</v>
      </c>
      <c r="H155" s="1">
        <v>0.002386828</v>
      </c>
      <c r="I155" s="1">
        <v>0.00174108378</v>
      </c>
      <c r="J155" s="1">
        <v>0.0022623291</v>
      </c>
      <c r="K155" s="1">
        <v>0.00349892935</v>
      </c>
      <c r="L155" s="1">
        <v>0.005040053907</v>
      </c>
      <c r="M155" s="1">
        <v>0.006746017</v>
      </c>
      <c r="N155" s="1">
        <v>0.008735091</v>
      </c>
      <c r="O155" s="1">
        <v>0.010576446</v>
      </c>
      <c r="P155" s="1">
        <v>0.012715081</v>
      </c>
      <c r="Q155" s="1">
        <v>0.014907527</v>
      </c>
      <c r="R155" s="1">
        <v>0.01753896</v>
      </c>
      <c r="S155" s="1">
        <v>0.02023977</v>
      </c>
    </row>
    <row r="156" ht="14.25" hidden="1" customHeight="1">
      <c r="A156" s="1" t="s">
        <v>5</v>
      </c>
      <c r="B156" s="1" t="s">
        <v>34</v>
      </c>
      <c r="C156" s="1" t="s">
        <v>21</v>
      </c>
      <c r="D156" s="1" t="s">
        <v>14</v>
      </c>
      <c r="E156" s="2">
        <v>1.08001E-5</v>
      </c>
      <c r="F156" s="2">
        <v>3.36001E-5</v>
      </c>
      <c r="G156" s="2">
        <v>3.63001E-5</v>
      </c>
      <c r="H156" s="1">
        <v>0.0050233155</v>
      </c>
      <c r="I156" s="1">
        <v>0.02345833</v>
      </c>
      <c r="J156" s="1">
        <v>0.009668357</v>
      </c>
      <c r="K156" s="2">
        <v>6.05504E-4</v>
      </c>
      <c r="L156" s="2">
        <v>3.62407E-4</v>
      </c>
      <c r="M156" s="2">
        <v>3.140968E-4</v>
      </c>
      <c r="N156" s="2">
        <v>3.38872E-4</v>
      </c>
      <c r="O156" s="2">
        <v>3.53422E-4</v>
      </c>
      <c r="P156" s="2">
        <v>4.28665999999999E-4</v>
      </c>
      <c r="Q156" s="2">
        <v>4.78275E-4</v>
      </c>
      <c r="R156" s="2">
        <v>5.3097E-4</v>
      </c>
      <c r="S156" s="2">
        <v>5.93631E-4</v>
      </c>
    </row>
    <row r="157" ht="14.25" hidden="1" customHeight="1">
      <c r="A157" s="1" t="s">
        <v>5</v>
      </c>
      <c r="B157" s="1" t="s">
        <v>34</v>
      </c>
      <c r="C157" s="1" t="s">
        <v>21</v>
      </c>
      <c r="D157" s="1" t="s">
        <v>25</v>
      </c>
      <c r="E157" s="2">
        <v>2.163E-4</v>
      </c>
      <c r="F157" s="2">
        <v>6.728E-4</v>
      </c>
      <c r="G157" s="2">
        <v>7.266E-4</v>
      </c>
      <c r="H157" s="2">
        <v>8.50162E-4</v>
      </c>
      <c r="I157" s="1">
        <v>0.001195839</v>
      </c>
      <c r="J157" s="2">
        <v>8.58408E-4</v>
      </c>
      <c r="K157" s="2">
        <v>6.04305E-4</v>
      </c>
      <c r="L157" s="2">
        <v>5.06913E-4</v>
      </c>
      <c r="M157" s="2">
        <v>3.14632E-4</v>
      </c>
      <c r="N157" s="2">
        <v>3.551465E-4</v>
      </c>
      <c r="O157" s="2">
        <v>4.0864E-4</v>
      </c>
      <c r="P157" s="2">
        <v>4.90456E-4</v>
      </c>
      <c r="Q157" s="2">
        <v>5.81587E-4</v>
      </c>
      <c r="R157" s="2">
        <v>6.97048999999999E-4</v>
      </c>
      <c r="S157" s="2">
        <v>8.13851999999999E-4</v>
      </c>
    </row>
    <row r="158" ht="14.25" hidden="1" customHeight="1">
      <c r="A158" s="1" t="s">
        <v>5</v>
      </c>
      <c r="B158" s="1" t="s">
        <v>34</v>
      </c>
      <c r="C158" s="1" t="s">
        <v>21</v>
      </c>
      <c r="D158" s="1" t="s">
        <v>26</v>
      </c>
      <c r="E158" s="2">
        <v>4.331317E-5</v>
      </c>
      <c r="F158" s="2">
        <v>1.345936E-4</v>
      </c>
      <c r="G158" s="2">
        <v>1.452974E-4</v>
      </c>
      <c r="H158" s="2">
        <v>2.481071E-4</v>
      </c>
      <c r="I158" s="2">
        <v>4.0949685E-4</v>
      </c>
      <c r="J158" s="2">
        <v>3.693777E-4</v>
      </c>
      <c r="K158" s="2">
        <v>2.923194E-4</v>
      </c>
      <c r="L158" s="2">
        <v>2.998851E-4</v>
      </c>
      <c r="M158" s="2">
        <v>2.28636899999999E-4</v>
      </c>
      <c r="N158" s="2">
        <v>3.046557E-4</v>
      </c>
      <c r="O158" s="2">
        <v>4.04200599999999E-4</v>
      </c>
      <c r="P158" s="2">
        <v>5.596113E-4</v>
      </c>
      <c r="Q158" s="2">
        <v>7.5127E-4</v>
      </c>
      <c r="R158" s="2">
        <v>9.99834E-4</v>
      </c>
      <c r="S158" s="1">
        <v>0.001282589</v>
      </c>
    </row>
    <row r="159" ht="14.25" hidden="1" customHeight="1">
      <c r="A159" s="1" t="s">
        <v>5</v>
      </c>
      <c r="B159" s="1" t="s">
        <v>34</v>
      </c>
      <c r="C159" s="1" t="s">
        <v>21</v>
      </c>
      <c r="D159" s="1" t="s">
        <v>27</v>
      </c>
      <c r="E159" s="2">
        <v>3.569011E-4</v>
      </c>
      <c r="F159" s="1">
        <v>0.001110099</v>
      </c>
      <c r="G159" s="1">
        <v>0.001198906</v>
      </c>
      <c r="H159" s="1">
        <v>0.001908535</v>
      </c>
      <c r="I159" s="2">
        <v>5.563908E-4</v>
      </c>
      <c r="J159" s="1">
        <v>0.00324467537</v>
      </c>
      <c r="K159" s="1">
        <v>0.00349214</v>
      </c>
      <c r="L159" s="1">
        <v>0.00388092199999999</v>
      </c>
      <c r="M159" s="1">
        <v>0.004301162</v>
      </c>
      <c r="N159" s="1">
        <v>0.00479002899999999</v>
      </c>
      <c r="O159" s="1">
        <v>0.005263966</v>
      </c>
      <c r="P159" s="1">
        <v>0.006153976</v>
      </c>
      <c r="Q159" s="1">
        <v>0.007101893</v>
      </c>
      <c r="R159" s="1">
        <v>0.00829495</v>
      </c>
      <c r="S159" s="1">
        <v>0.00951564</v>
      </c>
    </row>
    <row r="160" ht="14.25" hidden="1" customHeight="1">
      <c r="A160" s="1" t="s">
        <v>5</v>
      </c>
      <c r="B160" s="1" t="s">
        <v>34</v>
      </c>
      <c r="C160" s="1" t="s">
        <v>21</v>
      </c>
      <c r="D160" s="1" t="s">
        <v>28</v>
      </c>
      <c r="E160" s="2">
        <v>1.1E-6</v>
      </c>
      <c r="F160" s="2">
        <v>3.4E-6</v>
      </c>
      <c r="G160" s="2">
        <v>3.6E-6</v>
      </c>
      <c r="H160" s="2">
        <v>3.22828E-6</v>
      </c>
      <c r="I160" s="2">
        <v>4.25709E-6</v>
      </c>
      <c r="J160" s="2">
        <v>3.43114E-6</v>
      </c>
      <c r="K160" s="2">
        <v>2.41143E-6</v>
      </c>
      <c r="L160" s="2">
        <v>2.01311E-6</v>
      </c>
      <c r="M160" s="2">
        <v>1.24741E-6</v>
      </c>
      <c r="N160" s="2">
        <v>1.40753E-6</v>
      </c>
      <c r="O160" s="2">
        <v>1.61945E-6</v>
      </c>
      <c r="P160" s="2">
        <v>1.94366E-6</v>
      </c>
      <c r="Q160" s="2">
        <v>2.30481E-6</v>
      </c>
      <c r="R160" s="2">
        <v>2.76238E-6</v>
      </c>
      <c r="S160" s="2">
        <v>3.22527E-6</v>
      </c>
    </row>
    <row r="161" ht="14.25" hidden="1" customHeight="1">
      <c r="A161" s="1" t="s">
        <v>5</v>
      </c>
      <c r="B161" s="1" t="s">
        <v>34</v>
      </c>
      <c r="C161" s="1" t="s">
        <v>29</v>
      </c>
      <c r="D161" s="1" t="s">
        <v>16</v>
      </c>
      <c r="E161" s="2">
        <v>3.56959E-4</v>
      </c>
      <c r="F161" s="2">
        <v>6.85239E-4</v>
      </c>
      <c r="G161" s="2">
        <v>9.85297E-4</v>
      </c>
      <c r="H161" s="2">
        <v>8.71190999999999E-4</v>
      </c>
      <c r="I161" s="2">
        <v>7.4109638E-4</v>
      </c>
      <c r="J161" s="2">
        <v>8.3403571E-4</v>
      </c>
      <c r="K161" s="2">
        <v>8.8205493E-4</v>
      </c>
      <c r="L161" s="2">
        <v>9.3394769E-4</v>
      </c>
      <c r="M161" s="2">
        <v>8.7954715E-4</v>
      </c>
      <c r="N161" s="2">
        <v>9.75890266E-4</v>
      </c>
      <c r="O161" s="1">
        <v>0.0010938204</v>
      </c>
      <c r="P161" s="1">
        <v>0.0012233403</v>
      </c>
      <c r="Q161" s="1">
        <v>0.001383772</v>
      </c>
      <c r="R161" s="1">
        <v>0.0015649407</v>
      </c>
      <c r="S161" s="1">
        <v>0.0017410356</v>
      </c>
    </row>
    <row r="162" ht="14.25" hidden="1" customHeight="1">
      <c r="A162" s="1" t="s">
        <v>5</v>
      </c>
      <c r="B162" s="1" t="s">
        <v>34</v>
      </c>
      <c r="C162" s="1" t="s">
        <v>29</v>
      </c>
      <c r="D162" s="1" t="s">
        <v>8</v>
      </c>
      <c r="E162" s="2">
        <v>4.45999E-5</v>
      </c>
      <c r="F162" s="2">
        <v>8.57002E-5</v>
      </c>
      <c r="G162" s="2">
        <v>1.23201E-4</v>
      </c>
      <c r="H162" s="2">
        <v>9.53452309999999E-5</v>
      </c>
      <c r="I162" s="1">
        <v>0.001342708152</v>
      </c>
      <c r="J162" s="1">
        <v>0.001406865881</v>
      </c>
      <c r="K162" s="1">
        <v>0.001365419066</v>
      </c>
      <c r="L162" s="1">
        <v>0.0012578021499</v>
      </c>
      <c r="M162" s="1">
        <v>0.0011292216792</v>
      </c>
      <c r="N162" s="1">
        <v>0.0011300352</v>
      </c>
      <c r="O162" s="1">
        <v>0.0011409412</v>
      </c>
      <c r="P162" s="1">
        <v>0.0013139493</v>
      </c>
      <c r="Q162" s="1">
        <v>0.0015162019</v>
      </c>
      <c r="R162" s="1">
        <v>0.0017280404</v>
      </c>
      <c r="S162" s="1">
        <v>0.00193545659999999</v>
      </c>
    </row>
    <row r="163" ht="14.25" hidden="1" customHeight="1">
      <c r="A163" s="1" t="s">
        <v>5</v>
      </c>
      <c r="B163" s="1" t="s">
        <v>34</v>
      </c>
      <c r="C163" s="1" t="s">
        <v>29</v>
      </c>
      <c r="D163" s="1" t="s">
        <v>10</v>
      </c>
      <c r="E163" s="2">
        <v>3.94004E-5</v>
      </c>
      <c r="F163" s="2">
        <v>7.57007E-5</v>
      </c>
      <c r="G163" s="2">
        <v>1.14303E-4</v>
      </c>
      <c r="H163" s="2">
        <v>2.890538E-4</v>
      </c>
      <c r="I163" s="2">
        <v>2.627519E-4</v>
      </c>
      <c r="J163" s="2">
        <v>2.141647446E-4</v>
      </c>
      <c r="K163" s="2">
        <v>1.603267287E-4</v>
      </c>
      <c r="L163" s="2">
        <v>1.028520667E-4</v>
      </c>
      <c r="M163" s="2">
        <v>4.53552323E-5</v>
      </c>
      <c r="N163" s="2">
        <v>1.62188078999999E-5</v>
      </c>
      <c r="O163" s="2">
        <v>1.297308589E-5</v>
      </c>
      <c r="P163" s="2">
        <v>1.125716E-5</v>
      </c>
      <c r="Q163" s="2">
        <v>9.490554E-6</v>
      </c>
      <c r="R163" s="2">
        <v>8.618043E-6</v>
      </c>
      <c r="S163" s="2">
        <v>8.057336E-6</v>
      </c>
    </row>
    <row r="164" ht="14.25" hidden="1" customHeight="1">
      <c r="A164" s="1" t="s">
        <v>5</v>
      </c>
      <c r="B164" s="1" t="s">
        <v>34</v>
      </c>
      <c r="C164" s="1" t="s">
        <v>29</v>
      </c>
      <c r="D164" s="1" t="s">
        <v>11</v>
      </c>
      <c r="E164" s="1">
        <v>0.0049811</v>
      </c>
      <c r="F164" s="1">
        <v>0.0095629</v>
      </c>
      <c r="G164" s="1">
        <v>0.0144475</v>
      </c>
      <c r="H164" s="1">
        <v>0.0111765503</v>
      </c>
      <c r="I164" s="1">
        <v>0.009380961148242</v>
      </c>
      <c r="J164" s="1">
        <v>0.036037263376038</v>
      </c>
      <c r="K164" s="1">
        <v>0.065609995494572</v>
      </c>
      <c r="L164" s="1">
        <v>0.104861087644121</v>
      </c>
      <c r="M164" s="1">
        <v>0.135565859793669</v>
      </c>
      <c r="N164" s="1">
        <v>0.16769859</v>
      </c>
      <c r="O164" s="1">
        <v>0.200312669999999</v>
      </c>
      <c r="P164" s="1">
        <v>0.21329013</v>
      </c>
      <c r="Q164" s="1">
        <v>0.22227689</v>
      </c>
      <c r="R164" s="1">
        <v>0.22519507</v>
      </c>
      <c r="S164" s="1">
        <v>0.225422909999999</v>
      </c>
    </row>
    <row r="165" ht="14.25" hidden="1" customHeight="1">
      <c r="A165" s="1" t="s">
        <v>5</v>
      </c>
      <c r="B165" s="1" t="s">
        <v>34</v>
      </c>
      <c r="C165" s="1" t="s">
        <v>29</v>
      </c>
      <c r="D165" s="1" t="s">
        <v>13</v>
      </c>
      <c r="E165" s="2">
        <v>3.50006E-5</v>
      </c>
      <c r="F165" s="2">
        <v>6.71014E-5</v>
      </c>
      <c r="G165" s="2">
        <v>9.0698E-5</v>
      </c>
      <c r="H165" s="1">
        <v>0.00422442869999999</v>
      </c>
      <c r="I165" s="1">
        <v>0.0069533866</v>
      </c>
      <c r="J165" s="1">
        <v>0.006654857</v>
      </c>
      <c r="K165" s="1">
        <v>0.0071084294</v>
      </c>
      <c r="L165" s="1">
        <v>0.0070117334</v>
      </c>
      <c r="M165" s="1">
        <v>0.006820702</v>
      </c>
      <c r="N165" s="1">
        <v>0.006580122</v>
      </c>
      <c r="O165" s="1">
        <v>0.006680429</v>
      </c>
      <c r="P165" s="1">
        <v>0.007199773</v>
      </c>
      <c r="Q165" s="1">
        <v>0.007870657</v>
      </c>
      <c r="R165" s="1">
        <v>0.008845817</v>
      </c>
      <c r="S165" s="1">
        <v>0.009908593</v>
      </c>
    </row>
    <row r="166" ht="14.25" hidden="1" customHeight="1">
      <c r="A166" s="1" t="s">
        <v>5</v>
      </c>
      <c r="B166" s="1" t="s">
        <v>34</v>
      </c>
      <c r="C166" s="1" t="s">
        <v>29</v>
      </c>
      <c r="D166" s="1" t="s">
        <v>14</v>
      </c>
      <c r="E166" s="1">
        <v>0.0160309</v>
      </c>
      <c r="F166" s="1">
        <v>0.0307764</v>
      </c>
      <c r="G166" s="1">
        <v>0.0415672</v>
      </c>
      <c r="H166" s="1">
        <v>0.032630403</v>
      </c>
      <c r="I166" s="1">
        <v>0.027401799</v>
      </c>
      <c r="J166" s="1">
        <v>0.022729816</v>
      </c>
      <c r="K166" s="1">
        <v>0.019956012</v>
      </c>
      <c r="L166" s="1">
        <v>0.015807888</v>
      </c>
      <c r="M166" s="1">
        <v>0.0078929609</v>
      </c>
      <c r="N166" s="1">
        <v>0.009017372</v>
      </c>
      <c r="O166" s="1">
        <v>0.010616581</v>
      </c>
      <c r="P166" s="1">
        <v>0.012963855</v>
      </c>
      <c r="Q166" s="1">
        <v>0.0155795179999999</v>
      </c>
      <c r="R166" s="1">
        <v>0.01891538</v>
      </c>
      <c r="S166" s="1">
        <v>0.0223546669999999</v>
      </c>
    </row>
    <row r="167" ht="14.25" hidden="1" customHeight="1">
      <c r="A167" s="1" t="s">
        <v>5</v>
      </c>
      <c r="B167" s="1" t="s">
        <v>34</v>
      </c>
      <c r="C167" s="1" t="s">
        <v>31</v>
      </c>
      <c r="D167" s="1" t="s">
        <v>11</v>
      </c>
      <c r="E167" s="1">
        <v>0.518248</v>
      </c>
      <c r="F167" s="1">
        <v>0.607203</v>
      </c>
      <c r="G167" s="1">
        <v>0.645372</v>
      </c>
      <c r="H167" s="1">
        <v>0.579442</v>
      </c>
      <c r="I167" s="1">
        <v>1.03949</v>
      </c>
      <c r="J167" s="1">
        <v>0.213888</v>
      </c>
      <c r="K167" s="1">
        <v>0.199241</v>
      </c>
      <c r="L167" s="1">
        <v>0.207217</v>
      </c>
      <c r="M167" s="1">
        <v>0.15596</v>
      </c>
      <c r="N167" s="1">
        <v>0.080231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</row>
    <row r="168" ht="14.25" hidden="1" customHeight="1">
      <c r="A168" s="1" t="s">
        <v>5</v>
      </c>
      <c r="B168" s="1" t="s">
        <v>35</v>
      </c>
      <c r="C168" s="1" t="s">
        <v>7</v>
      </c>
      <c r="D168" s="1" t="s">
        <v>8</v>
      </c>
      <c r="E168" s="1">
        <v>0.00413362</v>
      </c>
      <c r="F168" s="1">
        <v>0.00526265</v>
      </c>
      <c r="G168" s="1">
        <v>0.00563193</v>
      </c>
      <c r="H168" s="1">
        <v>0.00121485</v>
      </c>
      <c r="I168" s="2">
        <v>2.82955E-5</v>
      </c>
      <c r="J168" s="2">
        <v>2.261E-4</v>
      </c>
      <c r="K168" s="2">
        <v>1.72548E-4</v>
      </c>
      <c r="L168" s="2">
        <v>1.77374E-4</v>
      </c>
      <c r="M168" s="2">
        <v>1.31697E-4</v>
      </c>
      <c r="N168" s="2">
        <v>7.6562E-5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</row>
    <row r="169" ht="14.25" hidden="1" customHeight="1">
      <c r="A169" s="1" t="s">
        <v>5</v>
      </c>
      <c r="B169" s="1" t="s">
        <v>35</v>
      </c>
      <c r="C169" s="1" t="s">
        <v>9</v>
      </c>
      <c r="D169" s="1" t="s">
        <v>8</v>
      </c>
      <c r="E169" s="1">
        <v>0.00927075</v>
      </c>
      <c r="F169" s="1">
        <v>0.00813088</v>
      </c>
      <c r="G169" s="1">
        <v>0.0119588</v>
      </c>
      <c r="H169" s="1">
        <v>0.00265762</v>
      </c>
      <c r="I169" s="1">
        <v>0.0206873</v>
      </c>
      <c r="J169" s="1">
        <v>0.0</v>
      </c>
      <c r="K169" s="1">
        <v>0.0</v>
      </c>
      <c r="L169" s="1">
        <v>0.0</v>
      </c>
      <c r="M169" s="1">
        <v>0.0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</row>
    <row r="170" ht="14.25" hidden="1" customHeight="1">
      <c r="A170" s="1" t="s">
        <v>5</v>
      </c>
      <c r="B170" s="1" t="s">
        <v>35</v>
      </c>
      <c r="C170" s="1" t="s">
        <v>9</v>
      </c>
      <c r="D170" s="1" t="s">
        <v>10</v>
      </c>
      <c r="E170" s="2">
        <v>1.28991E-4</v>
      </c>
      <c r="F170" s="2">
        <v>1.13201E-4</v>
      </c>
      <c r="G170" s="1">
        <v>0.00233695</v>
      </c>
      <c r="H170" s="2">
        <v>2.46317E-7</v>
      </c>
      <c r="I170" s="1">
        <v>0.00637612</v>
      </c>
      <c r="J170" s="1">
        <v>0.00989356</v>
      </c>
      <c r="K170" s="1">
        <v>0.0</v>
      </c>
      <c r="L170" s="1">
        <v>0.0</v>
      </c>
      <c r="M170" s="1">
        <v>0.0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</row>
    <row r="171" ht="14.25" hidden="1" customHeight="1">
      <c r="A171" s="1" t="s">
        <v>5</v>
      </c>
      <c r="B171" s="1" t="s">
        <v>35</v>
      </c>
      <c r="C171" s="1" t="s">
        <v>9</v>
      </c>
      <c r="D171" s="1" t="s">
        <v>11</v>
      </c>
      <c r="E171" s="2">
        <v>1.28999E-4</v>
      </c>
      <c r="F171" s="2">
        <v>1.132E-4</v>
      </c>
      <c r="G171" s="1">
        <v>0.002337</v>
      </c>
      <c r="H171" s="2">
        <v>1.20514E-7</v>
      </c>
      <c r="I171" s="1">
        <v>0.0</v>
      </c>
      <c r="J171" s="2">
        <v>4.98797E-5</v>
      </c>
      <c r="K171" s="1">
        <v>0.0</v>
      </c>
      <c r="L171" s="1">
        <v>0.0</v>
      </c>
      <c r="M171" s="1">
        <v>0.0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</row>
    <row r="172" ht="14.25" hidden="1" customHeight="1">
      <c r="A172" s="1" t="s">
        <v>5</v>
      </c>
      <c r="B172" s="1" t="s">
        <v>35</v>
      </c>
      <c r="C172" s="1" t="s">
        <v>9</v>
      </c>
      <c r="D172" s="1" t="s">
        <v>12</v>
      </c>
      <c r="E172" s="2">
        <v>1.28919E-5</v>
      </c>
      <c r="F172" s="2">
        <v>1.12178E-5</v>
      </c>
      <c r="G172" s="2">
        <v>2.33774E-4</v>
      </c>
      <c r="H172" s="2">
        <v>1.91619E-4</v>
      </c>
      <c r="I172" s="2">
        <v>9.11089E-6</v>
      </c>
      <c r="J172" s="2">
        <v>3.63255E-6</v>
      </c>
      <c r="K172" s="1">
        <v>0.0</v>
      </c>
      <c r="L172" s="1">
        <v>0.0</v>
      </c>
      <c r="M172" s="1">
        <v>0.0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</row>
    <row r="173" ht="14.25" hidden="1" customHeight="1">
      <c r="A173" s="1" t="s">
        <v>5</v>
      </c>
      <c r="B173" s="1" t="s">
        <v>35</v>
      </c>
      <c r="C173" s="1" t="s">
        <v>9</v>
      </c>
      <c r="D173" s="1" t="s">
        <v>13</v>
      </c>
      <c r="E173" s="1">
        <v>0.0</v>
      </c>
      <c r="F173" s="1">
        <v>0.0</v>
      </c>
      <c r="G173" s="1">
        <v>0.0</v>
      </c>
      <c r="H173" s="2">
        <v>3.83445E-4</v>
      </c>
      <c r="I173" s="1">
        <v>0.0</v>
      </c>
      <c r="J173" s="1">
        <v>0.0</v>
      </c>
      <c r="K173" s="1">
        <v>0.0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</row>
    <row r="174" ht="14.25" hidden="1" customHeight="1">
      <c r="A174" s="1" t="s">
        <v>5</v>
      </c>
      <c r="B174" s="1" t="s">
        <v>35</v>
      </c>
      <c r="C174" s="1" t="s">
        <v>9</v>
      </c>
      <c r="D174" s="1" t="s">
        <v>14</v>
      </c>
      <c r="E174" s="1">
        <v>0.0</v>
      </c>
      <c r="F174" s="1">
        <v>0.0</v>
      </c>
      <c r="G174" s="1">
        <v>0.0</v>
      </c>
      <c r="H174" s="2">
        <v>2.23289E-8</v>
      </c>
      <c r="I174" s="1">
        <v>0.0</v>
      </c>
      <c r="J174" s="1">
        <v>0.0</v>
      </c>
      <c r="K174" s="1">
        <v>0.0</v>
      </c>
      <c r="L174" s="1">
        <v>0.0</v>
      </c>
      <c r="M174" s="1">
        <v>0.0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0.0</v>
      </c>
    </row>
    <row r="175" ht="14.25" hidden="1" customHeight="1">
      <c r="A175" s="1" t="s">
        <v>5</v>
      </c>
      <c r="B175" s="1" t="s">
        <v>35</v>
      </c>
      <c r="C175" s="1" t="s">
        <v>15</v>
      </c>
      <c r="D175" s="1" t="s">
        <v>16</v>
      </c>
      <c r="E175" s="1">
        <v>0.0</v>
      </c>
      <c r="F175" s="1">
        <v>0.0</v>
      </c>
      <c r="G175" s="1">
        <v>0.0</v>
      </c>
      <c r="H175" s="1">
        <v>0.0</v>
      </c>
      <c r="I175" s="2">
        <v>1.59334E-4</v>
      </c>
      <c r="J175" s="1">
        <v>0.001405429</v>
      </c>
      <c r="K175" s="1">
        <v>0.003079653</v>
      </c>
      <c r="L175" s="1">
        <v>0.005368978</v>
      </c>
      <c r="M175" s="1">
        <v>0.0083408685</v>
      </c>
      <c r="N175" s="1">
        <v>0.0113817395</v>
      </c>
      <c r="O175" s="1">
        <v>0.014631043</v>
      </c>
      <c r="P175" s="1">
        <v>0.018085234</v>
      </c>
      <c r="Q175" s="1">
        <v>0.021703709</v>
      </c>
      <c r="R175" s="1">
        <v>0.0253787509999999</v>
      </c>
      <c r="S175" s="1">
        <v>0.029084324</v>
      </c>
    </row>
    <row r="176" ht="14.25" customHeight="1">
      <c r="A176" s="1" t="s">
        <v>5</v>
      </c>
      <c r="B176" s="1" t="s">
        <v>35</v>
      </c>
      <c r="C176" s="1" t="s">
        <v>15</v>
      </c>
      <c r="D176" s="1" t="s">
        <v>14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0.00704773</v>
      </c>
      <c r="L176" s="1">
        <v>0.00981538</v>
      </c>
      <c r="M176" s="1">
        <v>0.0133317199999999</v>
      </c>
      <c r="N176" s="1">
        <v>0.01597027</v>
      </c>
      <c r="O176" s="1">
        <v>0.01874191</v>
      </c>
      <c r="P176" s="1">
        <v>0.021338404</v>
      </c>
      <c r="Q176" s="1">
        <v>0.024028478</v>
      </c>
      <c r="R176" s="1">
        <v>0.026732884</v>
      </c>
      <c r="S176" s="1">
        <v>0.029390788</v>
      </c>
    </row>
    <row r="177" ht="14.25" hidden="1" customHeight="1">
      <c r="A177" s="1" t="s">
        <v>5</v>
      </c>
      <c r="B177" s="1" t="s">
        <v>35</v>
      </c>
      <c r="C177" s="1" t="s">
        <v>17</v>
      </c>
      <c r="D177" s="1" t="s">
        <v>16</v>
      </c>
      <c r="E177" s="2">
        <v>1.05982E-5</v>
      </c>
      <c r="F177" s="2">
        <v>3.3001E-5</v>
      </c>
      <c r="G177" s="2">
        <v>5.00007E-5</v>
      </c>
      <c r="H177" s="2">
        <v>7.456112E-4</v>
      </c>
      <c r="I177" s="2">
        <v>6.614196E-4</v>
      </c>
      <c r="J177" s="1">
        <v>0.0011019877</v>
      </c>
      <c r="K177" s="1">
        <v>0.00125649035</v>
      </c>
      <c r="L177" s="1">
        <v>0.00131348256</v>
      </c>
      <c r="M177" s="1">
        <v>0.00146060334999999</v>
      </c>
      <c r="N177" s="1">
        <v>0.00162534673</v>
      </c>
      <c r="O177" s="1">
        <v>0.0019210071</v>
      </c>
      <c r="P177" s="1">
        <v>0.0022995113</v>
      </c>
      <c r="Q177" s="1">
        <v>0.0027225988</v>
      </c>
      <c r="R177" s="1">
        <v>0.0031942955</v>
      </c>
      <c r="S177" s="1">
        <v>0.00369707859999999</v>
      </c>
    </row>
    <row r="178" ht="14.25" hidden="1" customHeight="1">
      <c r="A178" s="1" t="s">
        <v>5</v>
      </c>
      <c r="B178" s="1" t="s">
        <v>35</v>
      </c>
      <c r="C178" s="1" t="s">
        <v>17</v>
      </c>
      <c r="D178" s="1" t="s">
        <v>18</v>
      </c>
      <c r="E178" s="2">
        <v>4.69308E-4</v>
      </c>
      <c r="F178" s="1">
        <v>0.00145988</v>
      </c>
      <c r="G178" s="1">
        <v>0.00220919</v>
      </c>
      <c r="H178" s="1">
        <v>0.00123371</v>
      </c>
      <c r="I178" s="1">
        <v>0.00127877</v>
      </c>
      <c r="J178" s="1">
        <v>0.002347184</v>
      </c>
      <c r="K178" s="1">
        <v>0.00332323699999999</v>
      </c>
      <c r="L178" s="1">
        <v>0.004463757</v>
      </c>
      <c r="M178" s="1">
        <v>0.00571133</v>
      </c>
      <c r="N178" s="1">
        <v>0.007083292</v>
      </c>
      <c r="O178" s="1">
        <v>0.008483186</v>
      </c>
      <c r="P178" s="1">
        <v>0.009900863</v>
      </c>
      <c r="Q178" s="1">
        <v>0.011303309</v>
      </c>
      <c r="R178" s="1">
        <v>0.012703603</v>
      </c>
      <c r="S178" s="1">
        <v>0.013978135</v>
      </c>
    </row>
    <row r="179" ht="14.25" hidden="1" customHeight="1">
      <c r="A179" s="1" t="s">
        <v>5</v>
      </c>
      <c r="B179" s="1" t="s">
        <v>35</v>
      </c>
      <c r="C179" s="1" t="s">
        <v>17</v>
      </c>
      <c r="D179" s="1" t="s">
        <v>19</v>
      </c>
      <c r="E179" s="2">
        <v>2.12298E-4</v>
      </c>
      <c r="F179" s="2">
        <v>6.60601E-4</v>
      </c>
      <c r="G179" s="2">
        <v>9.99598E-4</v>
      </c>
      <c r="H179" s="1">
        <v>0.001125832</v>
      </c>
      <c r="I179" s="2">
        <v>2.716733E-4</v>
      </c>
      <c r="J179" s="1">
        <v>0.001938459</v>
      </c>
      <c r="K179" s="1">
        <v>0.002635488</v>
      </c>
      <c r="L179" s="1">
        <v>0.00350787499999999</v>
      </c>
      <c r="M179" s="1">
        <v>0.004509873</v>
      </c>
      <c r="N179" s="1">
        <v>0.005670315</v>
      </c>
      <c r="O179" s="1">
        <v>0.00698211099999999</v>
      </c>
      <c r="P179" s="1">
        <v>0.008418277</v>
      </c>
      <c r="Q179" s="1">
        <v>0.009938718</v>
      </c>
      <c r="R179" s="1">
        <v>0.01149672</v>
      </c>
      <c r="S179" s="1">
        <v>0.01304448</v>
      </c>
    </row>
    <row r="180" ht="14.25" hidden="1" customHeight="1">
      <c r="A180" s="1" t="s">
        <v>5</v>
      </c>
      <c r="B180" s="1" t="s">
        <v>35</v>
      </c>
      <c r="C180" s="1" t="s">
        <v>17</v>
      </c>
      <c r="D180" s="1" t="s">
        <v>8</v>
      </c>
      <c r="E180" s="2">
        <v>9.56005E-5</v>
      </c>
      <c r="F180" s="2">
        <v>2.97303E-4</v>
      </c>
      <c r="G180" s="2">
        <v>4.49803E-4</v>
      </c>
      <c r="H180" s="1">
        <v>0.002460572</v>
      </c>
      <c r="I180" s="1">
        <v>0.001771161268926</v>
      </c>
      <c r="J180" s="1">
        <v>0.011669091194789</v>
      </c>
      <c r="K180" s="1">
        <v>0.017521071134463</v>
      </c>
      <c r="L180" s="1">
        <v>0.0245195299999999</v>
      </c>
      <c r="M180" s="1">
        <v>0.03240451</v>
      </c>
      <c r="N180" s="1">
        <v>0.04097209</v>
      </c>
      <c r="O180" s="1">
        <v>0.05036314</v>
      </c>
      <c r="P180" s="1">
        <v>0.06039346</v>
      </c>
      <c r="Q180" s="1">
        <v>0.07086671</v>
      </c>
      <c r="R180" s="1">
        <v>0.0814641</v>
      </c>
      <c r="S180" s="1">
        <v>0.0918595899999999</v>
      </c>
    </row>
    <row r="181" ht="14.25" hidden="1" customHeight="1">
      <c r="A181" s="1" t="s">
        <v>5</v>
      </c>
      <c r="B181" s="1" t="s">
        <v>35</v>
      </c>
      <c r="C181" s="1" t="s">
        <v>17</v>
      </c>
      <c r="D181" s="1" t="s">
        <v>20</v>
      </c>
      <c r="E181" s="2">
        <v>7.0E-5</v>
      </c>
      <c r="F181" s="2">
        <v>2.17895E-4</v>
      </c>
      <c r="G181" s="2">
        <v>3.3E-4</v>
      </c>
      <c r="H181" s="2">
        <v>3.83206E-4</v>
      </c>
      <c r="I181" s="2">
        <v>1.74932799999999E-4</v>
      </c>
      <c r="J181" s="2">
        <v>6.787477E-4</v>
      </c>
      <c r="K181" s="2">
        <v>9.33599E-4</v>
      </c>
      <c r="L181" s="1">
        <v>0.00121964299999999</v>
      </c>
      <c r="M181" s="1">
        <v>0.00155373</v>
      </c>
      <c r="N181" s="1">
        <v>0.001942516</v>
      </c>
      <c r="O181" s="1">
        <v>0.002377516</v>
      </c>
      <c r="P181" s="1">
        <v>0.00284716799999999</v>
      </c>
      <c r="Q181" s="1">
        <v>0.00333977</v>
      </c>
      <c r="R181" s="1">
        <v>0.003838927</v>
      </c>
      <c r="S181" s="1">
        <v>0.004327561</v>
      </c>
    </row>
    <row r="182" ht="14.25" hidden="1" customHeight="1">
      <c r="A182" s="1" t="s">
        <v>5</v>
      </c>
      <c r="B182" s="1" t="s">
        <v>35</v>
      </c>
      <c r="C182" s="1" t="s">
        <v>21</v>
      </c>
      <c r="D182" s="1" t="s">
        <v>10</v>
      </c>
      <c r="E182" s="2">
        <v>6.98153E-4</v>
      </c>
      <c r="F182" s="1">
        <v>0.00217212</v>
      </c>
      <c r="G182" s="1">
        <v>0.00187976</v>
      </c>
      <c r="H182" s="1">
        <v>0.00277790999999999</v>
      </c>
      <c r="I182" s="1">
        <v>0.002297387</v>
      </c>
      <c r="J182" s="1">
        <v>0.00152976887</v>
      </c>
      <c r="K182" s="1">
        <v>0.00456993003</v>
      </c>
      <c r="L182" s="1">
        <v>0.005308842433</v>
      </c>
      <c r="M182" s="1">
        <v>0.005859985522</v>
      </c>
      <c r="N182" s="1">
        <v>0.006252686</v>
      </c>
      <c r="O182" s="1">
        <v>0.006470187</v>
      </c>
      <c r="P182" s="1">
        <v>0.00671597099999999</v>
      </c>
      <c r="Q182" s="1">
        <v>0.00690153999999999</v>
      </c>
      <c r="R182" s="1">
        <v>0.007040115</v>
      </c>
      <c r="S182" s="1">
        <v>0.007139409</v>
      </c>
    </row>
    <row r="183" ht="14.25" hidden="1" customHeight="1">
      <c r="A183" s="1" t="s">
        <v>5</v>
      </c>
      <c r="B183" s="1" t="s">
        <v>35</v>
      </c>
      <c r="C183" s="1" t="s">
        <v>21</v>
      </c>
      <c r="D183" s="1" t="s">
        <v>11</v>
      </c>
      <c r="E183" s="2">
        <v>1.05999E-5</v>
      </c>
      <c r="F183" s="2">
        <v>3.29E-5</v>
      </c>
      <c r="G183" s="2">
        <v>2.85E-5</v>
      </c>
      <c r="H183" s="1">
        <v>0.0370657093</v>
      </c>
      <c r="I183" s="1">
        <v>0.0161335013639399</v>
      </c>
      <c r="J183" s="1">
        <v>0.0443518005938749</v>
      </c>
      <c r="K183" s="1">
        <v>0.0425961</v>
      </c>
      <c r="L183" s="1">
        <v>0.0344098</v>
      </c>
      <c r="M183" s="1">
        <v>0.0329452</v>
      </c>
      <c r="N183" s="1">
        <v>0.0330412199999999</v>
      </c>
      <c r="O183" s="1">
        <v>0.0330215</v>
      </c>
      <c r="P183" s="1">
        <v>0.03154118</v>
      </c>
      <c r="Q183" s="1">
        <v>0.03087505</v>
      </c>
      <c r="R183" s="1">
        <v>0.03099616</v>
      </c>
      <c r="S183" s="1">
        <v>0.03143269</v>
      </c>
    </row>
    <row r="184" ht="14.25" hidden="1" customHeight="1">
      <c r="A184" s="1" t="s">
        <v>5</v>
      </c>
      <c r="B184" s="1" t="s">
        <v>35</v>
      </c>
      <c r="C184" s="1" t="s">
        <v>21</v>
      </c>
      <c r="D184" s="1" t="s">
        <v>22</v>
      </c>
      <c r="E184" s="2">
        <v>1.058E-4</v>
      </c>
      <c r="F184" s="2">
        <v>3.291E-4</v>
      </c>
      <c r="G184" s="2">
        <v>2.848E-4</v>
      </c>
      <c r="H184" s="2">
        <v>8.46434E-4</v>
      </c>
      <c r="I184" s="2">
        <v>4.786344E-4</v>
      </c>
      <c r="J184" s="1">
        <v>0.001386631</v>
      </c>
      <c r="K184" s="1">
        <v>0.001335662</v>
      </c>
      <c r="L184" s="1">
        <v>0.001345557</v>
      </c>
      <c r="M184" s="1">
        <v>0.001468731</v>
      </c>
      <c r="N184" s="1">
        <v>0.001632169</v>
      </c>
      <c r="O184" s="1">
        <v>0.001775487</v>
      </c>
      <c r="P184" s="1">
        <v>0.00183064999999999</v>
      </c>
      <c r="Q184" s="1">
        <v>0.00188197799999999</v>
      </c>
      <c r="R184" s="1">
        <v>0.00193078599999999</v>
      </c>
      <c r="S184" s="1">
        <v>0.00197632</v>
      </c>
    </row>
    <row r="185" ht="14.25" hidden="1" customHeight="1">
      <c r="A185" s="1" t="s">
        <v>5</v>
      </c>
      <c r="B185" s="1" t="s">
        <v>35</v>
      </c>
      <c r="C185" s="1" t="s">
        <v>21</v>
      </c>
      <c r="D185" s="1" t="s">
        <v>23</v>
      </c>
      <c r="E185" s="2">
        <v>1.058247E-5</v>
      </c>
      <c r="F185" s="2">
        <v>3.290911E-5</v>
      </c>
      <c r="G185" s="2">
        <v>2.849887E-5</v>
      </c>
      <c r="H185" s="2">
        <v>1.4680738E-4</v>
      </c>
      <c r="I185" s="2">
        <v>1.13791336E-4</v>
      </c>
      <c r="J185" s="2">
        <v>2.05858796E-4</v>
      </c>
      <c r="K185" s="2">
        <v>2.02098999999999E-4</v>
      </c>
      <c r="L185" s="2">
        <v>2.139252E-4</v>
      </c>
      <c r="M185" s="2">
        <v>2.882746E-4</v>
      </c>
      <c r="N185" s="2">
        <v>3.747425E-4</v>
      </c>
      <c r="O185" s="2">
        <v>4.592754E-4</v>
      </c>
      <c r="P185" s="2">
        <v>5.600286E-4</v>
      </c>
      <c r="Q185" s="2">
        <v>6.65396E-4</v>
      </c>
      <c r="R185" s="2">
        <v>7.74716E-4</v>
      </c>
      <c r="S185" s="2">
        <v>8.87594E-4</v>
      </c>
    </row>
    <row r="186" ht="14.25" hidden="1" customHeight="1">
      <c r="A186" s="1" t="s">
        <v>5</v>
      </c>
      <c r="B186" s="1" t="s">
        <v>35</v>
      </c>
      <c r="C186" s="1" t="s">
        <v>21</v>
      </c>
      <c r="D186" s="1" t="s">
        <v>24</v>
      </c>
      <c r="E186" s="2">
        <v>4.422E-4</v>
      </c>
      <c r="F186" s="1">
        <v>0.0013757</v>
      </c>
      <c r="G186" s="1">
        <v>0.001190496</v>
      </c>
      <c r="H186" s="1">
        <v>0.001716837</v>
      </c>
      <c r="I186" s="1">
        <v>0.001353725</v>
      </c>
      <c r="J186" s="1">
        <v>0.0017100201</v>
      </c>
      <c r="K186" s="1">
        <v>0.001523433</v>
      </c>
      <c r="L186" s="1">
        <v>0.001468983</v>
      </c>
      <c r="M186" s="1">
        <v>0.001444886</v>
      </c>
      <c r="N186" s="1">
        <v>0.001447213</v>
      </c>
      <c r="O186" s="1">
        <v>0.00143684399999999</v>
      </c>
      <c r="P186" s="1">
        <v>0.00147928</v>
      </c>
      <c r="Q186" s="1">
        <v>0.001516417</v>
      </c>
      <c r="R186" s="1">
        <v>0.001549175</v>
      </c>
      <c r="S186" s="1">
        <v>0.001577892</v>
      </c>
    </row>
    <row r="187" ht="14.25" hidden="1" customHeight="1">
      <c r="A187" s="1" t="s">
        <v>5</v>
      </c>
      <c r="B187" s="1" t="s">
        <v>35</v>
      </c>
      <c r="C187" s="1" t="s">
        <v>21</v>
      </c>
      <c r="D187" s="1" t="s">
        <v>12</v>
      </c>
      <c r="E187" s="2">
        <v>1.09931E-6</v>
      </c>
      <c r="F187" s="2">
        <v>3.27599E-6</v>
      </c>
      <c r="G187" s="2">
        <v>2.80088E-6</v>
      </c>
      <c r="H187" s="2">
        <v>9.24696E-5</v>
      </c>
      <c r="I187" s="2">
        <v>8.49814E-5</v>
      </c>
      <c r="J187" s="2">
        <v>2.09843E-4</v>
      </c>
      <c r="K187" s="2">
        <v>2.02922E-4</v>
      </c>
      <c r="L187" s="2">
        <v>2.05743E-4</v>
      </c>
      <c r="M187" s="2">
        <v>2.26816E-4</v>
      </c>
      <c r="N187" s="2">
        <v>2.53147E-4</v>
      </c>
      <c r="O187" s="2">
        <v>2.75887E-4</v>
      </c>
      <c r="P187" s="2">
        <v>2.84751E-4</v>
      </c>
      <c r="Q187" s="2">
        <v>2.92813E-4</v>
      </c>
      <c r="R187" s="2">
        <v>3.00425E-4</v>
      </c>
      <c r="S187" s="2">
        <v>3.07513E-4</v>
      </c>
    </row>
    <row r="188" ht="14.25" hidden="1" customHeight="1">
      <c r="A188" s="1" t="s">
        <v>5</v>
      </c>
      <c r="B188" s="1" t="s">
        <v>35</v>
      </c>
      <c r="C188" s="1" t="s">
        <v>21</v>
      </c>
      <c r="D188" s="1" t="s">
        <v>13</v>
      </c>
      <c r="E188" s="2">
        <v>5.57243E-4</v>
      </c>
      <c r="F188" s="1">
        <v>0.00173398</v>
      </c>
      <c r="G188" s="1">
        <v>0.00254576</v>
      </c>
      <c r="H188" s="1">
        <v>0.00284899</v>
      </c>
      <c r="I188" s="1">
        <v>0.0021269615</v>
      </c>
      <c r="J188" s="1">
        <v>0.0040159104</v>
      </c>
      <c r="K188" s="1">
        <v>0.0060949983</v>
      </c>
      <c r="L188" s="1">
        <v>0.0084493024</v>
      </c>
      <c r="M188" s="1">
        <v>0.011443029</v>
      </c>
      <c r="N188" s="1">
        <v>0.014892863</v>
      </c>
      <c r="O188" s="1">
        <v>0.01842416</v>
      </c>
      <c r="P188" s="1">
        <v>0.0217296999999999</v>
      </c>
      <c r="Q188" s="1">
        <v>0.02497163</v>
      </c>
      <c r="R188" s="1">
        <v>0.02808368</v>
      </c>
      <c r="S188" s="1">
        <v>0.03100859</v>
      </c>
    </row>
    <row r="189" ht="14.25" hidden="1" customHeight="1">
      <c r="A189" s="1" t="s">
        <v>5</v>
      </c>
      <c r="B189" s="1" t="s">
        <v>35</v>
      </c>
      <c r="C189" s="1" t="s">
        <v>21</v>
      </c>
      <c r="D189" s="1" t="s">
        <v>14</v>
      </c>
      <c r="E189" s="2">
        <v>1.06992E-5</v>
      </c>
      <c r="F189" s="2">
        <v>3.32983E-5</v>
      </c>
      <c r="G189" s="2">
        <v>4.90003E-5</v>
      </c>
      <c r="H189" s="1">
        <v>0.0015888354</v>
      </c>
      <c r="I189" s="1">
        <v>0.0129593119999999</v>
      </c>
      <c r="J189" s="1">
        <v>0.00492011</v>
      </c>
      <c r="K189" s="2">
        <v>5.00901E-4</v>
      </c>
      <c r="L189" s="2">
        <v>2.975835E-4</v>
      </c>
      <c r="M189" s="2">
        <v>1.356316E-4</v>
      </c>
      <c r="N189" s="2">
        <v>1.493236E-4</v>
      </c>
      <c r="O189" s="2">
        <v>1.68608E-4</v>
      </c>
      <c r="P189" s="2">
        <v>1.972948E-4</v>
      </c>
      <c r="Q189" s="2">
        <v>2.239097E-4</v>
      </c>
      <c r="R189" s="2">
        <v>2.4116E-4</v>
      </c>
      <c r="S189" s="2">
        <v>2.63195099999999E-4</v>
      </c>
    </row>
    <row r="190" ht="14.25" hidden="1" customHeight="1">
      <c r="A190" s="1" t="s">
        <v>5</v>
      </c>
      <c r="B190" s="1" t="s">
        <v>35</v>
      </c>
      <c r="C190" s="1" t="s">
        <v>21</v>
      </c>
      <c r="D190" s="1" t="s">
        <v>25</v>
      </c>
      <c r="E190" s="2">
        <v>3.644E-4</v>
      </c>
      <c r="F190" s="1">
        <v>0.0011337</v>
      </c>
      <c r="G190" s="1">
        <v>0.0016646</v>
      </c>
      <c r="H190" s="1">
        <v>0.002155695</v>
      </c>
      <c r="I190" s="1">
        <v>0.003988038</v>
      </c>
      <c r="J190" s="1">
        <v>0.002392756</v>
      </c>
      <c r="K190" s="1">
        <v>0.001896028</v>
      </c>
      <c r="L190" s="1">
        <v>0.001903491</v>
      </c>
      <c r="M190" s="1">
        <v>0.001890905</v>
      </c>
      <c r="N190" s="1">
        <v>0.00232989</v>
      </c>
      <c r="O190" s="1">
        <v>0.002786269</v>
      </c>
      <c r="P190" s="1">
        <v>0.00325797</v>
      </c>
      <c r="Q190" s="1">
        <v>0.00376514</v>
      </c>
      <c r="R190" s="1">
        <v>0.00426787</v>
      </c>
      <c r="S190" s="1">
        <v>0.00471612</v>
      </c>
    </row>
    <row r="191" ht="14.25" hidden="1" customHeight="1">
      <c r="A191" s="1" t="s">
        <v>5</v>
      </c>
      <c r="B191" s="1" t="s">
        <v>35</v>
      </c>
      <c r="C191" s="1" t="s">
        <v>21</v>
      </c>
      <c r="D191" s="1" t="s">
        <v>26</v>
      </c>
      <c r="E191" s="2">
        <v>1.071999E-4</v>
      </c>
      <c r="F191" s="2">
        <v>3.334012E-4</v>
      </c>
      <c r="G191" s="2">
        <v>4.89604E-4</v>
      </c>
      <c r="H191" s="2">
        <v>9.11383199999999E-4</v>
      </c>
      <c r="I191" s="1">
        <v>0.0015479546</v>
      </c>
      <c r="J191" s="1">
        <v>0.0010536041</v>
      </c>
      <c r="K191" s="2">
        <v>8.315519E-4</v>
      </c>
      <c r="L191" s="2">
        <v>8.79845E-4</v>
      </c>
      <c r="M191" s="1">
        <v>0.001016369</v>
      </c>
      <c r="N191" s="1">
        <v>0.00155859599999999</v>
      </c>
      <c r="O191" s="1">
        <v>0.002273621</v>
      </c>
      <c r="P191" s="1">
        <v>0.00320469</v>
      </c>
      <c r="Q191" s="1">
        <v>0.004374477</v>
      </c>
      <c r="R191" s="1">
        <v>0.00576516</v>
      </c>
      <c r="S191" s="1">
        <v>0.00731575</v>
      </c>
    </row>
    <row r="192" ht="14.25" hidden="1" customHeight="1">
      <c r="A192" s="1" t="s">
        <v>5</v>
      </c>
      <c r="B192" s="1" t="s">
        <v>35</v>
      </c>
      <c r="C192" s="1" t="s">
        <v>21</v>
      </c>
      <c r="D192" s="1" t="s">
        <v>27</v>
      </c>
      <c r="E192" s="2">
        <v>2.765037E-4</v>
      </c>
      <c r="F192" s="2">
        <v>8.60304E-4</v>
      </c>
      <c r="G192" s="1">
        <v>0.001263099</v>
      </c>
      <c r="H192" s="1">
        <v>0.00215197399999999</v>
      </c>
      <c r="I192" s="2">
        <v>9.503849E-4</v>
      </c>
      <c r="J192" s="1">
        <v>0.0037949643</v>
      </c>
      <c r="K192" s="1">
        <v>0.004506453</v>
      </c>
      <c r="L192" s="1">
        <v>0.005355062</v>
      </c>
      <c r="M192" s="1">
        <v>0.006486732</v>
      </c>
      <c r="N192" s="1">
        <v>0.00762265</v>
      </c>
      <c r="O192" s="1">
        <v>0.008719003</v>
      </c>
      <c r="P192" s="1">
        <v>0.01002688</v>
      </c>
      <c r="Q192" s="1">
        <v>0.01140135</v>
      </c>
      <c r="R192" s="1">
        <v>0.0127278</v>
      </c>
      <c r="S192" s="1">
        <v>0.01399625</v>
      </c>
    </row>
    <row r="193" ht="14.25" hidden="1" customHeight="1">
      <c r="A193" s="1" t="s">
        <v>5</v>
      </c>
      <c r="B193" s="1" t="s">
        <v>35</v>
      </c>
      <c r="C193" s="1" t="s">
        <v>21</v>
      </c>
      <c r="D193" s="1" t="s">
        <v>28</v>
      </c>
      <c r="E193" s="2">
        <v>1.1E-6</v>
      </c>
      <c r="F193" s="2">
        <v>3.3E-6</v>
      </c>
      <c r="G193" s="2">
        <v>4.9E-6</v>
      </c>
      <c r="H193" s="2">
        <v>4.77948E-6</v>
      </c>
      <c r="I193" s="2">
        <v>7.67535E-6</v>
      </c>
      <c r="J193" s="2">
        <v>6.21697E-6</v>
      </c>
      <c r="K193" s="2">
        <v>5.029E-6</v>
      </c>
      <c r="L193" s="2">
        <v>5.04492E-6</v>
      </c>
      <c r="M193" s="2">
        <v>4.7488E-6</v>
      </c>
      <c r="N193" s="2">
        <v>5.62523E-6</v>
      </c>
      <c r="O193" s="2">
        <v>6.62169E-6</v>
      </c>
      <c r="P193" s="2">
        <v>7.69427E-6</v>
      </c>
      <c r="Q193" s="2">
        <v>8.87523E-6</v>
      </c>
      <c r="R193" s="2">
        <v>1.00551E-5</v>
      </c>
      <c r="S193" s="2">
        <v>1.11099E-5</v>
      </c>
    </row>
    <row r="194" ht="14.25" hidden="1" customHeight="1">
      <c r="A194" s="1" t="s">
        <v>5</v>
      </c>
      <c r="B194" s="1" t="s">
        <v>35</v>
      </c>
      <c r="C194" s="1" t="s">
        <v>29</v>
      </c>
      <c r="D194" s="1" t="s">
        <v>16</v>
      </c>
      <c r="E194" s="2">
        <v>3.94232E-4</v>
      </c>
      <c r="F194" s="2">
        <v>7.57023E-4</v>
      </c>
      <c r="G194" s="1">
        <v>0.00229153</v>
      </c>
      <c r="H194" s="1">
        <v>0.001902548</v>
      </c>
      <c r="I194" s="1">
        <v>0.001979189</v>
      </c>
      <c r="J194" s="1">
        <v>0.002307877</v>
      </c>
      <c r="K194" s="1">
        <v>0.00251335509999999</v>
      </c>
      <c r="L194" s="1">
        <v>0.0027506721</v>
      </c>
      <c r="M194" s="1">
        <v>0.0027491105</v>
      </c>
      <c r="N194" s="1">
        <v>0.0031055837</v>
      </c>
      <c r="O194" s="1">
        <v>0.00351427959999999</v>
      </c>
      <c r="P194" s="1">
        <v>0.0040156891</v>
      </c>
      <c r="Q194" s="1">
        <v>0.00459191</v>
      </c>
      <c r="R194" s="1">
        <v>0.005212487</v>
      </c>
      <c r="S194" s="1">
        <v>0.005793386</v>
      </c>
    </row>
    <row r="195" ht="14.25" hidden="1" customHeight="1">
      <c r="A195" s="1" t="s">
        <v>5</v>
      </c>
      <c r="B195" s="1" t="s">
        <v>35</v>
      </c>
      <c r="C195" s="1" t="s">
        <v>29</v>
      </c>
      <c r="D195" s="1" t="s">
        <v>8</v>
      </c>
      <c r="E195" s="2">
        <v>4.38002E-5</v>
      </c>
      <c r="F195" s="2">
        <v>8.41008E-5</v>
      </c>
      <c r="G195" s="2">
        <v>2.54601E-4</v>
      </c>
      <c r="H195" s="2">
        <v>1.96679513E-4</v>
      </c>
      <c r="I195" s="2">
        <v>5.29124032E-4</v>
      </c>
      <c r="J195" s="2">
        <v>5.23539523E-4</v>
      </c>
      <c r="K195" s="2">
        <v>4.978036565E-4</v>
      </c>
      <c r="L195" s="2">
        <v>4.722374895E-4</v>
      </c>
      <c r="M195" s="2">
        <v>4.200787812E-4</v>
      </c>
      <c r="N195" s="2">
        <v>4.575433E-4</v>
      </c>
      <c r="O195" s="2">
        <v>4.984801E-4</v>
      </c>
      <c r="P195" s="2">
        <v>5.849051E-4</v>
      </c>
      <c r="Q195" s="2">
        <v>6.790238E-4</v>
      </c>
      <c r="R195" s="2">
        <v>7.733988E-4</v>
      </c>
      <c r="S195" s="2">
        <v>8.619424E-4</v>
      </c>
    </row>
    <row r="196" ht="14.25" hidden="1" customHeight="1">
      <c r="A196" s="1" t="s">
        <v>5</v>
      </c>
      <c r="B196" s="1" t="s">
        <v>35</v>
      </c>
      <c r="C196" s="1" t="s">
        <v>29</v>
      </c>
      <c r="D196" s="1" t="s">
        <v>10</v>
      </c>
      <c r="E196" s="2">
        <v>2.27985E-5</v>
      </c>
      <c r="F196" s="2">
        <v>4.37004E-5</v>
      </c>
      <c r="G196" s="2">
        <v>1.82796E-4</v>
      </c>
      <c r="H196" s="2">
        <v>4.8775E-4</v>
      </c>
      <c r="I196" s="2">
        <v>4.2062766E-4</v>
      </c>
      <c r="J196" s="2">
        <v>3.4194060337E-4</v>
      </c>
      <c r="K196" s="2">
        <v>2.48957297879999E-4</v>
      </c>
      <c r="L196" s="2">
        <v>1.5518505637E-4</v>
      </c>
      <c r="M196" s="2">
        <v>6.389191169E-5</v>
      </c>
      <c r="N196" s="2">
        <v>1.7622038E-5</v>
      </c>
      <c r="O196" s="2">
        <v>1.5998191491E-5</v>
      </c>
      <c r="P196" s="2">
        <v>1.408445E-5</v>
      </c>
      <c r="Q196" s="2">
        <v>1.2115327E-5</v>
      </c>
      <c r="R196" s="2">
        <v>1.1163213E-5</v>
      </c>
      <c r="S196" s="2">
        <v>1.0632036E-5</v>
      </c>
    </row>
    <row r="197" ht="14.25" hidden="1" customHeight="1">
      <c r="A197" s="1" t="s">
        <v>5</v>
      </c>
      <c r="B197" s="1" t="s">
        <v>35</v>
      </c>
      <c r="C197" s="1" t="s">
        <v>29</v>
      </c>
      <c r="D197" s="1" t="s">
        <v>11</v>
      </c>
      <c r="E197" s="2">
        <v>4.32697E-4</v>
      </c>
      <c r="F197" s="2">
        <v>8.30701E-4</v>
      </c>
      <c r="G197" s="1">
        <v>0.0034731</v>
      </c>
      <c r="H197" s="1">
        <v>0.00268084420424</v>
      </c>
      <c r="I197" s="1">
        <v>0.00224997365053</v>
      </c>
      <c r="J197" s="1">
        <v>0.00241821502580999</v>
      </c>
      <c r="K197" s="1">
        <v>0.00394153810212</v>
      </c>
      <c r="L197" s="1">
        <v>0.01047414417843</v>
      </c>
      <c r="M197" s="1">
        <v>0.016355631553703</v>
      </c>
      <c r="N197" s="1">
        <v>0.022845216</v>
      </c>
      <c r="O197" s="1">
        <v>0.0288634976999999</v>
      </c>
      <c r="P197" s="1">
        <v>0.032454075</v>
      </c>
      <c r="Q197" s="1">
        <v>0.035043685</v>
      </c>
      <c r="R197" s="1">
        <v>0.03667983</v>
      </c>
      <c r="S197" s="1">
        <v>0.03789538</v>
      </c>
    </row>
    <row r="198" ht="14.25" hidden="1" customHeight="1">
      <c r="A198" s="1" t="s">
        <v>5</v>
      </c>
      <c r="B198" s="1" t="s">
        <v>35</v>
      </c>
      <c r="C198" s="1" t="s">
        <v>29</v>
      </c>
      <c r="D198" s="1" t="s">
        <v>13</v>
      </c>
      <c r="E198" s="2">
        <v>1.87981E-5</v>
      </c>
      <c r="F198" s="2">
        <v>3.60016E-5</v>
      </c>
      <c r="G198" s="2">
        <v>5.5899E-5</v>
      </c>
      <c r="H198" s="1">
        <v>0.0034611878</v>
      </c>
      <c r="I198" s="1">
        <v>0.0044867929</v>
      </c>
      <c r="J198" s="1">
        <v>0.0048511695</v>
      </c>
      <c r="K198" s="1">
        <v>0.00579782109999999</v>
      </c>
      <c r="L198" s="1">
        <v>0.0068119453</v>
      </c>
      <c r="M198" s="1">
        <v>0.007718308</v>
      </c>
      <c r="N198" s="1">
        <v>0.008298988</v>
      </c>
      <c r="O198" s="1">
        <v>0.00904282</v>
      </c>
      <c r="P198" s="1">
        <v>0.009704293</v>
      </c>
      <c r="Q198" s="1">
        <v>0.010459878</v>
      </c>
      <c r="R198" s="1">
        <v>0.011251377</v>
      </c>
      <c r="S198" s="1">
        <v>0.011991336</v>
      </c>
    </row>
    <row r="199" ht="14.25" hidden="1" customHeight="1">
      <c r="A199" s="1" t="s">
        <v>5</v>
      </c>
      <c r="B199" s="1" t="s">
        <v>35</v>
      </c>
      <c r="C199" s="1" t="s">
        <v>29</v>
      </c>
      <c r="D199" s="1" t="s">
        <v>14</v>
      </c>
      <c r="E199" s="1">
        <v>0.00349534</v>
      </c>
      <c r="F199" s="1">
        <v>0.00671066</v>
      </c>
      <c r="G199" s="1">
        <v>0.0104027</v>
      </c>
      <c r="H199" s="1">
        <v>0.008029719424</v>
      </c>
      <c r="I199" s="1">
        <v>0.0067391455488</v>
      </c>
      <c r="J199" s="1">
        <v>0.0047874794916</v>
      </c>
      <c r="K199" s="1">
        <v>0.005339244712</v>
      </c>
      <c r="L199" s="1">
        <v>0.0046394312474</v>
      </c>
      <c r="M199" s="1">
        <v>0.00307602887518</v>
      </c>
      <c r="N199" s="1">
        <v>0.003719736</v>
      </c>
      <c r="O199" s="1">
        <v>0.004557584</v>
      </c>
      <c r="P199" s="1">
        <v>0.00549423999999999</v>
      </c>
      <c r="Q199" s="1">
        <v>0.006484923</v>
      </c>
      <c r="R199" s="1">
        <v>0.007527443</v>
      </c>
      <c r="S199" s="1">
        <v>0.008512329</v>
      </c>
    </row>
    <row r="200" ht="14.25" hidden="1" customHeight="1">
      <c r="A200" s="1" t="s">
        <v>5</v>
      </c>
      <c r="B200" s="1" t="s">
        <v>35</v>
      </c>
      <c r="C200" s="1" t="s">
        <v>31</v>
      </c>
      <c r="D200" s="1" t="s">
        <v>11</v>
      </c>
      <c r="E200" s="1">
        <v>0.118296</v>
      </c>
      <c r="F200" s="1">
        <v>0.138603</v>
      </c>
      <c r="G200" s="1">
        <v>0.147315</v>
      </c>
      <c r="H200" s="2">
        <v>1.91415E-4</v>
      </c>
      <c r="I200" s="1">
        <v>0.162118</v>
      </c>
      <c r="J200" s="1">
        <v>0.00595892</v>
      </c>
      <c r="K200" s="1">
        <v>0.0132426</v>
      </c>
      <c r="L200" s="1">
        <v>0.032452</v>
      </c>
      <c r="M200" s="1">
        <v>0.0251045</v>
      </c>
      <c r="N200" s="1">
        <v>0.0124568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</row>
    <row r="201" ht="14.25" hidden="1" customHeight="1">
      <c r="A201" s="1" t="s">
        <v>5</v>
      </c>
      <c r="B201" s="1" t="s">
        <v>36</v>
      </c>
      <c r="C201" s="1" t="s">
        <v>7</v>
      </c>
      <c r="D201" s="1" t="s">
        <v>8</v>
      </c>
      <c r="E201" s="2">
        <v>1.23877E-5</v>
      </c>
      <c r="F201" s="2">
        <v>1.58406E-5</v>
      </c>
      <c r="G201" s="2">
        <v>1.68977E-5</v>
      </c>
      <c r="H201" s="2">
        <v>3.76922E-6</v>
      </c>
      <c r="I201" s="1">
        <v>0.0</v>
      </c>
      <c r="J201" s="2">
        <v>5.41244E-7</v>
      </c>
      <c r="K201" s="2">
        <v>3.26404E-7</v>
      </c>
      <c r="L201" s="2">
        <v>2.35453E-7</v>
      </c>
      <c r="M201" s="2">
        <v>1.62778E-7</v>
      </c>
      <c r="N201" s="2">
        <v>9.56338E-8</v>
      </c>
      <c r="O201" s="1">
        <v>0.0</v>
      </c>
      <c r="P201" s="1">
        <v>0.0</v>
      </c>
      <c r="Q201" s="1">
        <v>0.0</v>
      </c>
      <c r="R201" s="1">
        <v>0.0</v>
      </c>
      <c r="S201" s="1">
        <v>0.0</v>
      </c>
    </row>
    <row r="202" ht="14.25" hidden="1" customHeight="1">
      <c r="A202" s="1" t="s">
        <v>5</v>
      </c>
      <c r="B202" s="1" t="s">
        <v>36</v>
      </c>
      <c r="C202" s="1" t="s">
        <v>9</v>
      </c>
      <c r="D202" s="1" t="s">
        <v>8</v>
      </c>
      <c r="E202" s="2">
        <v>2.07793E-5</v>
      </c>
      <c r="F202" s="2">
        <v>1.8347E-5</v>
      </c>
      <c r="G202" s="2">
        <v>2.67964E-5</v>
      </c>
      <c r="H202" s="2">
        <v>2.22088E-5</v>
      </c>
      <c r="I202" s="1">
        <v>0.0</v>
      </c>
      <c r="J202" s="1">
        <v>0.0</v>
      </c>
      <c r="K202" s="1">
        <v>0.0</v>
      </c>
      <c r="L202" s="1">
        <v>0.0</v>
      </c>
      <c r="M202" s="1">
        <v>0.0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</row>
    <row r="203" ht="14.25" hidden="1" customHeight="1">
      <c r="A203" s="1" t="s">
        <v>5</v>
      </c>
      <c r="B203" s="1" t="s">
        <v>36</v>
      </c>
      <c r="C203" s="1" t="s">
        <v>9</v>
      </c>
      <c r="D203" s="1" t="s">
        <v>10</v>
      </c>
      <c r="E203" s="2">
        <v>6.99277E-7</v>
      </c>
      <c r="F203" s="2">
        <v>6.00297E-7</v>
      </c>
      <c r="G203" s="2">
        <v>2.8026E-6</v>
      </c>
      <c r="H203" s="2">
        <v>4.42794E-10</v>
      </c>
      <c r="I203" s="1">
        <v>0.0</v>
      </c>
      <c r="J203" s="2">
        <v>5.34159E-5</v>
      </c>
      <c r="K203" s="1">
        <v>0.0</v>
      </c>
      <c r="L203" s="1">
        <v>0.0</v>
      </c>
      <c r="M203" s="1">
        <v>0.0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</row>
    <row r="204" ht="14.25" hidden="1" customHeight="1">
      <c r="A204" s="1" t="s">
        <v>5</v>
      </c>
      <c r="B204" s="1" t="s">
        <v>36</v>
      </c>
      <c r="C204" s="1" t="s">
        <v>9</v>
      </c>
      <c r="D204" s="1" t="s">
        <v>11</v>
      </c>
      <c r="E204" s="2">
        <v>7.00186E-7</v>
      </c>
      <c r="F204" s="2">
        <v>5.99946E-7</v>
      </c>
      <c r="G204" s="2">
        <v>2.79894E-6</v>
      </c>
      <c r="H204" s="2">
        <v>8.37612E-6</v>
      </c>
      <c r="I204" s="2">
        <v>1.02207E-8</v>
      </c>
      <c r="J204" s="2">
        <v>6.63595E-8</v>
      </c>
      <c r="K204" s="1">
        <v>0.0</v>
      </c>
      <c r="L204" s="1">
        <v>0.0</v>
      </c>
      <c r="M204" s="1">
        <v>0.0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</row>
    <row r="205" ht="14.25" hidden="1" customHeight="1">
      <c r="A205" s="1" t="s">
        <v>5</v>
      </c>
      <c r="B205" s="1" t="s">
        <v>36</v>
      </c>
      <c r="C205" s="1" t="s">
        <v>9</v>
      </c>
      <c r="D205" s="1" t="s">
        <v>12</v>
      </c>
      <c r="E205" s="2">
        <v>7.53363E-7</v>
      </c>
      <c r="F205" s="2">
        <v>5.8427E-7</v>
      </c>
      <c r="G205" s="2">
        <v>2.7992E-6</v>
      </c>
      <c r="H205" s="2">
        <v>9.60771E-5</v>
      </c>
      <c r="I205" s="2">
        <v>8.43456E-7</v>
      </c>
      <c r="J205" s="2">
        <v>3.05118E-7</v>
      </c>
      <c r="K205" s="1">
        <v>0.0</v>
      </c>
      <c r="L205" s="1">
        <v>0.0</v>
      </c>
      <c r="M205" s="1">
        <v>0.0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</row>
    <row r="206" ht="14.25" hidden="1" customHeight="1">
      <c r="A206" s="1" t="s">
        <v>5</v>
      </c>
      <c r="B206" s="1" t="s">
        <v>36</v>
      </c>
      <c r="C206" s="1" t="s">
        <v>9</v>
      </c>
      <c r="D206" s="1" t="s">
        <v>13</v>
      </c>
      <c r="E206" s="1">
        <v>0.0</v>
      </c>
      <c r="F206" s="1">
        <v>0.0</v>
      </c>
      <c r="G206" s="1">
        <v>0.0</v>
      </c>
      <c r="H206" s="2">
        <v>4.71598E-5</v>
      </c>
      <c r="I206" s="1">
        <v>0.0</v>
      </c>
      <c r="J206" s="1">
        <v>0.0</v>
      </c>
      <c r="K206" s="1">
        <v>0.0</v>
      </c>
      <c r="L206" s="1">
        <v>0.0</v>
      </c>
      <c r="M206" s="1">
        <v>0.0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0.0</v>
      </c>
    </row>
    <row r="207" ht="14.25" hidden="1" customHeight="1">
      <c r="A207" s="1" t="s">
        <v>5</v>
      </c>
      <c r="B207" s="1" t="s">
        <v>36</v>
      </c>
      <c r="C207" s="1" t="s">
        <v>9</v>
      </c>
      <c r="D207" s="1" t="s">
        <v>14</v>
      </c>
      <c r="E207" s="1">
        <v>0.0</v>
      </c>
      <c r="F207" s="1">
        <v>0.0</v>
      </c>
      <c r="G207" s="1">
        <v>0.0</v>
      </c>
      <c r="H207" s="2">
        <v>4.16498E-6</v>
      </c>
      <c r="I207" s="1">
        <v>0.0</v>
      </c>
      <c r="J207" s="1">
        <v>0.0</v>
      </c>
      <c r="K207" s="1">
        <v>0.0</v>
      </c>
      <c r="L207" s="1">
        <v>0.0</v>
      </c>
      <c r="M207" s="1">
        <v>0.0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0.0</v>
      </c>
    </row>
    <row r="208" ht="14.25" hidden="1" customHeight="1">
      <c r="A208" s="1" t="s">
        <v>5</v>
      </c>
      <c r="B208" s="1" t="s">
        <v>36</v>
      </c>
      <c r="C208" s="1" t="s">
        <v>15</v>
      </c>
      <c r="D208" s="1" t="s">
        <v>16</v>
      </c>
      <c r="E208" s="1">
        <v>0.0</v>
      </c>
      <c r="F208" s="1">
        <v>0.0</v>
      </c>
      <c r="G208" s="1">
        <v>0.0</v>
      </c>
      <c r="H208" s="1">
        <v>0.0</v>
      </c>
      <c r="I208" s="2">
        <v>3.71261E-5</v>
      </c>
      <c r="J208" s="2">
        <v>3.573546E-4</v>
      </c>
      <c r="K208" s="2">
        <v>6.973499E-4</v>
      </c>
      <c r="L208" s="1">
        <v>0.0010784421</v>
      </c>
      <c r="M208" s="1">
        <v>0.00147519229999999</v>
      </c>
      <c r="N208" s="1">
        <v>0.00184484345</v>
      </c>
      <c r="O208" s="1">
        <v>0.0021977564</v>
      </c>
      <c r="P208" s="1">
        <v>0.0025426856</v>
      </c>
      <c r="Q208" s="1">
        <v>0.0028852757</v>
      </c>
      <c r="R208" s="1">
        <v>0.0032220985</v>
      </c>
      <c r="S208" s="1">
        <v>0.0035594033</v>
      </c>
    </row>
    <row r="209" ht="14.25" customHeight="1">
      <c r="A209" s="1" t="s">
        <v>5</v>
      </c>
      <c r="B209" s="1" t="s">
        <v>36</v>
      </c>
      <c r="C209" s="1" t="s">
        <v>15</v>
      </c>
      <c r="D209" s="1" t="s">
        <v>14</v>
      </c>
      <c r="E209" s="1">
        <v>0.0</v>
      </c>
      <c r="F209" s="1">
        <v>0.0</v>
      </c>
      <c r="G209" s="1">
        <v>0.0</v>
      </c>
      <c r="H209" s="1">
        <v>0.0</v>
      </c>
      <c r="I209" s="2">
        <v>2.85187E-7</v>
      </c>
      <c r="J209" s="2">
        <v>1.26800627E-4</v>
      </c>
      <c r="K209" s="2">
        <v>2.5516125E-4</v>
      </c>
      <c r="L209" s="2">
        <v>3.55675193E-4</v>
      </c>
      <c r="M209" s="2">
        <v>4.622902363E-4</v>
      </c>
      <c r="N209" s="2">
        <v>5.387871594E-4</v>
      </c>
      <c r="O209" s="2">
        <v>6.07701399999999E-4</v>
      </c>
      <c r="P209" s="2">
        <v>6.687227E-4</v>
      </c>
      <c r="Q209" s="2">
        <v>7.325578E-4</v>
      </c>
      <c r="R209" s="2">
        <v>7.962973E-4</v>
      </c>
      <c r="S209" s="2">
        <v>8.610899E-4</v>
      </c>
    </row>
    <row r="210" ht="14.25" hidden="1" customHeight="1">
      <c r="A210" s="1" t="s">
        <v>5</v>
      </c>
      <c r="B210" s="1" t="s">
        <v>36</v>
      </c>
      <c r="C210" s="1" t="s">
        <v>17</v>
      </c>
      <c r="D210" s="1" t="s">
        <v>16</v>
      </c>
      <c r="E210" s="2">
        <v>7.89561E-6</v>
      </c>
      <c r="F210" s="2">
        <v>2.44954E-5</v>
      </c>
      <c r="G210" s="2">
        <v>5.33779E-4</v>
      </c>
      <c r="H210" s="2">
        <v>5.200014E-4</v>
      </c>
      <c r="I210" s="2">
        <v>4.4069066E-4</v>
      </c>
      <c r="J210" s="2">
        <v>4.02461519999999E-4</v>
      </c>
      <c r="K210" s="2">
        <v>3.3112138E-4</v>
      </c>
      <c r="L210" s="2">
        <v>2.9468258E-4</v>
      </c>
      <c r="M210" s="2">
        <v>2.7664554E-4</v>
      </c>
      <c r="N210" s="2">
        <v>3.28382835E-4</v>
      </c>
      <c r="O210" s="2">
        <v>3.963365E-4</v>
      </c>
      <c r="P210" s="2">
        <v>4.7341765E-4</v>
      </c>
      <c r="Q210" s="2">
        <v>5.474111E-4</v>
      </c>
      <c r="R210" s="2">
        <v>6.231303E-4</v>
      </c>
      <c r="S210" s="2">
        <v>6.96219199999999E-4</v>
      </c>
    </row>
    <row r="211" ht="14.25" hidden="1" customHeight="1">
      <c r="A211" s="1" t="s">
        <v>5</v>
      </c>
      <c r="B211" s="1" t="s">
        <v>36</v>
      </c>
      <c r="C211" s="1" t="s">
        <v>17</v>
      </c>
      <c r="D211" s="1" t="s">
        <v>18</v>
      </c>
      <c r="E211" s="2">
        <v>9.5E-6</v>
      </c>
      <c r="F211" s="2">
        <v>2.93846E-5</v>
      </c>
      <c r="G211" s="2">
        <v>6.40615E-4</v>
      </c>
      <c r="H211" s="2">
        <v>6.644847E-4</v>
      </c>
      <c r="I211" s="2">
        <v>2.4771E-4</v>
      </c>
      <c r="J211" s="1">
        <v>0.0010940293</v>
      </c>
      <c r="K211" s="1">
        <v>0.0013692406</v>
      </c>
      <c r="L211" s="1">
        <v>0.0016700456</v>
      </c>
      <c r="M211" s="1">
        <v>0.00193762727999999</v>
      </c>
      <c r="N211" s="1">
        <v>0.002242379</v>
      </c>
      <c r="O211" s="1">
        <v>0.00253036259999999</v>
      </c>
      <c r="P211" s="1">
        <v>0.0028047091</v>
      </c>
      <c r="Q211" s="1">
        <v>0.0030725101</v>
      </c>
      <c r="R211" s="1">
        <v>0.0033256952</v>
      </c>
      <c r="S211" s="1">
        <v>0.0035541901</v>
      </c>
    </row>
    <row r="212" ht="14.25" hidden="1" customHeight="1">
      <c r="A212" s="1" t="s">
        <v>5</v>
      </c>
      <c r="B212" s="1" t="s">
        <v>36</v>
      </c>
      <c r="C212" s="1" t="s">
        <v>17</v>
      </c>
      <c r="D212" s="1" t="s">
        <v>19</v>
      </c>
      <c r="E212" s="2">
        <v>4.69976E-6</v>
      </c>
      <c r="F212" s="2">
        <v>1.47016E-5</v>
      </c>
      <c r="G212" s="2">
        <v>3.20299E-4</v>
      </c>
      <c r="H212" s="2">
        <v>3.052458E-4</v>
      </c>
      <c r="I212" s="2">
        <v>7.12054E-5</v>
      </c>
      <c r="J212" s="2">
        <v>4.389909E-4</v>
      </c>
      <c r="K212" s="2">
        <v>5.342806E-4</v>
      </c>
      <c r="L212" s="2">
        <v>6.49541999999999E-4</v>
      </c>
      <c r="M212" s="2">
        <v>7.553359E-4</v>
      </c>
      <c r="N212" s="2">
        <v>8.864598E-4</v>
      </c>
      <c r="O212" s="1">
        <v>0.0010254154</v>
      </c>
      <c r="P212" s="1">
        <v>0.001168669</v>
      </c>
      <c r="Q212" s="1">
        <v>0.001312939</v>
      </c>
      <c r="R212" s="1">
        <v>0.00145672499999999</v>
      </c>
      <c r="S212" s="1">
        <v>0.001596824</v>
      </c>
    </row>
    <row r="213" ht="14.25" hidden="1" customHeight="1">
      <c r="A213" s="1" t="s">
        <v>5</v>
      </c>
      <c r="B213" s="1" t="s">
        <v>36</v>
      </c>
      <c r="C213" s="1" t="s">
        <v>17</v>
      </c>
      <c r="D213" s="1" t="s">
        <v>8</v>
      </c>
      <c r="E213" s="2">
        <v>1.59841E-6</v>
      </c>
      <c r="F213" s="2">
        <v>4.91258E-6</v>
      </c>
      <c r="G213" s="2">
        <v>1.06786E-4</v>
      </c>
      <c r="H213" s="2">
        <v>1.006184E-4</v>
      </c>
      <c r="I213" s="2">
        <v>6.17194999999999E-5</v>
      </c>
      <c r="J213" s="2">
        <v>1.481391E-4</v>
      </c>
      <c r="K213" s="2">
        <v>1.6659888E-4</v>
      </c>
      <c r="L213" s="2">
        <v>1.98661E-4</v>
      </c>
      <c r="M213" s="2">
        <v>2.337789E-4</v>
      </c>
      <c r="N213" s="2">
        <v>2.737045E-4</v>
      </c>
      <c r="O213" s="2">
        <v>3.20145E-4</v>
      </c>
      <c r="P213" s="2">
        <v>3.698242E-4</v>
      </c>
      <c r="Q213" s="2">
        <v>4.166791E-4</v>
      </c>
      <c r="R213" s="2">
        <v>4.62070299999999E-4</v>
      </c>
      <c r="S213" s="2">
        <v>5.065126E-4</v>
      </c>
    </row>
    <row r="214" ht="14.25" hidden="1" customHeight="1">
      <c r="A214" s="1" t="s">
        <v>5</v>
      </c>
      <c r="B214" s="1" t="s">
        <v>36</v>
      </c>
      <c r="C214" s="1" t="s">
        <v>17</v>
      </c>
      <c r="D214" s="1" t="s">
        <v>20</v>
      </c>
      <c r="E214" s="2">
        <v>1.57895E-6</v>
      </c>
      <c r="F214" s="2">
        <v>4.73684E-6</v>
      </c>
      <c r="G214" s="2">
        <v>1.06842E-4</v>
      </c>
      <c r="H214" s="2">
        <v>1.03275E-4</v>
      </c>
      <c r="I214" s="2">
        <v>5.24132E-5</v>
      </c>
      <c r="J214" s="2">
        <v>1.549142E-4</v>
      </c>
      <c r="K214" s="2">
        <v>1.911094E-4</v>
      </c>
      <c r="L214" s="2">
        <v>2.283432E-4</v>
      </c>
      <c r="M214" s="2">
        <v>2.628326E-4</v>
      </c>
      <c r="N214" s="2">
        <v>3.068597E-4</v>
      </c>
      <c r="O214" s="2">
        <v>3.528922E-4</v>
      </c>
      <c r="P214" s="2">
        <v>3.993928E-4</v>
      </c>
      <c r="Q214" s="2">
        <v>4.457877E-4</v>
      </c>
      <c r="R214" s="2">
        <v>4.91521E-4</v>
      </c>
      <c r="S214" s="2">
        <v>5.352919E-4</v>
      </c>
    </row>
    <row r="215" ht="14.25" hidden="1" customHeight="1">
      <c r="A215" s="1" t="s">
        <v>5</v>
      </c>
      <c r="B215" s="1" t="s">
        <v>36</v>
      </c>
      <c r="C215" s="1" t="s">
        <v>21</v>
      </c>
      <c r="D215" s="1" t="s">
        <v>10</v>
      </c>
      <c r="E215" s="2">
        <v>3.99587E-7</v>
      </c>
      <c r="F215" s="2">
        <v>1.20059E-6</v>
      </c>
      <c r="G215" s="2">
        <v>1.04197E-4</v>
      </c>
      <c r="H215" s="2">
        <v>6.751121886E-5</v>
      </c>
      <c r="I215" s="2">
        <v>4.804147406E-5</v>
      </c>
      <c r="J215" s="2">
        <v>3.806945434E-5</v>
      </c>
      <c r="K215" s="2">
        <v>1.474584567E-5</v>
      </c>
      <c r="L215" s="2">
        <v>1.60040729999999E-5</v>
      </c>
      <c r="M215" s="2">
        <v>1.9409268E-5</v>
      </c>
      <c r="N215" s="2">
        <v>2.678929E-5</v>
      </c>
      <c r="O215" s="2">
        <v>3.533083E-5</v>
      </c>
      <c r="P215" s="2">
        <v>4.38806099999999E-5</v>
      </c>
      <c r="Q215" s="2">
        <v>5.12152E-5</v>
      </c>
      <c r="R215" s="2">
        <v>5.569894E-5</v>
      </c>
      <c r="S215" s="2">
        <v>6.005235E-5</v>
      </c>
    </row>
    <row r="216" ht="14.25" hidden="1" customHeight="1">
      <c r="A216" s="1" t="s">
        <v>5</v>
      </c>
      <c r="B216" s="1" t="s">
        <v>36</v>
      </c>
      <c r="C216" s="1" t="s">
        <v>21</v>
      </c>
      <c r="D216" s="1" t="s">
        <v>11</v>
      </c>
      <c r="E216" s="2">
        <v>4.00106E-7</v>
      </c>
      <c r="F216" s="2">
        <v>1.19989E-6</v>
      </c>
      <c r="G216" s="2">
        <v>1.04061E-4</v>
      </c>
      <c r="H216" s="2">
        <v>7.76642E-5</v>
      </c>
      <c r="I216" s="2">
        <v>4.86684E-5</v>
      </c>
      <c r="J216" s="2">
        <v>2.301191E-5</v>
      </c>
      <c r="K216" s="2">
        <v>8.1837E-6</v>
      </c>
      <c r="L216" s="2">
        <v>5.20492E-6</v>
      </c>
      <c r="M216" s="2">
        <v>4.89893E-6</v>
      </c>
      <c r="N216" s="2">
        <v>4.76466E-6</v>
      </c>
      <c r="O216" s="2">
        <v>4.71699E-6</v>
      </c>
      <c r="P216" s="2">
        <v>4.83091E-6</v>
      </c>
      <c r="Q216" s="2">
        <v>4.75165999999999E-6</v>
      </c>
      <c r="R216" s="2">
        <v>4.73798E-6</v>
      </c>
      <c r="S216" s="2">
        <v>4.82739E-6</v>
      </c>
    </row>
    <row r="217" ht="14.25" hidden="1" customHeight="1">
      <c r="A217" s="1" t="s">
        <v>5</v>
      </c>
      <c r="B217" s="1" t="s">
        <v>36</v>
      </c>
      <c r="C217" s="1" t="s">
        <v>21</v>
      </c>
      <c r="D217" s="1" t="s">
        <v>22</v>
      </c>
      <c r="E217" s="2">
        <v>4.0E-7</v>
      </c>
      <c r="F217" s="2">
        <v>1.2E-6</v>
      </c>
      <c r="G217" s="2">
        <v>1.041E-4</v>
      </c>
      <c r="H217" s="2">
        <v>6.688842E-5</v>
      </c>
      <c r="I217" s="2">
        <v>2.064884E-5</v>
      </c>
      <c r="J217" s="2">
        <v>5.44581E-5</v>
      </c>
      <c r="K217" s="2">
        <v>6.19662E-5</v>
      </c>
      <c r="L217" s="2">
        <v>7.31752E-5</v>
      </c>
      <c r="M217" s="2">
        <v>7.70610999999999E-5</v>
      </c>
      <c r="N217" s="2">
        <v>8.73724E-5</v>
      </c>
      <c r="O217" s="2">
        <v>9.56911E-5</v>
      </c>
      <c r="P217" s="2">
        <v>1.033896E-4</v>
      </c>
      <c r="Q217" s="2">
        <v>1.109649E-4</v>
      </c>
      <c r="R217" s="2">
        <v>1.187731E-4</v>
      </c>
      <c r="S217" s="2">
        <v>1.257891E-4</v>
      </c>
    </row>
    <row r="218" ht="14.25" hidden="1" customHeight="1">
      <c r="A218" s="1" t="s">
        <v>5</v>
      </c>
      <c r="B218" s="1" t="s">
        <v>36</v>
      </c>
      <c r="C218" s="1" t="s">
        <v>21</v>
      </c>
      <c r="D218" s="1" t="s">
        <v>23</v>
      </c>
      <c r="E218" s="2">
        <v>3.890106E-7</v>
      </c>
      <c r="F218" s="2">
        <v>1.194819E-6</v>
      </c>
      <c r="G218" s="2">
        <v>1.040977E-4</v>
      </c>
      <c r="H218" s="2">
        <v>7.64079999999999E-5</v>
      </c>
      <c r="I218" s="2">
        <v>3.407636E-5</v>
      </c>
      <c r="J218" s="2">
        <v>7.081133E-5</v>
      </c>
      <c r="K218" s="2">
        <v>8.740057E-5</v>
      </c>
      <c r="L218" s="2">
        <v>1.139184E-4</v>
      </c>
      <c r="M218" s="2">
        <v>1.336547E-4</v>
      </c>
      <c r="N218" s="2">
        <v>1.694276E-4</v>
      </c>
      <c r="O218" s="2">
        <v>2.07402799999999E-4</v>
      </c>
      <c r="P218" s="2">
        <v>2.52385899999999E-4</v>
      </c>
      <c r="Q218" s="2">
        <v>3.043138E-4</v>
      </c>
      <c r="R218" s="2">
        <v>3.64517E-4</v>
      </c>
      <c r="S218" s="2">
        <v>4.29149E-4</v>
      </c>
    </row>
    <row r="219" ht="14.25" hidden="1" customHeight="1">
      <c r="A219" s="1" t="s">
        <v>5</v>
      </c>
      <c r="B219" s="1" t="s">
        <v>36</v>
      </c>
      <c r="C219" s="1" t="s">
        <v>21</v>
      </c>
      <c r="D219" s="1" t="s">
        <v>24</v>
      </c>
      <c r="E219" s="2">
        <v>3.990038E-7</v>
      </c>
      <c r="F219" s="2">
        <v>1.204265E-6</v>
      </c>
      <c r="G219" s="2">
        <v>1.04102799999999E-4</v>
      </c>
      <c r="H219" s="2">
        <v>3.748126E-5</v>
      </c>
      <c r="I219" s="2">
        <v>1.438043E-5</v>
      </c>
      <c r="J219" s="2">
        <v>2.506428E-5</v>
      </c>
      <c r="K219" s="2">
        <v>2.858263E-5</v>
      </c>
      <c r="L219" s="2">
        <v>3.414509E-5</v>
      </c>
      <c r="M219" s="2">
        <v>3.86387999999999E-5</v>
      </c>
      <c r="N219" s="2">
        <v>4.405893E-5</v>
      </c>
      <c r="O219" s="2">
        <v>4.87738E-5</v>
      </c>
      <c r="P219" s="2">
        <v>5.39395E-5</v>
      </c>
      <c r="Q219" s="2">
        <v>5.84954E-5</v>
      </c>
      <c r="R219" s="2">
        <v>6.26362E-5</v>
      </c>
      <c r="S219" s="2">
        <v>6.6397E-5</v>
      </c>
    </row>
    <row r="220" ht="14.25" hidden="1" customHeight="1">
      <c r="A220" s="1" t="s">
        <v>5</v>
      </c>
      <c r="B220" s="1" t="s">
        <v>36</v>
      </c>
      <c r="C220" s="1" t="s">
        <v>21</v>
      </c>
      <c r="D220" s="1" t="s">
        <v>12</v>
      </c>
      <c r="E220" s="2">
        <v>4.30493E-7</v>
      </c>
      <c r="F220" s="2">
        <v>1.16854E-6</v>
      </c>
      <c r="G220" s="2">
        <v>1.0407E-4</v>
      </c>
      <c r="H220" s="2">
        <v>4.18721E-5</v>
      </c>
      <c r="I220" s="2">
        <v>3.03718E-5</v>
      </c>
      <c r="J220" s="2">
        <v>6.24233E-5</v>
      </c>
      <c r="K220" s="2">
        <v>6.62512E-5</v>
      </c>
      <c r="L220" s="2">
        <v>7.28593E-5</v>
      </c>
      <c r="M220" s="2">
        <v>7.25979E-5</v>
      </c>
      <c r="N220" s="2">
        <v>7.84341E-5</v>
      </c>
      <c r="O220" s="2">
        <v>8.27022E-5</v>
      </c>
      <c r="P220" s="2">
        <v>8.68466E-5</v>
      </c>
      <c r="Q220" s="2">
        <v>9.14652E-5</v>
      </c>
      <c r="R220" s="2">
        <v>9.67717E-5</v>
      </c>
      <c r="S220" s="2">
        <v>1.01823E-4</v>
      </c>
    </row>
    <row r="221" ht="14.25" hidden="1" customHeight="1">
      <c r="A221" s="1" t="s">
        <v>5</v>
      </c>
      <c r="B221" s="1" t="s">
        <v>36</v>
      </c>
      <c r="C221" s="1" t="s">
        <v>21</v>
      </c>
      <c r="D221" s="1" t="s">
        <v>13</v>
      </c>
      <c r="E221" s="2">
        <v>8.13849E-5</v>
      </c>
      <c r="F221" s="2">
        <v>2.53359E-4</v>
      </c>
      <c r="G221" s="2">
        <v>3.82695E-4</v>
      </c>
      <c r="H221" s="2">
        <v>3.380172E-4</v>
      </c>
      <c r="I221" s="2">
        <v>2.40669E-4</v>
      </c>
      <c r="J221" s="2">
        <v>4.875547E-4</v>
      </c>
      <c r="K221" s="2">
        <v>7.209591E-4</v>
      </c>
      <c r="L221" s="2">
        <v>9.9086E-4</v>
      </c>
      <c r="M221" s="1">
        <v>0.001230563</v>
      </c>
      <c r="N221" s="1">
        <v>0.001516865</v>
      </c>
      <c r="O221" s="1">
        <v>0.001765833</v>
      </c>
      <c r="P221" s="1">
        <v>0.002013906</v>
      </c>
      <c r="Q221" s="1">
        <v>0.002247064</v>
      </c>
      <c r="R221" s="1">
        <v>0.002466018</v>
      </c>
      <c r="S221" s="1">
        <v>0.002670708</v>
      </c>
    </row>
    <row r="222" ht="14.25" hidden="1" customHeight="1">
      <c r="A222" s="1" t="s">
        <v>5</v>
      </c>
      <c r="B222" s="1" t="s">
        <v>36</v>
      </c>
      <c r="C222" s="1" t="s">
        <v>21</v>
      </c>
      <c r="D222" s="1" t="s">
        <v>14</v>
      </c>
      <c r="E222" s="2">
        <v>1.01969E-5</v>
      </c>
      <c r="F222" s="2">
        <v>3.17009E-5</v>
      </c>
      <c r="G222" s="2">
        <v>4.78219E-5</v>
      </c>
      <c r="H222" s="2">
        <v>5.59973E-5</v>
      </c>
      <c r="I222" s="2">
        <v>1.129774E-4</v>
      </c>
      <c r="J222" s="2">
        <v>6.02068E-5</v>
      </c>
      <c r="K222" s="2">
        <v>2.06058899999999E-5</v>
      </c>
      <c r="L222" s="2">
        <v>1.577731E-5</v>
      </c>
      <c r="M222" s="2">
        <v>1.774192E-5</v>
      </c>
      <c r="N222" s="2">
        <v>2.03272E-5</v>
      </c>
      <c r="O222" s="2">
        <v>2.400743E-5</v>
      </c>
      <c r="P222" s="2">
        <v>2.826977E-5</v>
      </c>
      <c r="Q222" s="2">
        <v>3.034373E-5</v>
      </c>
      <c r="R222" s="2">
        <v>3.230502E-5</v>
      </c>
      <c r="S222" s="2">
        <v>3.4225E-5</v>
      </c>
    </row>
    <row r="223" ht="14.25" hidden="1" customHeight="1">
      <c r="A223" s="1" t="s">
        <v>5</v>
      </c>
      <c r="B223" s="1" t="s">
        <v>36</v>
      </c>
      <c r="C223" s="1" t="s">
        <v>21</v>
      </c>
      <c r="D223" s="1" t="s">
        <v>25</v>
      </c>
      <c r="E223" s="2">
        <v>2.04E-5</v>
      </c>
      <c r="F223" s="2">
        <v>6.33E-5</v>
      </c>
      <c r="G223" s="2">
        <v>9.57E-5</v>
      </c>
      <c r="H223" s="2">
        <v>9.7537E-5</v>
      </c>
      <c r="I223" s="2">
        <v>1.286109E-4</v>
      </c>
      <c r="J223" s="2">
        <v>1.627877E-4</v>
      </c>
      <c r="K223" s="2">
        <v>1.631528E-4</v>
      </c>
      <c r="L223" s="2">
        <v>1.693668E-4</v>
      </c>
      <c r="M223" s="2">
        <v>1.624896E-4</v>
      </c>
      <c r="N223" s="2">
        <v>1.797076E-4</v>
      </c>
      <c r="O223" s="2">
        <v>1.990884E-4</v>
      </c>
      <c r="P223" s="2">
        <v>2.228605E-4</v>
      </c>
      <c r="Q223" s="2">
        <v>2.48859399999999E-4</v>
      </c>
      <c r="R223" s="2">
        <v>2.744762E-4</v>
      </c>
      <c r="S223" s="2">
        <v>2.96431E-4</v>
      </c>
    </row>
    <row r="224" ht="14.25" hidden="1" customHeight="1">
      <c r="A224" s="1" t="s">
        <v>5</v>
      </c>
      <c r="B224" s="1" t="s">
        <v>36</v>
      </c>
      <c r="C224" s="1" t="s">
        <v>21</v>
      </c>
      <c r="D224" s="1" t="s">
        <v>26</v>
      </c>
      <c r="E224" s="2">
        <v>6.10843E-5</v>
      </c>
      <c r="F224" s="2">
        <v>1.900114E-4</v>
      </c>
      <c r="G224" s="2">
        <v>2.871026E-4</v>
      </c>
      <c r="H224" s="2">
        <v>3.138095E-4</v>
      </c>
      <c r="I224" s="2">
        <v>5.057883E-4</v>
      </c>
      <c r="J224" s="2">
        <v>9.684271E-4</v>
      </c>
      <c r="K224" s="1">
        <v>0.001217803</v>
      </c>
      <c r="L224" s="1">
        <v>0.001574056</v>
      </c>
      <c r="M224" s="1">
        <v>0.001801631</v>
      </c>
      <c r="N224" s="1">
        <v>0.002329727</v>
      </c>
      <c r="O224" s="1">
        <v>0.002953486</v>
      </c>
      <c r="P224" s="1">
        <v>0.003753984</v>
      </c>
      <c r="Q224" s="1">
        <v>0.004689257</v>
      </c>
      <c r="R224" s="1">
        <v>0.005715989</v>
      </c>
      <c r="S224" s="1">
        <v>0.00674281</v>
      </c>
    </row>
    <row r="225" ht="14.25" hidden="1" customHeight="1">
      <c r="A225" s="1" t="s">
        <v>5</v>
      </c>
      <c r="B225" s="1" t="s">
        <v>36</v>
      </c>
      <c r="C225" s="1" t="s">
        <v>21</v>
      </c>
      <c r="D225" s="1" t="s">
        <v>27</v>
      </c>
      <c r="E225" s="2">
        <v>5.08999E-5</v>
      </c>
      <c r="F225" s="2">
        <v>1.583013E-4</v>
      </c>
      <c r="G225" s="2">
        <v>2.392001E-4</v>
      </c>
      <c r="H225" s="2">
        <v>2.616002E-4</v>
      </c>
      <c r="I225" s="2">
        <v>2.759119E-4</v>
      </c>
      <c r="J225" s="2">
        <v>5.0841465E-4</v>
      </c>
      <c r="K225" s="2">
        <v>5.868824E-4</v>
      </c>
      <c r="L225" s="2">
        <v>6.820439E-4</v>
      </c>
      <c r="M225" s="2">
        <v>7.530242E-4</v>
      </c>
      <c r="N225" s="2">
        <v>8.429498E-4</v>
      </c>
      <c r="O225" s="2">
        <v>9.24259E-4</v>
      </c>
      <c r="P225" s="1">
        <v>0.001036866</v>
      </c>
      <c r="Q225" s="1">
        <v>0.001149918</v>
      </c>
      <c r="R225" s="1">
        <v>0.001258874</v>
      </c>
      <c r="S225" s="1">
        <v>0.001363016</v>
      </c>
    </row>
    <row r="226" ht="14.25" hidden="1" customHeight="1">
      <c r="A226" s="1" t="s">
        <v>5</v>
      </c>
      <c r="B226" s="1" t="s">
        <v>36</v>
      </c>
      <c r="C226" s="1" t="s">
        <v>21</v>
      </c>
      <c r="D226" s="1" t="s">
        <v>28</v>
      </c>
      <c r="E226" s="2">
        <v>1.02E-5</v>
      </c>
      <c r="F226" s="2">
        <v>3.17E-5</v>
      </c>
      <c r="G226" s="2">
        <v>4.78E-5</v>
      </c>
      <c r="H226" s="2">
        <v>4.18271E-5</v>
      </c>
      <c r="I226" s="2">
        <v>4.75658E-5</v>
      </c>
      <c r="J226" s="2">
        <v>6.56429E-5</v>
      </c>
      <c r="K226" s="2">
        <v>6.54136E-5</v>
      </c>
      <c r="L226" s="2">
        <v>6.77359E-5</v>
      </c>
      <c r="M226" s="2">
        <v>6.49407E-5</v>
      </c>
      <c r="N226" s="2">
        <v>7.18106E-5</v>
      </c>
      <c r="O226" s="2">
        <v>7.9553E-5</v>
      </c>
      <c r="P226" s="2">
        <v>8.90516E-5</v>
      </c>
      <c r="Q226" s="2">
        <v>9.94402E-5</v>
      </c>
      <c r="R226" s="2">
        <v>1.09676E-4</v>
      </c>
      <c r="S226" s="2">
        <v>1.18449E-4</v>
      </c>
    </row>
    <row r="227" ht="14.25" hidden="1" customHeight="1">
      <c r="A227" s="1" t="s">
        <v>5</v>
      </c>
      <c r="B227" s="1" t="s">
        <v>36</v>
      </c>
      <c r="C227" s="1" t="s">
        <v>29</v>
      </c>
      <c r="D227" s="1" t="s">
        <v>16</v>
      </c>
      <c r="E227" s="2">
        <v>1.94292E-4</v>
      </c>
      <c r="F227" s="2">
        <v>3.7313E-4</v>
      </c>
      <c r="G227" s="2">
        <v>1.91193E-4</v>
      </c>
      <c r="H227" s="2">
        <v>2.328465E-4</v>
      </c>
      <c r="I227" s="2">
        <v>2.69891E-4</v>
      </c>
      <c r="J227" s="2">
        <v>3.820285E-4</v>
      </c>
      <c r="K227" s="2">
        <v>4.320726E-4</v>
      </c>
      <c r="L227" s="2">
        <v>4.59581099999999E-4</v>
      </c>
      <c r="M227" s="2">
        <v>4.473133E-4</v>
      </c>
      <c r="N227" s="2">
        <v>4.5182541E-4</v>
      </c>
      <c r="O227" s="2">
        <v>4.683944E-4</v>
      </c>
      <c r="P227" s="2">
        <v>4.963162E-4</v>
      </c>
      <c r="Q227" s="2">
        <v>5.369806E-4</v>
      </c>
      <c r="R227" s="2">
        <v>5.845482E-4</v>
      </c>
      <c r="S227" s="2">
        <v>6.290148E-4</v>
      </c>
    </row>
    <row r="228" ht="14.25" hidden="1" customHeight="1">
      <c r="A228" s="1" t="s">
        <v>5</v>
      </c>
      <c r="B228" s="1" t="s">
        <v>36</v>
      </c>
      <c r="C228" s="1" t="s">
        <v>29</v>
      </c>
      <c r="D228" s="1" t="s">
        <v>8</v>
      </c>
      <c r="E228" s="2">
        <v>3.88613E-5</v>
      </c>
      <c r="F228" s="2">
        <v>7.47916E-5</v>
      </c>
      <c r="G228" s="2">
        <v>3.81949E-5</v>
      </c>
      <c r="H228" s="2">
        <v>2.9647763E-5</v>
      </c>
      <c r="I228" s="2">
        <v>2.1865704E-5</v>
      </c>
      <c r="J228" s="2">
        <v>9.8302257E-5</v>
      </c>
      <c r="K228" s="2">
        <v>1.41994881599999E-4</v>
      </c>
      <c r="L228" s="2">
        <v>1.767633365E-4</v>
      </c>
      <c r="M228" s="2">
        <v>1.997937049E-4</v>
      </c>
      <c r="N228" s="2">
        <v>2.336864E-4</v>
      </c>
      <c r="O228" s="2">
        <v>2.623845E-4</v>
      </c>
      <c r="P228" s="2">
        <v>2.8803752E-4</v>
      </c>
      <c r="Q228" s="2">
        <v>3.187133E-4</v>
      </c>
      <c r="R228" s="2">
        <v>3.5085083E-4</v>
      </c>
      <c r="S228" s="2">
        <v>3.80975399999999E-4</v>
      </c>
    </row>
    <row r="229" ht="14.25" hidden="1" customHeight="1">
      <c r="A229" s="1" t="s">
        <v>5</v>
      </c>
      <c r="B229" s="1" t="s">
        <v>36</v>
      </c>
      <c r="C229" s="1" t="s">
        <v>29</v>
      </c>
      <c r="D229" s="1" t="s">
        <v>10</v>
      </c>
      <c r="E229" s="2">
        <v>2.19773E-5</v>
      </c>
      <c r="F229" s="2">
        <v>4.23209E-5</v>
      </c>
      <c r="G229" s="2">
        <v>1.44134E-5</v>
      </c>
      <c r="H229" s="2">
        <v>2.85567E-5</v>
      </c>
      <c r="I229" s="2">
        <v>2.256443E-5</v>
      </c>
      <c r="J229" s="2">
        <v>2.857906E-5</v>
      </c>
      <c r="K229" s="2">
        <v>1.0109342E-4</v>
      </c>
      <c r="L229" s="2">
        <v>1.13965119999999E-4</v>
      </c>
      <c r="M229" s="2">
        <v>1.1926314E-4</v>
      </c>
      <c r="N229" s="2">
        <v>1.21116479999999E-4</v>
      </c>
      <c r="O229" s="2">
        <v>1.2212574E-4</v>
      </c>
      <c r="P229" s="2">
        <v>1.227822E-4</v>
      </c>
      <c r="Q229" s="2">
        <v>1.2430086E-4</v>
      </c>
      <c r="R229" s="2">
        <v>1.2983941E-4</v>
      </c>
      <c r="S229" s="2">
        <v>1.3488433E-4</v>
      </c>
    </row>
    <row r="230" ht="14.25" hidden="1" customHeight="1">
      <c r="A230" s="1" t="s">
        <v>5</v>
      </c>
      <c r="B230" s="1" t="s">
        <v>36</v>
      </c>
      <c r="C230" s="1" t="s">
        <v>29</v>
      </c>
      <c r="D230" s="1" t="s">
        <v>11</v>
      </c>
      <c r="E230" s="2">
        <v>2.55468E-4</v>
      </c>
      <c r="F230" s="2">
        <v>4.90356E-4</v>
      </c>
      <c r="G230" s="2">
        <v>1.66637E-4</v>
      </c>
      <c r="H230" s="2">
        <v>1.356532E-4</v>
      </c>
      <c r="I230" s="2">
        <v>1.5654848E-4</v>
      </c>
      <c r="J230" s="2">
        <v>1.9941803E-4</v>
      </c>
      <c r="K230" s="2">
        <v>2.17837899999999E-4</v>
      </c>
      <c r="L230" s="2">
        <v>2.1932587E-4</v>
      </c>
      <c r="M230" s="2">
        <v>2.03524423E-4</v>
      </c>
      <c r="N230" s="2">
        <v>2.119867E-4</v>
      </c>
      <c r="O230" s="2">
        <v>2.18275439999999E-4</v>
      </c>
      <c r="P230" s="2">
        <v>2.2592797E-4</v>
      </c>
      <c r="Q230" s="2">
        <v>2.3629422E-4</v>
      </c>
      <c r="R230" s="2">
        <v>2.4879582E-4</v>
      </c>
      <c r="S230" s="2">
        <v>2.62440539999999E-4</v>
      </c>
    </row>
    <row r="231" ht="14.25" hidden="1" customHeight="1">
      <c r="A231" s="1" t="s">
        <v>5</v>
      </c>
      <c r="B231" s="1" t="s">
        <v>36</v>
      </c>
      <c r="C231" s="1" t="s">
        <v>29</v>
      </c>
      <c r="D231" s="1" t="s">
        <v>13</v>
      </c>
      <c r="E231" s="2">
        <v>2.34956E-5</v>
      </c>
      <c r="F231" s="2">
        <v>4.51105E-5</v>
      </c>
      <c r="G231" s="2">
        <v>1.1097E-5</v>
      </c>
      <c r="H231" s="2">
        <v>5.888206E-4</v>
      </c>
      <c r="I231" s="2">
        <v>4.9430166E-4</v>
      </c>
      <c r="J231" s="2">
        <v>5.2664448E-4</v>
      </c>
      <c r="K231" s="2">
        <v>5.3576605E-4</v>
      </c>
      <c r="L231" s="2">
        <v>5.1291325E-4</v>
      </c>
      <c r="M231" s="2">
        <v>4.815003E-4</v>
      </c>
      <c r="N231" s="2">
        <v>4.291888E-4</v>
      </c>
      <c r="O231" s="2">
        <v>4.286549E-4</v>
      </c>
      <c r="P231" s="2">
        <v>4.205514E-4</v>
      </c>
      <c r="Q231" s="2">
        <v>4.23547699999999E-4</v>
      </c>
      <c r="R231" s="2">
        <v>4.369822E-4</v>
      </c>
      <c r="S231" s="2">
        <v>4.543897E-4</v>
      </c>
    </row>
    <row r="232" ht="14.25" hidden="1" customHeight="1">
      <c r="A232" s="1" t="s">
        <v>5</v>
      </c>
      <c r="B232" s="1" t="s">
        <v>36</v>
      </c>
      <c r="C232" s="1" t="s">
        <v>29</v>
      </c>
      <c r="D232" s="1" t="s">
        <v>14</v>
      </c>
      <c r="E232" s="1">
        <v>0.00107648</v>
      </c>
      <c r="F232" s="1">
        <v>0.00206726</v>
      </c>
      <c r="G232" s="2">
        <v>5.07132E-4</v>
      </c>
      <c r="H232" s="2">
        <v>4.111296E-4</v>
      </c>
      <c r="I232" s="2">
        <v>3.971236E-4</v>
      </c>
      <c r="J232" s="2">
        <v>3.618714E-4</v>
      </c>
      <c r="K232" s="2">
        <v>3.1012178E-4</v>
      </c>
      <c r="L232" s="2">
        <v>2.5568836E-4</v>
      </c>
      <c r="M232" s="2">
        <v>1.5299395E-4</v>
      </c>
      <c r="N232" s="2">
        <v>1.6323194E-4</v>
      </c>
      <c r="O232" s="2">
        <v>1.81815869999999E-4</v>
      </c>
      <c r="P232" s="2">
        <v>2.10398679999999E-4</v>
      </c>
      <c r="Q232" s="2">
        <v>2.4158797E-4</v>
      </c>
      <c r="R232" s="2">
        <v>2.7464122E-4</v>
      </c>
      <c r="S232" s="2">
        <v>3.0589287E-4</v>
      </c>
    </row>
    <row r="233" ht="14.25" hidden="1" customHeight="1">
      <c r="A233" s="1" t="s">
        <v>5</v>
      </c>
      <c r="B233" s="1" t="s">
        <v>36</v>
      </c>
      <c r="C233" s="1" t="s">
        <v>31</v>
      </c>
      <c r="D233" s="1" t="s">
        <v>11</v>
      </c>
      <c r="E233" s="2">
        <v>4.54021E-4</v>
      </c>
      <c r="F233" s="2">
        <v>5.31752E-4</v>
      </c>
      <c r="G233" s="2">
        <v>5.64987E-4</v>
      </c>
      <c r="H233" s="1">
        <v>0.0</v>
      </c>
      <c r="I233" s="1">
        <v>0.0</v>
      </c>
      <c r="J233" s="1">
        <v>0.0</v>
      </c>
      <c r="K233" s="1">
        <v>0.0</v>
      </c>
      <c r="L233" s="1">
        <v>0.0</v>
      </c>
      <c r="M233" s="1">
        <v>0.0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  <c r="S233" s="1">
        <v>0.0</v>
      </c>
    </row>
    <row r="234" ht="14.25" hidden="1" customHeight="1">
      <c r="A234" s="1" t="s">
        <v>5</v>
      </c>
      <c r="B234" s="1" t="s">
        <v>37</v>
      </c>
      <c r="C234" s="1" t="s">
        <v>7</v>
      </c>
      <c r="D234" s="1" t="s">
        <v>8</v>
      </c>
      <c r="E234" s="2">
        <v>7.99711E-6</v>
      </c>
      <c r="F234" s="2">
        <v>1.0088E-5</v>
      </c>
      <c r="G234" s="2">
        <v>1.08808E-5</v>
      </c>
      <c r="H234" s="2">
        <v>9.35972E-8</v>
      </c>
      <c r="I234" s="2">
        <v>1.38201E-8</v>
      </c>
      <c r="J234" s="2">
        <v>1.72992E-8</v>
      </c>
      <c r="K234" s="2">
        <v>1.86719E-8</v>
      </c>
      <c r="L234" s="2">
        <v>1.87325E-8</v>
      </c>
      <c r="M234" s="2">
        <v>1.42129E-8</v>
      </c>
      <c r="N234" s="2">
        <v>8.25324E-9</v>
      </c>
      <c r="O234" s="1">
        <v>0.0</v>
      </c>
      <c r="P234" s="1">
        <v>0.0</v>
      </c>
      <c r="Q234" s="1">
        <v>0.0</v>
      </c>
      <c r="R234" s="1">
        <v>0.0</v>
      </c>
      <c r="S234" s="1">
        <v>0.0</v>
      </c>
    </row>
    <row r="235" ht="14.25" hidden="1" customHeight="1">
      <c r="A235" s="1" t="s">
        <v>5</v>
      </c>
      <c r="B235" s="1" t="s">
        <v>37</v>
      </c>
      <c r="C235" s="1" t="s">
        <v>9</v>
      </c>
      <c r="D235" s="1" t="s">
        <v>8</v>
      </c>
      <c r="E235" s="1">
        <v>0.0</v>
      </c>
      <c r="F235" s="1">
        <v>0.0</v>
      </c>
      <c r="G235" s="1">
        <v>0.0</v>
      </c>
      <c r="H235" s="1">
        <v>0.0</v>
      </c>
      <c r="I235" s="2">
        <v>6.94415E-5</v>
      </c>
      <c r="J235" s="1">
        <v>0.0</v>
      </c>
      <c r="K235" s="1">
        <v>0.0</v>
      </c>
      <c r="L235" s="1">
        <v>0.0</v>
      </c>
      <c r="M235" s="1">
        <v>0.0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0.0</v>
      </c>
    </row>
    <row r="236" ht="14.25" hidden="1" customHeight="1">
      <c r="A236" s="1" t="s">
        <v>5</v>
      </c>
      <c r="B236" s="1" t="s">
        <v>37</v>
      </c>
      <c r="C236" s="1" t="s">
        <v>9</v>
      </c>
      <c r="D236" s="1" t="s">
        <v>13</v>
      </c>
      <c r="E236" s="1">
        <v>0.0</v>
      </c>
      <c r="F236" s="1">
        <v>0.0</v>
      </c>
      <c r="G236" s="1">
        <v>0.0</v>
      </c>
      <c r="H236" s="2">
        <v>6.21285E-7</v>
      </c>
      <c r="I236" s="1">
        <v>0.0</v>
      </c>
      <c r="J236" s="1">
        <v>0.0</v>
      </c>
      <c r="K236" s="1">
        <v>0.0</v>
      </c>
      <c r="L236" s="1">
        <v>0.0</v>
      </c>
      <c r="M236" s="1">
        <v>0.0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</row>
    <row r="237" ht="14.25" hidden="1" customHeight="1">
      <c r="A237" s="1" t="s">
        <v>5</v>
      </c>
      <c r="B237" s="1" t="s">
        <v>37</v>
      </c>
      <c r="C237" s="1" t="s">
        <v>15</v>
      </c>
      <c r="D237" s="1" t="s">
        <v>16</v>
      </c>
      <c r="E237" s="1">
        <v>0.0</v>
      </c>
      <c r="F237" s="1">
        <v>0.0</v>
      </c>
      <c r="G237" s="1">
        <v>0.0</v>
      </c>
      <c r="H237" s="1">
        <v>0.0</v>
      </c>
      <c r="I237" s="2">
        <v>1.1025E-5</v>
      </c>
      <c r="J237" s="2">
        <v>2.018289E-5</v>
      </c>
      <c r="K237" s="2">
        <v>5.215511E-5</v>
      </c>
      <c r="L237" s="2">
        <v>1.087567E-4</v>
      </c>
      <c r="M237" s="2">
        <v>1.79200999999999E-4</v>
      </c>
      <c r="N237" s="2">
        <v>2.581175E-4</v>
      </c>
      <c r="O237" s="2">
        <v>3.2718983E-4</v>
      </c>
      <c r="P237" s="2">
        <v>4.0128866E-4</v>
      </c>
      <c r="Q237" s="2">
        <v>4.58626269999999E-4</v>
      </c>
      <c r="R237" s="2">
        <v>5.130337E-4</v>
      </c>
      <c r="S237" s="2">
        <v>5.663819E-4</v>
      </c>
    </row>
    <row r="238" ht="14.25" customHeight="1">
      <c r="A238" s="1" t="s">
        <v>5</v>
      </c>
      <c r="B238" s="1" t="s">
        <v>37</v>
      </c>
      <c r="C238" s="1" t="s">
        <v>15</v>
      </c>
      <c r="D238" s="1" t="s">
        <v>14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2">
        <v>1.70268E-6</v>
      </c>
      <c r="K238" s="2">
        <v>1.2178044E-4</v>
      </c>
      <c r="L238" s="2">
        <v>3.2301543E-4</v>
      </c>
      <c r="M238" s="2">
        <v>5.38471142E-4</v>
      </c>
      <c r="N238" s="2">
        <v>7.06904154E-4</v>
      </c>
      <c r="O238" s="2">
        <v>8.28559246E-4</v>
      </c>
      <c r="P238" s="2">
        <v>9.281998E-4</v>
      </c>
      <c r="Q238" s="2">
        <v>9.900633E-4</v>
      </c>
      <c r="R238" s="1">
        <v>0.001045399</v>
      </c>
      <c r="S238" s="1">
        <v>0.0010986727</v>
      </c>
    </row>
    <row r="239" ht="14.25" hidden="1" customHeight="1">
      <c r="A239" s="1" t="s">
        <v>5</v>
      </c>
      <c r="B239" s="1" t="s">
        <v>37</v>
      </c>
      <c r="C239" s="1" t="s">
        <v>17</v>
      </c>
      <c r="D239" s="1" t="s">
        <v>16</v>
      </c>
      <c r="E239" s="2">
        <v>1.0192E-5</v>
      </c>
      <c r="F239" s="2">
        <v>3.17094E-5</v>
      </c>
      <c r="G239" s="2">
        <v>7.70043E-6</v>
      </c>
      <c r="H239" s="2">
        <v>2.8472E-5</v>
      </c>
      <c r="I239" s="2">
        <v>4.713009E-5</v>
      </c>
      <c r="J239" s="2">
        <v>9.507831E-5</v>
      </c>
      <c r="K239" s="2">
        <v>1.5515294E-4</v>
      </c>
      <c r="L239" s="2">
        <v>2.055666E-4</v>
      </c>
      <c r="M239" s="2">
        <v>2.6565527E-4</v>
      </c>
      <c r="N239" s="2">
        <v>3.3419986E-4</v>
      </c>
      <c r="O239" s="2">
        <v>3.9298136E-4</v>
      </c>
      <c r="P239" s="2">
        <v>4.6924592E-4</v>
      </c>
      <c r="Q239" s="2">
        <v>5.271824E-4</v>
      </c>
      <c r="R239" s="2">
        <v>5.898323E-4</v>
      </c>
      <c r="S239" s="2">
        <v>6.55691E-4</v>
      </c>
    </row>
    <row r="240" ht="14.25" hidden="1" customHeight="1">
      <c r="A240" s="1" t="s">
        <v>5</v>
      </c>
      <c r="B240" s="1" t="s">
        <v>37</v>
      </c>
      <c r="C240" s="1" t="s">
        <v>17</v>
      </c>
      <c r="D240" s="1" t="s">
        <v>18</v>
      </c>
      <c r="E240" s="2">
        <v>8.15E-5</v>
      </c>
      <c r="F240" s="2">
        <v>2.535E-4</v>
      </c>
      <c r="G240" s="2">
        <v>6.18077E-5</v>
      </c>
      <c r="H240" s="2">
        <v>7.60377999999999E-5</v>
      </c>
      <c r="I240" s="2">
        <v>3.59192299999999E-5</v>
      </c>
      <c r="J240" s="2">
        <v>2.155001E-4</v>
      </c>
      <c r="K240" s="2">
        <v>3.65537E-4</v>
      </c>
      <c r="L240" s="2">
        <v>5.3581842E-4</v>
      </c>
      <c r="M240" s="2">
        <v>7.2643337E-4</v>
      </c>
      <c r="N240" s="2">
        <v>9.320062E-4</v>
      </c>
      <c r="O240" s="1">
        <v>0.0010912073</v>
      </c>
      <c r="P240" s="1">
        <v>0.00126631569999999</v>
      </c>
      <c r="Q240" s="1">
        <v>0.0013818327</v>
      </c>
      <c r="R240" s="1">
        <v>0.0014912546</v>
      </c>
      <c r="S240" s="1">
        <v>0.0015913938</v>
      </c>
    </row>
    <row r="241" ht="14.25" hidden="1" customHeight="1">
      <c r="A241" s="1" t="s">
        <v>5</v>
      </c>
      <c r="B241" s="1" t="s">
        <v>37</v>
      </c>
      <c r="C241" s="1" t="s">
        <v>17</v>
      </c>
      <c r="D241" s="1" t="s">
        <v>19</v>
      </c>
      <c r="E241" s="2">
        <v>3.67008E-5</v>
      </c>
      <c r="F241" s="2">
        <v>1.14099E-4</v>
      </c>
      <c r="G241" s="2">
        <v>2.7796999999999998E-5</v>
      </c>
      <c r="H241" s="2">
        <v>3.59901E-5</v>
      </c>
      <c r="I241" s="2">
        <v>8.76888E-6</v>
      </c>
      <c r="J241" s="2">
        <v>9.758204E-5</v>
      </c>
      <c r="K241" s="2">
        <v>1.6422002E-4</v>
      </c>
      <c r="L241" s="2">
        <v>2.400566E-4</v>
      </c>
      <c r="M241" s="2">
        <v>3.247636E-4</v>
      </c>
      <c r="N241" s="2">
        <v>4.204033E-4</v>
      </c>
      <c r="O241" s="2">
        <v>5.015476E-4</v>
      </c>
      <c r="P241" s="2">
        <v>5.96724099999999E-4</v>
      </c>
      <c r="Q241" s="2">
        <v>6.674929E-4</v>
      </c>
      <c r="R241" s="2">
        <v>7.391722E-4</v>
      </c>
      <c r="S241" s="2">
        <v>8.110398E-4</v>
      </c>
    </row>
    <row r="242" ht="14.25" hidden="1" customHeight="1">
      <c r="A242" s="1" t="s">
        <v>5</v>
      </c>
      <c r="B242" s="1" t="s">
        <v>37</v>
      </c>
      <c r="C242" s="1" t="s">
        <v>17</v>
      </c>
      <c r="D242" s="1" t="s">
        <v>8</v>
      </c>
      <c r="E242" s="2">
        <v>1.62941E-5</v>
      </c>
      <c r="F242" s="2">
        <v>5.06396E-5</v>
      </c>
      <c r="G242" s="2">
        <v>1.23782E-5</v>
      </c>
      <c r="H242" s="2">
        <v>2.21374E-5</v>
      </c>
      <c r="I242" s="2">
        <v>1.57295799999999E-5</v>
      </c>
      <c r="J242" s="2">
        <v>8.20514099999999E-5</v>
      </c>
      <c r="K242" s="2">
        <v>1.4504953E-4</v>
      </c>
      <c r="L242" s="2">
        <v>2.156099E-4</v>
      </c>
      <c r="M242" s="2">
        <v>2.949858E-4</v>
      </c>
      <c r="N242" s="2">
        <v>3.806499E-4</v>
      </c>
      <c r="O242" s="2">
        <v>4.522445E-4</v>
      </c>
      <c r="P242" s="2">
        <v>5.352924E-4</v>
      </c>
      <c r="Q242" s="2">
        <v>5.953588E-4</v>
      </c>
      <c r="R242" s="2">
        <v>6.55446799999999E-4</v>
      </c>
      <c r="S242" s="2">
        <v>7.151745E-4</v>
      </c>
    </row>
    <row r="243" ht="14.25" hidden="1" customHeight="1">
      <c r="A243" s="1" t="s">
        <v>5</v>
      </c>
      <c r="B243" s="1" t="s">
        <v>37</v>
      </c>
      <c r="C243" s="1" t="s">
        <v>17</v>
      </c>
      <c r="D243" s="1" t="s">
        <v>20</v>
      </c>
      <c r="E243" s="2">
        <v>1.21053E-5</v>
      </c>
      <c r="F243" s="2">
        <v>3.78947E-5</v>
      </c>
      <c r="G243" s="2">
        <v>9.47368E-6</v>
      </c>
      <c r="H243" s="2">
        <v>1.267156E-5</v>
      </c>
      <c r="I243" s="2">
        <v>5.66495E-6</v>
      </c>
      <c r="J243" s="2">
        <v>3.499782E-5</v>
      </c>
      <c r="K243" s="2">
        <v>5.92138E-5</v>
      </c>
      <c r="L243" s="2">
        <v>8.5539E-5</v>
      </c>
      <c r="M243" s="2">
        <v>1.152202E-4</v>
      </c>
      <c r="N243" s="2">
        <v>1.485155E-4</v>
      </c>
      <c r="O243" s="2">
        <v>1.762305E-4</v>
      </c>
      <c r="P243" s="2">
        <v>2.083383E-4</v>
      </c>
      <c r="Q243" s="2">
        <v>2.315633E-4</v>
      </c>
      <c r="R243" s="2">
        <v>2.548383E-4</v>
      </c>
      <c r="S243" s="2">
        <v>2.777596E-4</v>
      </c>
    </row>
    <row r="244" ht="14.25" hidden="1" customHeight="1">
      <c r="A244" s="1" t="s">
        <v>5</v>
      </c>
      <c r="B244" s="1" t="s">
        <v>37</v>
      </c>
      <c r="C244" s="1" t="s">
        <v>21</v>
      </c>
      <c r="D244" s="1" t="s">
        <v>10</v>
      </c>
      <c r="E244" s="2">
        <v>1.40413E-6</v>
      </c>
      <c r="F244" s="2">
        <v>4.30509E-6</v>
      </c>
      <c r="G244" s="2">
        <v>1.78055E-5</v>
      </c>
      <c r="H244" s="2">
        <v>1.16077552E-5</v>
      </c>
      <c r="I244" s="2">
        <v>3.7118328E-6</v>
      </c>
      <c r="J244" s="2">
        <v>4.1319174E-6</v>
      </c>
      <c r="K244" s="2">
        <v>1.31686E-8</v>
      </c>
      <c r="L244" s="2">
        <v>3.50214E-7</v>
      </c>
      <c r="M244" s="2">
        <v>5.100124E-6</v>
      </c>
      <c r="N244" s="2">
        <v>7.929228E-6</v>
      </c>
      <c r="O244" s="2">
        <v>9.3459298E-6</v>
      </c>
      <c r="P244" s="2">
        <v>1.120987E-5</v>
      </c>
      <c r="Q244" s="2">
        <v>1.2400436E-5</v>
      </c>
      <c r="R244" s="2">
        <v>1.3535976E-5</v>
      </c>
      <c r="S244" s="2">
        <v>1.464065E-5</v>
      </c>
    </row>
    <row r="245" ht="14.25" hidden="1" customHeight="1">
      <c r="A245" s="1" t="s">
        <v>5</v>
      </c>
      <c r="B245" s="1" t="s">
        <v>37</v>
      </c>
      <c r="C245" s="1" t="s">
        <v>21</v>
      </c>
      <c r="D245" s="1" t="s">
        <v>11</v>
      </c>
      <c r="E245" s="2">
        <v>1.39994E-6</v>
      </c>
      <c r="F245" s="2">
        <v>4.30124E-6</v>
      </c>
      <c r="G245" s="2">
        <v>1.77975E-5</v>
      </c>
      <c r="H245" s="2">
        <v>1.7704925E-4</v>
      </c>
      <c r="I245" s="2">
        <v>4.080742E-4</v>
      </c>
      <c r="J245" s="2">
        <v>8.39479E-5</v>
      </c>
      <c r="K245" s="2">
        <v>5.49568E-5</v>
      </c>
      <c r="L245" s="2">
        <v>3.74348E-5</v>
      </c>
      <c r="M245" s="2">
        <v>6.255675E-5</v>
      </c>
      <c r="N245" s="2">
        <v>8.01726E-5</v>
      </c>
      <c r="O245" s="2">
        <v>9.18235E-5</v>
      </c>
      <c r="P245" s="2">
        <v>1.063643E-4</v>
      </c>
      <c r="Q245" s="2">
        <v>1.14663E-4</v>
      </c>
      <c r="R245" s="2">
        <v>1.222905E-4</v>
      </c>
      <c r="S245" s="2">
        <v>1.294453E-4</v>
      </c>
    </row>
    <row r="246" ht="14.25" hidden="1" customHeight="1">
      <c r="A246" s="1" t="s">
        <v>5</v>
      </c>
      <c r="B246" s="1" t="s">
        <v>37</v>
      </c>
      <c r="C246" s="1" t="s">
        <v>21</v>
      </c>
      <c r="D246" s="1" t="s">
        <v>22</v>
      </c>
      <c r="E246" s="2">
        <v>1.4E-6</v>
      </c>
      <c r="F246" s="2">
        <v>4.3E-6</v>
      </c>
      <c r="G246" s="2">
        <v>1.78E-5</v>
      </c>
      <c r="H246" s="2">
        <v>3.5347E-5</v>
      </c>
      <c r="I246" s="2">
        <v>5.27753999999999E-5</v>
      </c>
      <c r="J246" s="2">
        <v>1.87157E-5</v>
      </c>
      <c r="K246" s="2">
        <v>1.41464E-5</v>
      </c>
      <c r="L246" s="2">
        <v>1.016394E-5</v>
      </c>
      <c r="M246" s="2">
        <v>1.39103599999999E-5</v>
      </c>
      <c r="N246" s="2">
        <v>1.90705E-5</v>
      </c>
      <c r="O246" s="2">
        <v>2.319883E-5</v>
      </c>
      <c r="P246" s="2">
        <v>2.809055E-5</v>
      </c>
      <c r="Q246" s="2">
        <v>3.12659999999999E-5</v>
      </c>
      <c r="R246" s="2">
        <v>3.40128E-5</v>
      </c>
      <c r="S246" s="2">
        <v>3.63095E-5</v>
      </c>
    </row>
    <row r="247" ht="14.25" hidden="1" customHeight="1">
      <c r="A247" s="1" t="s">
        <v>5</v>
      </c>
      <c r="B247" s="1" t="s">
        <v>37</v>
      </c>
      <c r="C247" s="1" t="s">
        <v>21</v>
      </c>
      <c r="D247" s="1" t="s">
        <v>23</v>
      </c>
      <c r="E247" s="2">
        <v>1.401236E-6</v>
      </c>
      <c r="F247" s="2">
        <v>4.29292999999999E-6</v>
      </c>
      <c r="G247" s="2">
        <v>1.779519E-5</v>
      </c>
      <c r="H247" s="2">
        <v>5.915533E-5</v>
      </c>
      <c r="I247" s="2">
        <v>1.20869966E-4</v>
      </c>
      <c r="J247" s="2">
        <v>2.305873E-5</v>
      </c>
      <c r="K247" s="2">
        <v>1.401142E-5</v>
      </c>
      <c r="L247" s="2">
        <v>9.699139E-6</v>
      </c>
      <c r="M247" s="2">
        <v>1.10943679999999E-5</v>
      </c>
      <c r="N247" s="2">
        <v>1.660932E-5</v>
      </c>
      <c r="O247" s="2">
        <v>2.139703E-5</v>
      </c>
      <c r="P247" s="2">
        <v>2.884674E-5</v>
      </c>
      <c r="Q247" s="2">
        <v>3.574285E-5</v>
      </c>
      <c r="R247" s="2">
        <v>4.340417E-5</v>
      </c>
      <c r="S247" s="2">
        <v>5.198504E-5</v>
      </c>
    </row>
    <row r="248" ht="14.25" hidden="1" customHeight="1">
      <c r="A248" s="1" t="s">
        <v>5</v>
      </c>
      <c r="B248" s="1" t="s">
        <v>37</v>
      </c>
      <c r="C248" s="1" t="s">
        <v>21</v>
      </c>
      <c r="D248" s="1" t="s">
        <v>24</v>
      </c>
      <c r="E248" s="2">
        <v>2.967916E-7</v>
      </c>
      <c r="F248" s="2">
        <v>8.93075999999999E-7</v>
      </c>
      <c r="G248" s="2">
        <v>3.602573E-6</v>
      </c>
      <c r="H248" s="2">
        <v>3.001951E-6</v>
      </c>
      <c r="I248" s="2">
        <v>1.470369E-6</v>
      </c>
      <c r="J248" s="2">
        <v>1.1929937E-6</v>
      </c>
      <c r="K248" s="2">
        <v>7.45721E-7</v>
      </c>
      <c r="L248" s="2">
        <v>5.12826E-7</v>
      </c>
      <c r="M248" s="2">
        <v>8.309452E-7</v>
      </c>
      <c r="N248" s="2">
        <v>1.00686899999999E-6</v>
      </c>
      <c r="O248" s="2">
        <v>1.13936999999999E-6</v>
      </c>
      <c r="P248" s="2">
        <v>1.30679E-6</v>
      </c>
      <c r="Q248" s="2">
        <v>1.394542E-6</v>
      </c>
      <c r="R248" s="2">
        <v>1.472833E-6</v>
      </c>
      <c r="S248" s="2">
        <v>1.537148E-6</v>
      </c>
    </row>
    <row r="249" ht="14.25" hidden="1" customHeight="1">
      <c r="A249" s="1" t="s">
        <v>5</v>
      </c>
      <c r="B249" s="1" t="s">
        <v>37</v>
      </c>
      <c r="C249" s="1" t="s">
        <v>21</v>
      </c>
      <c r="D249" s="1" t="s">
        <v>12</v>
      </c>
      <c r="E249" s="2">
        <v>1.0E-7</v>
      </c>
      <c r="F249" s="2">
        <v>4.0E-7</v>
      </c>
      <c r="G249" s="2">
        <v>1.8E-6</v>
      </c>
      <c r="H249" s="2">
        <v>3.32462E-6</v>
      </c>
      <c r="I249" s="2">
        <v>6.41453E-6</v>
      </c>
      <c r="J249" s="2">
        <v>1.76937E-6</v>
      </c>
      <c r="K249" s="2">
        <v>1.29682E-6</v>
      </c>
      <c r="L249" s="2">
        <v>9.08937E-7</v>
      </c>
      <c r="M249" s="2">
        <v>1.28054E-6</v>
      </c>
      <c r="N249" s="2">
        <v>1.71055E-6</v>
      </c>
      <c r="O249" s="2">
        <v>2.03361E-6</v>
      </c>
      <c r="P249" s="2">
        <v>2.40739E-6</v>
      </c>
      <c r="Q249" s="2">
        <v>2.63082E-6</v>
      </c>
      <c r="R249" s="2">
        <v>2.82192E-6</v>
      </c>
      <c r="S249" s="2">
        <v>2.9819E-6</v>
      </c>
    </row>
    <row r="250" ht="14.25" hidden="1" customHeight="1">
      <c r="A250" s="1" t="s">
        <v>5</v>
      </c>
      <c r="B250" s="1" t="s">
        <v>37</v>
      </c>
      <c r="C250" s="1" t="s">
        <v>21</v>
      </c>
      <c r="D250" s="1" t="s">
        <v>13</v>
      </c>
      <c r="E250" s="2">
        <v>1.82406E-5</v>
      </c>
      <c r="F250" s="2">
        <v>5.677E-5</v>
      </c>
      <c r="G250" s="2">
        <v>3.79803E-5</v>
      </c>
      <c r="H250" s="2">
        <v>2.793873E-5</v>
      </c>
      <c r="I250" s="2">
        <v>2.51454499999999E-5</v>
      </c>
      <c r="J250" s="2">
        <v>5.659835E-5</v>
      </c>
      <c r="K250" s="2">
        <v>8.2677403E-5</v>
      </c>
      <c r="L250" s="2">
        <v>1.13477815999999E-4</v>
      </c>
      <c r="M250" s="2">
        <v>1.5626768E-4</v>
      </c>
      <c r="N250" s="2">
        <v>2.214327E-4</v>
      </c>
      <c r="O250" s="2">
        <v>2.816754E-4</v>
      </c>
      <c r="P250" s="2">
        <v>3.595009E-4</v>
      </c>
      <c r="Q250" s="2">
        <v>4.07072599999999E-4</v>
      </c>
      <c r="R250" s="2">
        <v>4.506243E-4</v>
      </c>
      <c r="S250" s="2">
        <v>4.954883E-4</v>
      </c>
    </row>
    <row r="251" ht="14.25" hidden="1" customHeight="1">
      <c r="A251" s="1" t="s">
        <v>5</v>
      </c>
      <c r="B251" s="1" t="s">
        <v>37</v>
      </c>
      <c r="C251" s="1" t="s">
        <v>21</v>
      </c>
      <c r="D251" s="1" t="s">
        <v>14</v>
      </c>
      <c r="E251" s="2">
        <v>9.08464E-6</v>
      </c>
      <c r="F251" s="2">
        <v>2.83877E-5</v>
      </c>
      <c r="G251" s="2">
        <v>1.90182E-5</v>
      </c>
      <c r="H251" s="2">
        <v>6.344109E-5</v>
      </c>
      <c r="I251" s="2">
        <v>4.376925E-4</v>
      </c>
      <c r="J251" s="2">
        <v>2.10956599999999E-4</v>
      </c>
      <c r="K251" s="2">
        <v>2.458851E-4</v>
      </c>
      <c r="L251" s="2">
        <v>2.18415E-4</v>
      </c>
      <c r="M251" s="2">
        <v>1.850643E-4</v>
      </c>
      <c r="N251" s="2">
        <v>1.90897E-4</v>
      </c>
      <c r="O251" s="2">
        <v>1.90626099999999E-4</v>
      </c>
      <c r="P251" s="2">
        <v>2.172684E-4</v>
      </c>
      <c r="Q251" s="2">
        <v>2.280334E-4</v>
      </c>
      <c r="R251" s="2">
        <v>2.42127E-4</v>
      </c>
      <c r="S251" s="2">
        <v>2.590524E-4</v>
      </c>
    </row>
    <row r="252" ht="14.25" hidden="1" customHeight="1">
      <c r="A252" s="1" t="s">
        <v>5</v>
      </c>
      <c r="B252" s="1" t="s">
        <v>37</v>
      </c>
      <c r="C252" s="1" t="s">
        <v>21</v>
      </c>
      <c r="D252" s="1" t="s">
        <v>25</v>
      </c>
      <c r="E252" s="2">
        <v>9.1E-6</v>
      </c>
      <c r="F252" s="2">
        <v>2.84E-5</v>
      </c>
      <c r="G252" s="2">
        <v>1.9E-5</v>
      </c>
      <c r="H252" s="2">
        <v>3.01853999999999E-5</v>
      </c>
      <c r="I252" s="2">
        <v>9.32734E-5</v>
      </c>
      <c r="J252" s="2">
        <v>4.943106E-5</v>
      </c>
      <c r="K252" s="2">
        <v>5.681583E-5</v>
      </c>
      <c r="L252" s="2">
        <v>6.00058E-5</v>
      </c>
      <c r="M252" s="2">
        <v>7.07016E-5</v>
      </c>
      <c r="N252" s="2">
        <v>9.01226E-5</v>
      </c>
      <c r="O252" s="2">
        <v>1.059085E-4</v>
      </c>
      <c r="P252" s="2">
        <v>1.312865E-4</v>
      </c>
      <c r="Q252" s="2">
        <v>1.507192E-4</v>
      </c>
      <c r="R252" s="2">
        <v>1.708236E-4</v>
      </c>
      <c r="S252" s="2">
        <v>1.895315E-4</v>
      </c>
    </row>
    <row r="253" ht="14.25" hidden="1" customHeight="1">
      <c r="A253" s="1" t="s">
        <v>5</v>
      </c>
      <c r="B253" s="1" t="s">
        <v>37</v>
      </c>
      <c r="C253" s="1" t="s">
        <v>21</v>
      </c>
      <c r="D253" s="1" t="s">
        <v>26</v>
      </c>
      <c r="E253" s="2">
        <v>1.827726E-5</v>
      </c>
      <c r="F253" s="2">
        <v>5.67913999999999E-5</v>
      </c>
      <c r="G253" s="2">
        <v>3.797986E-5</v>
      </c>
      <c r="H253" s="2">
        <v>8.153557E-5</v>
      </c>
      <c r="I253" s="2">
        <v>2.0503379E-4</v>
      </c>
      <c r="J253" s="2">
        <v>1.1715861E-4</v>
      </c>
      <c r="K253" s="2">
        <v>1.219111E-4</v>
      </c>
      <c r="L253" s="2">
        <v>1.296657E-4</v>
      </c>
      <c r="M253" s="2">
        <v>1.550449E-4</v>
      </c>
      <c r="N253" s="2">
        <v>2.063585E-4</v>
      </c>
      <c r="O253" s="2">
        <v>2.50232299999999E-4</v>
      </c>
      <c r="P253" s="2">
        <v>3.282527E-4</v>
      </c>
      <c r="Q253" s="2">
        <v>4.001369E-4</v>
      </c>
      <c r="R253" s="2">
        <v>4.816729E-4</v>
      </c>
      <c r="S253" s="2">
        <v>5.69973E-4</v>
      </c>
    </row>
    <row r="254" ht="14.25" hidden="1" customHeight="1">
      <c r="A254" s="1" t="s">
        <v>5</v>
      </c>
      <c r="B254" s="1" t="s">
        <v>37</v>
      </c>
      <c r="C254" s="1" t="s">
        <v>21</v>
      </c>
      <c r="D254" s="1" t="s">
        <v>27</v>
      </c>
      <c r="E254" s="2">
        <v>9.094E-6</v>
      </c>
      <c r="F254" s="2">
        <v>2.839897E-5</v>
      </c>
      <c r="G254" s="2">
        <v>1.900115E-5</v>
      </c>
      <c r="H254" s="2">
        <v>4.009755E-5</v>
      </c>
      <c r="I254" s="2">
        <v>4.042914E-5</v>
      </c>
      <c r="J254" s="2">
        <v>9.8059869E-5</v>
      </c>
      <c r="K254" s="2">
        <v>1.4471818E-4</v>
      </c>
      <c r="L254" s="2">
        <v>1.906518E-4</v>
      </c>
      <c r="M254" s="2">
        <v>2.454637E-4</v>
      </c>
      <c r="N254" s="2">
        <v>3.04562E-4</v>
      </c>
      <c r="O254" s="2">
        <v>3.45205799999999E-4</v>
      </c>
      <c r="P254" s="2">
        <v>4.083841E-4</v>
      </c>
      <c r="Q254" s="2">
        <v>4.50193499999999E-4</v>
      </c>
      <c r="R254" s="2">
        <v>4.923865E-4</v>
      </c>
      <c r="S254" s="2">
        <v>5.317185E-4</v>
      </c>
    </row>
    <row r="255" ht="14.25" hidden="1" customHeight="1">
      <c r="A255" s="1" t="s">
        <v>5</v>
      </c>
      <c r="B255" s="1" t="s">
        <v>37</v>
      </c>
      <c r="C255" s="1" t="s">
        <v>21</v>
      </c>
      <c r="D255" s="1" t="s">
        <v>28</v>
      </c>
      <c r="E255" s="2">
        <v>9.0E-7</v>
      </c>
      <c r="F255" s="2">
        <v>2.8E-6</v>
      </c>
      <c r="G255" s="2">
        <v>1.9E-6</v>
      </c>
      <c r="H255" s="2">
        <v>2.26619E-6</v>
      </c>
      <c r="I255" s="2">
        <v>5.42408E-6</v>
      </c>
      <c r="J255" s="2">
        <v>4.74564E-6</v>
      </c>
      <c r="K255" s="2">
        <v>6.05381E-6</v>
      </c>
      <c r="L255" s="2">
        <v>6.8481E-6</v>
      </c>
      <c r="M255" s="2">
        <v>7.7168E-6</v>
      </c>
      <c r="N255" s="2">
        <v>9.40284E-6</v>
      </c>
      <c r="O255" s="2">
        <v>1.07334E-5</v>
      </c>
      <c r="P255" s="2">
        <v>1.26967E-5</v>
      </c>
      <c r="Q255" s="2">
        <v>1.40392E-5</v>
      </c>
      <c r="R255" s="2">
        <v>1.54018E-5</v>
      </c>
      <c r="S255" s="2">
        <v>1.66029E-5</v>
      </c>
    </row>
    <row r="256" ht="14.25" hidden="1" customHeight="1">
      <c r="A256" s="1" t="s">
        <v>5</v>
      </c>
      <c r="B256" s="1" t="s">
        <v>37</v>
      </c>
      <c r="C256" s="1" t="s">
        <v>29</v>
      </c>
      <c r="D256" s="1" t="s">
        <v>16</v>
      </c>
      <c r="E256" s="2">
        <v>6.87459E-5</v>
      </c>
      <c r="F256" s="2">
        <v>1.32239E-4</v>
      </c>
      <c r="G256" s="2">
        <v>3.35019E-5</v>
      </c>
      <c r="H256" s="2">
        <v>2.6178518E-5</v>
      </c>
      <c r="I256" s="2">
        <v>2.3616309E-5</v>
      </c>
      <c r="J256" s="2">
        <v>2.73519449999999E-5</v>
      </c>
      <c r="K256" s="2">
        <v>4.0626629E-5</v>
      </c>
      <c r="L256" s="2">
        <v>6.05413539E-5</v>
      </c>
      <c r="M256" s="2">
        <v>7.59732637E-5</v>
      </c>
      <c r="N256" s="2">
        <v>9.4447734E-5</v>
      </c>
      <c r="O256" s="2">
        <v>1.0844361E-4</v>
      </c>
      <c r="P256" s="2">
        <v>1.2338435E-4</v>
      </c>
      <c r="Q256" s="2">
        <v>1.3387088E-4</v>
      </c>
      <c r="R256" s="2">
        <v>1.4456302E-4</v>
      </c>
      <c r="S256" s="2">
        <v>1.54224099999999E-4</v>
      </c>
    </row>
    <row r="257" ht="14.25" hidden="1" customHeight="1">
      <c r="A257" s="1" t="s">
        <v>5</v>
      </c>
      <c r="B257" s="1" t="s">
        <v>37</v>
      </c>
      <c r="C257" s="1" t="s">
        <v>29</v>
      </c>
      <c r="D257" s="1" t="s">
        <v>8</v>
      </c>
      <c r="E257" s="2">
        <v>3.43876E-5</v>
      </c>
      <c r="F257" s="2">
        <v>6.60212E-5</v>
      </c>
      <c r="G257" s="2">
        <v>1.66706E-5</v>
      </c>
      <c r="H257" s="2">
        <v>1.28755985599999E-5</v>
      </c>
      <c r="I257" s="2">
        <v>1.803872465E-5</v>
      </c>
      <c r="J257" s="2">
        <v>1.83193506999999E-5</v>
      </c>
      <c r="K257" s="2">
        <v>1.929602928E-5</v>
      </c>
      <c r="L257" s="2">
        <v>2.131582787E-5</v>
      </c>
      <c r="M257" s="2">
        <v>2.186673391E-5</v>
      </c>
      <c r="N257" s="2">
        <v>2.7084468E-5</v>
      </c>
      <c r="O257" s="2">
        <v>3.1401799E-5</v>
      </c>
      <c r="P257" s="2">
        <v>3.6696853E-5</v>
      </c>
      <c r="Q257" s="2">
        <v>4.089835E-5</v>
      </c>
      <c r="R257" s="2">
        <v>4.492805E-5</v>
      </c>
      <c r="S257" s="2">
        <v>4.853259E-5</v>
      </c>
    </row>
    <row r="258" ht="14.25" hidden="1" customHeight="1">
      <c r="A258" s="1" t="s">
        <v>5</v>
      </c>
      <c r="B258" s="1" t="s">
        <v>37</v>
      </c>
      <c r="C258" s="1" t="s">
        <v>29</v>
      </c>
      <c r="D258" s="1" t="s">
        <v>10</v>
      </c>
      <c r="E258" s="2">
        <v>1.73511E-5</v>
      </c>
      <c r="F258" s="2">
        <v>3.33394E-5</v>
      </c>
      <c r="G258" s="2">
        <v>1.39043E-5</v>
      </c>
      <c r="H258" s="2">
        <v>2.95597E-5</v>
      </c>
      <c r="I258" s="2">
        <v>1.051649E-5</v>
      </c>
      <c r="J258" s="2">
        <v>1.3446E-5</v>
      </c>
      <c r="K258" s="2">
        <v>1.227119E-5</v>
      </c>
      <c r="L258" s="2">
        <v>8.839443E-6</v>
      </c>
      <c r="M258" s="2">
        <v>6.640116E-6</v>
      </c>
      <c r="N258" s="2">
        <v>6.108723E-6</v>
      </c>
      <c r="O258" s="2">
        <v>7.083996E-6</v>
      </c>
      <c r="P258" s="2">
        <v>7.85545E-6</v>
      </c>
      <c r="Q258" s="2">
        <v>8.3704662E-6</v>
      </c>
      <c r="R258" s="2">
        <v>8.64906E-6</v>
      </c>
      <c r="S258" s="2">
        <v>8.666041E-6</v>
      </c>
    </row>
    <row r="259" ht="14.25" hidden="1" customHeight="1">
      <c r="A259" s="1" t="s">
        <v>5</v>
      </c>
      <c r="B259" s="1" t="s">
        <v>37</v>
      </c>
      <c r="C259" s="1" t="s">
        <v>29</v>
      </c>
      <c r="D259" s="1" t="s">
        <v>11</v>
      </c>
      <c r="E259" s="2">
        <v>4.15983E-5</v>
      </c>
      <c r="F259" s="2">
        <v>7.9923E-5</v>
      </c>
      <c r="G259" s="2">
        <v>3.33953E-5</v>
      </c>
      <c r="H259" s="2">
        <v>2.57774E-5</v>
      </c>
      <c r="I259" s="2">
        <v>2.16343E-5</v>
      </c>
      <c r="J259" s="2">
        <v>9.62831E-6</v>
      </c>
      <c r="K259" s="2">
        <v>1.298082E-5</v>
      </c>
      <c r="L259" s="2">
        <v>9.574585E-6</v>
      </c>
      <c r="M259" s="2">
        <v>5.527166E-6</v>
      </c>
      <c r="N259" s="2">
        <v>8.258458E-6</v>
      </c>
      <c r="O259" s="2">
        <v>1.136221E-5</v>
      </c>
      <c r="P259" s="2">
        <v>1.3762904E-5</v>
      </c>
      <c r="Q259" s="2">
        <v>1.5341525E-5</v>
      </c>
      <c r="R259" s="2">
        <v>1.6376875E-5</v>
      </c>
      <c r="S259" s="2">
        <v>1.6657541E-5</v>
      </c>
    </row>
    <row r="260" ht="14.25" hidden="1" customHeight="1">
      <c r="A260" s="1" t="s">
        <v>5</v>
      </c>
      <c r="B260" s="1" t="s">
        <v>37</v>
      </c>
      <c r="C260" s="1" t="s">
        <v>29</v>
      </c>
      <c r="D260" s="1" t="s">
        <v>13</v>
      </c>
      <c r="E260" s="2">
        <v>2.05331E-5</v>
      </c>
      <c r="F260" s="2">
        <v>3.94791E-5</v>
      </c>
      <c r="G260" s="2">
        <v>2.04894E-5</v>
      </c>
      <c r="H260" s="2">
        <v>1.883885E-4</v>
      </c>
      <c r="I260" s="2">
        <v>2.109548E-4</v>
      </c>
      <c r="J260" s="2">
        <v>4.06949799999999E-4</v>
      </c>
      <c r="K260" s="2">
        <v>7.1544612E-4</v>
      </c>
      <c r="L260" s="1">
        <v>0.00104078319</v>
      </c>
      <c r="M260" s="1">
        <v>0.00133944619999999</v>
      </c>
      <c r="N260" s="1">
        <v>0.00161905228999999</v>
      </c>
      <c r="O260" s="1">
        <v>0.0018419448</v>
      </c>
      <c r="P260" s="1">
        <v>0.00209674489999999</v>
      </c>
      <c r="Q260" s="1">
        <v>0.00228340779999999</v>
      </c>
      <c r="R260" s="1">
        <v>0.00245700269999999</v>
      </c>
      <c r="S260" s="1">
        <v>0.0026130949</v>
      </c>
    </row>
    <row r="261" ht="14.25" hidden="1" customHeight="1">
      <c r="A261" s="1" t="s">
        <v>5</v>
      </c>
      <c r="B261" s="1" t="s">
        <v>37</v>
      </c>
      <c r="C261" s="1" t="s">
        <v>29</v>
      </c>
      <c r="D261" s="1" t="s">
        <v>14</v>
      </c>
      <c r="E261" s="2">
        <v>1.14906E-4</v>
      </c>
      <c r="F261" s="2">
        <v>2.20805E-4</v>
      </c>
      <c r="G261" s="2">
        <v>1.1511E-4</v>
      </c>
      <c r="H261" s="2">
        <v>8.88523E-5</v>
      </c>
      <c r="I261" s="2">
        <v>7.45716E-5</v>
      </c>
      <c r="J261" s="2">
        <v>5.798373E-5</v>
      </c>
      <c r="K261" s="2">
        <v>6.3052992E-5</v>
      </c>
      <c r="L261" s="2">
        <v>8.3285315E-5</v>
      </c>
      <c r="M261" s="2">
        <v>9.7679365E-5</v>
      </c>
      <c r="N261" s="2">
        <v>1.32296115E-4</v>
      </c>
      <c r="O261" s="2">
        <v>1.651530579E-4</v>
      </c>
      <c r="P261" s="2">
        <v>1.9976144E-4</v>
      </c>
      <c r="Q261" s="2">
        <v>2.2635205E-4</v>
      </c>
      <c r="R261" s="2">
        <v>2.5352028E-4</v>
      </c>
      <c r="S261" s="2">
        <v>2.7724535E-4</v>
      </c>
    </row>
    <row r="262" ht="14.25" hidden="1" customHeight="1">
      <c r="A262" s="1" t="s">
        <v>5</v>
      </c>
      <c r="B262" s="1" t="s">
        <v>37</v>
      </c>
      <c r="C262" s="1" t="s">
        <v>31</v>
      </c>
      <c r="D262" s="1" t="s">
        <v>11</v>
      </c>
      <c r="E262" s="2">
        <v>7.70669E-4</v>
      </c>
      <c r="F262" s="2">
        <v>9.03259E-4</v>
      </c>
      <c r="G262" s="2">
        <v>9.59564E-4</v>
      </c>
      <c r="H262" s="1">
        <v>0.0</v>
      </c>
      <c r="I262" s="2">
        <v>1.50454E-7</v>
      </c>
      <c r="J262" s="1">
        <v>0.0</v>
      </c>
      <c r="K262" s="2">
        <v>1.57949E-6</v>
      </c>
      <c r="L262" s="2">
        <v>1.00064E-6</v>
      </c>
      <c r="M262" s="2">
        <v>3.55253E-6</v>
      </c>
      <c r="N262" s="2">
        <v>1.66769E-6</v>
      </c>
      <c r="O262" s="1">
        <v>0.0</v>
      </c>
      <c r="P262" s="1">
        <v>0.0</v>
      </c>
      <c r="Q262" s="1">
        <v>0.0</v>
      </c>
      <c r="R262" s="1">
        <v>0.0</v>
      </c>
      <c r="S262" s="1">
        <v>0.0</v>
      </c>
    </row>
    <row r="263" ht="14.25" hidden="1" customHeight="1">
      <c r="A263" s="1" t="s">
        <v>5</v>
      </c>
      <c r="B263" s="1" t="s">
        <v>38</v>
      </c>
      <c r="C263" s="1" t="s">
        <v>7</v>
      </c>
      <c r="D263" s="1" t="s">
        <v>8</v>
      </c>
      <c r="E263" s="2">
        <v>7.26886E-5</v>
      </c>
      <c r="F263" s="2">
        <v>9.26027E-5</v>
      </c>
      <c r="G263" s="2">
        <v>9.91041E-5</v>
      </c>
      <c r="H263" s="2">
        <v>2.03994E-6</v>
      </c>
      <c r="I263" s="2">
        <v>4.70789E-6</v>
      </c>
      <c r="J263" s="2">
        <v>2.91847E-7</v>
      </c>
      <c r="K263" s="2">
        <v>2.10246E-7</v>
      </c>
      <c r="L263" s="2">
        <v>1.5788E-7</v>
      </c>
      <c r="M263" s="2">
        <v>1.05829E-7</v>
      </c>
      <c r="N263" s="2">
        <v>5.92141E-8</v>
      </c>
      <c r="O263" s="1">
        <v>0.0</v>
      </c>
      <c r="P263" s="1">
        <v>0.0</v>
      </c>
      <c r="Q263" s="1">
        <v>0.0</v>
      </c>
      <c r="R263" s="1">
        <v>0.0</v>
      </c>
      <c r="S263" s="1">
        <v>0.0</v>
      </c>
    </row>
    <row r="264" ht="14.25" hidden="1" customHeight="1">
      <c r="A264" s="1" t="s">
        <v>5</v>
      </c>
      <c r="B264" s="1" t="s">
        <v>38</v>
      </c>
      <c r="C264" s="1" t="s">
        <v>9</v>
      </c>
      <c r="D264" s="1" t="s">
        <v>8</v>
      </c>
      <c r="E264" s="2">
        <v>6.54898E-5</v>
      </c>
      <c r="F264" s="2">
        <v>5.74017E-5</v>
      </c>
      <c r="G264" s="2">
        <v>8.45035E-5</v>
      </c>
      <c r="H264" s="2">
        <v>1.0315E-5</v>
      </c>
      <c r="I264" s="1">
        <v>0.00387925</v>
      </c>
      <c r="J264" s="2">
        <v>9.21744E-10</v>
      </c>
      <c r="K264" s="1">
        <v>0.0</v>
      </c>
      <c r="L264" s="1">
        <v>0.0</v>
      </c>
      <c r="M264" s="1">
        <v>0.0</v>
      </c>
      <c r="N264" s="1">
        <v>0.0</v>
      </c>
      <c r="O264" s="1">
        <v>0.0</v>
      </c>
      <c r="P264" s="1">
        <v>0.0</v>
      </c>
      <c r="Q264" s="1">
        <v>0.0</v>
      </c>
      <c r="R264" s="1">
        <v>0.0</v>
      </c>
      <c r="S264" s="1">
        <v>0.0</v>
      </c>
    </row>
    <row r="265" ht="14.25" hidden="1" customHeight="1">
      <c r="A265" s="1" t="s">
        <v>5</v>
      </c>
      <c r="B265" s="1" t="s">
        <v>38</v>
      </c>
      <c r="C265" s="1" t="s">
        <v>9</v>
      </c>
      <c r="D265" s="1" t="s">
        <v>10</v>
      </c>
      <c r="E265" s="1">
        <v>0.0</v>
      </c>
      <c r="F265" s="1">
        <v>0.0</v>
      </c>
      <c r="G265" s="2">
        <v>2.39999E-6</v>
      </c>
      <c r="H265" s="1">
        <v>0.0</v>
      </c>
      <c r="I265" s="1">
        <v>0.0</v>
      </c>
      <c r="J265" s="1">
        <v>0.00199328</v>
      </c>
      <c r="K265" s="1">
        <v>0.0</v>
      </c>
      <c r="L265" s="1">
        <v>0.0</v>
      </c>
      <c r="M265" s="1">
        <v>0.0</v>
      </c>
      <c r="N265" s="1">
        <v>0.0</v>
      </c>
      <c r="O265" s="1">
        <v>0.0</v>
      </c>
      <c r="P265" s="1">
        <v>0.0</v>
      </c>
      <c r="Q265" s="1">
        <v>0.0</v>
      </c>
      <c r="R265" s="1">
        <v>0.0</v>
      </c>
      <c r="S265" s="1">
        <v>0.0</v>
      </c>
    </row>
    <row r="266" ht="14.25" hidden="1" customHeight="1">
      <c r="A266" s="1" t="s">
        <v>5</v>
      </c>
      <c r="B266" s="1" t="s">
        <v>38</v>
      </c>
      <c r="C266" s="1" t="s">
        <v>9</v>
      </c>
      <c r="D266" s="1" t="s">
        <v>11</v>
      </c>
      <c r="E266" s="1">
        <v>0.0</v>
      </c>
      <c r="F266" s="1">
        <v>0.0</v>
      </c>
      <c r="G266" s="2">
        <v>2.39989E-6</v>
      </c>
      <c r="H266" s="1">
        <v>0.0</v>
      </c>
      <c r="I266" s="1">
        <v>0.0</v>
      </c>
      <c r="J266" s="1">
        <v>0.0</v>
      </c>
      <c r="K266" s="1">
        <v>0.0</v>
      </c>
      <c r="L266" s="1">
        <v>0.0</v>
      </c>
      <c r="M266" s="1">
        <v>0.0</v>
      </c>
      <c r="N266" s="1">
        <v>0.0</v>
      </c>
      <c r="O266" s="1">
        <v>0.0</v>
      </c>
      <c r="P266" s="1">
        <v>0.0</v>
      </c>
      <c r="Q266" s="1">
        <v>0.0</v>
      </c>
      <c r="R266" s="1">
        <v>0.0</v>
      </c>
      <c r="S266" s="1">
        <v>0.0</v>
      </c>
    </row>
    <row r="267" ht="14.25" hidden="1" customHeight="1">
      <c r="A267" s="1" t="s">
        <v>5</v>
      </c>
      <c r="B267" s="1" t="s">
        <v>38</v>
      </c>
      <c r="C267" s="1" t="s">
        <v>9</v>
      </c>
      <c r="D267" s="1" t="s">
        <v>12</v>
      </c>
      <c r="E267" s="1">
        <v>0.0</v>
      </c>
      <c r="F267" s="1">
        <v>0.0</v>
      </c>
      <c r="G267" s="2">
        <v>2.39995E-6</v>
      </c>
      <c r="H267" s="1">
        <v>0.0</v>
      </c>
      <c r="I267" s="1">
        <v>0.0</v>
      </c>
      <c r="J267" s="1">
        <v>0.0</v>
      </c>
      <c r="K267" s="1">
        <v>0.0</v>
      </c>
      <c r="L267" s="1">
        <v>0.0</v>
      </c>
      <c r="M267" s="1">
        <v>0.0</v>
      </c>
      <c r="N267" s="1">
        <v>0.0</v>
      </c>
      <c r="O267" s="1">
        <v>0.0</v>
      </c>
      <c r="P267" s="1">
        <v>0.0</v>
      </c>
      <c r="Q267" s="1">
        <v>0.0</v>
      </c>
      <c r="R267" s="1">
        <v>0.0</v>
      </c>
      <c r="S267" s="1">
        <v>0.0</v>
      </c>
    </row>
    <row r="268" ht="14.25" hidden="1" customHeight="1">
      <c r="A268" s="1" t="s">
        <v>5</v>
      </c>
      <c r="B268" s="1" t="s">
        <v>38</v>
      </c>
      <c r="C268" s="1" t="s">
        <v>9</v>
      </c>
      <c r="D268" s="1" t="s">
        <v>13</v>
      </c>
      <c r="E268" s="1">
        <v>0.0</v>
      </c>
      <c r="F268" s="1">
        <v>0.0</v>
      </c>
      <c r="G268" s="1">
        <v>0.0</v>
      </c>
      <c r="H268" s="1">
        <v>0.00185808</v>
      </c>
      <c r="I268" s="1">
        <v>0.0</v>
      </c>
      <c r="J268" s="1">
        <v>0.0</v>
      </c>
      <c r="K268" s="1">
        <v>0.0</v>
      </c>
      <c r="L268" s="1">
        <v>0.0</v>
      </c>
      <c r="M268" s="1">
        <v>0.0</v>
      </c>
      <c r="N268" s="1">
        <v>0.0</v>
      </c>
      <c r="O268" s="1">
        <v>0.0</v>
      </c>
      <c r="P268" s="1">
        <v>0.0</v>
      </c>
      <c r="Q268" s="1">
        <v>0.0</v>
      </c>
      <c r="R268" s="1">
        <v>0.0</v>
      </c>
      <c r="S268" s="1">
        <v>0.0</v>
      </c>
    </row>
    <row r="269" ht="14.25" hidden="1" customHeight="1">
      <c r="A269" s="1" t="s">
        <v>5</v>
      </c>
      <c r="B269" s="1" t="s">
        <v>38</v>
      </c>
      <c r="C269" s="1" t="s">
        <v>9</v>
      </c>
      <c r="D269" s="1" t="s">
        <v>14</v>
      </c>
      <c r="E269" s="1">
        <v>0.0</v>
      </c>
      <c r="F269" s="1">
        <v>0.0</v>
      </c>
      <c r="G269" s="1">
        <v>0.0</v>
      </c>
      <c r="H269" s="2">
        <v>2.65937E-4</v>
      </c>
      <c r="I269" s="1">
        <v>0.0</v>
      </c>
      <c r="J269" s="1">
        <v>0.0</v>
      </c>
      <c r="K269" s="1">
        <v>0.0</v>
      </c>
      <c r="L269" s="1">
        <v>0.0</v>
      </c>
      <c r="M269" s="1">
        <v>0.0</v>
      </c>
      <c r="N269" s="1">
        <v>0.0</v>
      </c>
      <c r="O269" s="1">
        <v>0.0</v>
      </c>
      <c r="P269" s="1">
        <v>0.0</v>
      </c>
      <c r="Q269" s="1">
        <v>0.0</v>
      </c>
      <c r="R269" s="1">
        <v>0.0</v>
      </c>
      <c r="S269" s="1">
        <v>0.0</v>
      </c>
    </row>
    <row r="270" ht="14.25" hidden="1" customHeight="1">
      <c r="A270" s="1" t="s">
        <v>5</v>
      </c>
      <c r="B270" s="1" t="s">
        <v>38</v>
      </c>
      <c r="C270" s="1" t="s">
        <v>15</v>
      </c>
      <c r="D270" s="1" t="s">
        <v>16</v>
      </c>
      <c r="E270" s="2">
        <v>7.81984E-5</v>
      </c>
      <c r="F270" s="2">
        <v>1.18197E-4</v>
      </c>
      <c r="G270" s="2">
        <v>7.43008E-5</v>
      </c>
      <c r="H270" s="2">
        <v>7.217098E-4</v>
      </c>
      <c r="I270" s="2">
        <v>5.971766E-4</v>
      </c>
      <c r="J270" s="1">
        <v>0.0041692524</v>
      </c>
      <c r="K270" s="1">
        <v>0.0066220957</v>
      </c>
      <c r="L270" s="1">
        <v>0.00941653489999999</v>
      </c>
      <c r="M270" s="1">
        <v>0.0129251567</v>
      </c>
      <c r="N270" s="1">
        <v>0.01597614</v>
      </c>
      <c r="O270" s="1">
        <v>0.019058168</v>
      </c>
      <c r="P270" s="1">
        <v>0.022221971</v>
      </c>
      <c r="Q270" s="1">
        <v>0.0253765499999999</v>
      </c>
      <c r="R270" s="1">
        <v>0.0284696649999999</v>
      </c>
      <c r="S270" s="1">
        <v>0.031492132</v>
      </c>
    </row>
    <row r="271" ht="14.25" hidden="1" customHeight="1">
      <c r="A271" s="1" t="s">
        <v>5</v>
      </c>
      <c r="B271" s="1" t="s">
        <v>38</v>
      </c>
      <c r="C271" s="1" t="s">
        <v>15</v>
      </c>
      <c r="D271" s="1" t="s">
        <v>13</v>
      </c>
      <c r="E271" s="2">
        <v>8.87014E-5</v>
      </c>
      <c r="F271" s="2">
        <v>1.34101E-4</v>
      </c>
      <c r="G271" s="2">
        <v>5.16995E-5</v>
      </c>
      <c r="H271" s="2">
        <v>9.04124E-5</v>
      </c>
      <c r="I271" s="2">
        <v>3.834798E-4</v>
      </c>
      <c r="J271" s="2">
        <v>3.56245399999999E-4</v>
      </c>
      <c r="K271" s="2">
        <v>3.349572E-4</v>
      </c>
      <c r="L271" s="2">
        <v>2.900078E-4</v>
      </c>
      <c r="M271" s="2">
        <v>2.3570352E-4</v>
      </c>
      <c r="N271" s="2">
        <v>2.0882051E-4</v>
      </c>
      <c r="O271" s="2">
        <v>1.8002466E-4</v>
      </c>
      <c r="P271" s="2">
        <v>1.8303684E-4</v>
      </c>
      <c r="Q271" s="2">
        <v>1.8495434E-4</v>
      </c>
      <c r="R271" s="2">
        <v>1.8605822E-4</v>
      </c>
      <c r="S271" s="2">
        <v>1.8840437E-4</v>
      </c>
    </row>
    <row r="272" ht="14.25" customHeight="1">
      <c r="A272" s="1" t="s">
        <v>5</v>
      </c>
      <c r="B272" s="1" t="s">
        <v>38</v>
      </c>
      <c r="C272" s="1" t="s">
        <v>15</v>
      </c>
      <c r="D272" s="1" t="s">
        <v>14</v>
      </c>
      <c r="E272" s="2">
        <v>8.86994E-5</v>
      </c>
      <c r="F272" s="2">
        <v>1.34099E-4</v>
      </c>
      <c r="G272" s="2">
        <v>5.16989E-5</v>
      </c>
      <c r="H272" s="2">
        <v>5.42961E-5</v>
      </c>
      <c r="I272" s="1">
        <v>0.0020832971</v>
      </c>
      <c r="J272" s="1">
        <v>0.0040955362</v>
      </c>
      <c r="K272" s="1">
        <v>0.00623912219</v>
      </c>
      <c r="L272" s="1">
        <v>0.00850742675</v>
      </c>
      <c r="M272" s="1">
        <v>0.0111597612299999</v>
      </c>
      <c r="N272" s="1">
        <v>0.013095676</v>
      </c>
      <c r="O272" s="1">
        <v>0.014890535</v>
      </c>
      <c r="P272" s="1">
        <v>0.016608584</v>
      </c>
      <c r="Q272" s="1">
        <v>0.018344353</v>
      </c>
      <c r="R272" s="1">
        <v>0.020025103</v>
      </c>
      <c r="S272" s="1">
        <v>0.021674699</v>
      </c>
    </row>
    <row r="273" ht="14.25" hidden="1" customHeight="1">
      <c r="A273" s="1" t="s">
        <v>5</v>
      </c>
      <c r="B273" s="1" t="s">
        <v>38</v>
      </c>
      <c r="C273" s="1" t="s">
        <v>17</v>
      </c>
      <c r="D273" s="1" t="s">
        <v>16</v>
      </c>
      <c r="E273" s="2">
        <v>1.06998E-5</v>
      </c>
      <c r="F273" s="2">
        <v>3.33991E-5</v>
      </c>
      <c r="G273" s="2">
        <v>5.08005E-5</v>
      </c>
      <c r="H273" s="2">
        <v>1.084136E-4</v>
      </c>
      <c r="I273" s="2">
        <v>8.8606E-5</v>
      </c>
      <c r="J273" s="2">
        <v>1.088888E-4</v>
      </c>
      <c r="K273" s="2">
        <v>1.043146E-4</v>
      </c>
      <c r="L273" s="2">
        <v>1.0472996E-4</v>
      </c>
      <c r="M273" s="2">
        <v>1.1858744E-4</v>
      </c>
      <c r="N273" s="2">
        <v>1.401053E-4</v>
      </c>
      <c r="O273" s="2">
        <v>1.7455406E-4</v>
      </c>
      <c r="P273" s="2">
        <v>2.15510219999999E-4</v>
      </c>
      <c r="Q273" s="2">
        <v>2.5483187E-4</v>
      </c>
      <c r="R273" s="2">
        <v>2.9561665E-4</v>
      </c>
      <c r="S273" s="2">
        <v>3.3665464E-4</v>
      </c>
    </row>
    <row r="274" ht="14.25" hidden="1" customHeight="1">
      <c r="A274" s="1" t="s">
        <v>5</v>
      </c>
      <c r="B274" s="1" t="s">
        <v>38</v>
      </c>
      <c r="C274" s="1" t="s">
        <v>17</v>
      </c>
      <c r="D274" s="1" t="s">
        <v>18</v>
      </c>
      <c r="E274" s="1">
        <v>0.00287081</v>
      </c>
      <c r="F274" s="1">
        <v>0.00893081</v>
      </c>
      <c r="G274" s="1">
        <v>0.0135894</v>
      </c>
      <c r="H274" s="1">
        <v>0.01660594</v>
      </c>
      <c r="I274" s="1">
        <v>0.003363755</v>
      </c>
      <c r="J274" s="1">
        <v>0.02886238</v>
      </c>
      <c r="K274" s="1">
        <v>0.03714043</v>
      </c>
      <c r="L274" s="1">
        <v>0.04627221</v>
      </c>
      <c r="M274" s="1">
        <v>0.05554244</v>
      </c>
      <c r="N274" s="1">
        <v>0.06490347</v>
      </c>
      <c r="O274" s="1">
        <v>0.0739851099999999</v>
      </c>
      <c r="P274" s="1">
        <v>0.08272163</v>
      </c>
      <c r="Q274" s="1">
        <v>0.09111427</v>
      </c>
      <c r="R274" s="1">
        <v>0.0988925299999999</v>
      </c>
      <c r="S274" s="1">
        <v>0.10567649</v>
      </c>
    </row>
    <row r="275" ht="14.25" hidden="1" customHeight="1">
      <c r="A275" s="1" t="s">
        <v>5</v>
      </c>
      <c r="B275" s="1" t="s">
        <v>38</v>
      </c>
      <c r="C275" s="1" t="s">
        <v>17</v>
      </c>
      <c r="D275" s="1" t="s">
        <v>19</v>
      </c>
      <c r="E275" s="1">
        <v>0.0013055</v>
      </c>
      <c r="F275" s="1">
        <v>0.0040613</v>
      </c>
      <c r="G275" s="1">
        <v>0.0061797</v>
      </c>
      <c r="H275" s="1">
        <v>0.00700968</v>
      </c>
      <c r="I275" s="1">
        <v>0.00270755</v>
      </c>
      <c r="J275" s="1">
        <v>0.01099238</v>
      </c>
      <c r="K275" s="1">
        <v>0.0140455069999999</v>
      </c>
      <c r="L275" s="1">
        <v>0.0176426199999999</v>
      </c>
      <c r="M275" s="1">
        <v>0.02143868</v>
      </c>
      <c r="N275" s="1">
        <v>0.02553611</v>
      </c>
      <c r="O275" s="1">
        <v>0.0298995099999999</v>
      </c>
      <c r="P275" s="1">
        <v>0.03440156</v>
      </c>
      <c r="Q275" s="1">
        <v>0.0389376</v>
      </c>
      <c r="R275" s="1">
        <v>0.0433837</v>
      </c>
      <c r="S275" s="1">
        <v>0.0476329999999999</v>
      </c>
    </row>
    <row r="276" ht="14.25" hidden="1" customHeight="1">
      <c r="A276" s="1" t="s">
        <v>5</v>
      </c>
      <c r="B276" s="1" t="s">
        <v>38</v>
      </c>
      <c r="C276" s="1" t="s">
        <v>17</v>
      </c>
      <c r="D276" s="1" t="s">
        <v>8</v>
      </c>
      <c r="E276" s="2">
        <v>5.7751E-4</v>
      </c>
      <c r="F276" s="1">
        <v>0.00179695</v>
      </c>
      <c r="G276" s="1">
        <v>0.00273421</v>
      </c>
      <c r="H276" s="1">
        <v>0.00313082</v>
      </c>
      <c r="I276" s="1">
        <v>0.00220034768182</v>
      </c>
      <c r="J276" s="1">
        <v>0.00503897921818</v>
      </c>
      <c r="K276" s="1">
        <v>0.00649078284090899</v>
      </c>
      <c r="L276" s="1">
        <v>0.008193810463641</v>
      </c>
      <c r="M276" s="1">
        <v>0.00997862</v>
      </c>
      <c r="N276" s="1">
        <v>0.011841514</v>
      </c>
      <c r="O276" s="1">
        <v>0.01380717</v>
      </c>
      <c r="P276" s="1">
        <v>0.0157892</v>
      </c>
      <c r="Q276" s="1">
        <v>0.01775983</v>
      </c>
      <c r="R276" s="1">
        <v>0.01966139</v>
      </c>
      <c r="S276" s="1">
        <v>0.0214509999999999</v>
      </c>
    </row>
    <row r="277" ht="14.25" hidden="1" customHeight="1">
      <c r="A277" s="1" t="s">
        <v>5</v>
      </c>
      <c r="B277" s="1" t="s">
        <v>38</v>
      </c>
      <c r="C277" s="1" t="s">
        <v>17</v>
      </c>
      <c r="D277" s="1" t="s">
        <v>20</v>
      </c>
      <c r="E277" s="2">
        <v>4.33684E-4</v>
      </c>
      <c r="F277" s="1">
        <v>0.00134947</v>
      </c>
      <c r="G277" s="1">
        <v>0.00205316</v>
      </c>
      <c r="H277" s="1">
        <v>0.00240317</v>
      </c>
      <c r="I277" s="1">
        <v>0.001861648</v>
      </c>
      <c r="J277" s="1">
        <v>0.003883697</v>
      </c>
      <c r="K277" s="1">
        <v>0.005024206</v>
      </c>
      <c r="L277" s="1">
        <v>0.00617391999999999</v>
      </c>
      <c r="M277" s="1">
        <v>0.00743295</v>
      </c>
      <c r="N277" s="1">
        <v>0.00880463</v>
      </c>
      <c r="O277" s="1">
        <v>0.01024751</v>
      </c>
      <c r="P277" s="1">
        <v>0.01170999</v>
      </c>
      <c r="Q277" s="1">
        <v>0.01316845</v>
      </c>
      <c r="R277" s="1">
        <v>0.01457988</v>
      </c>
      <c r="S277" s="1">
        <v>0.01590412</v>
      </c>
    </row>
    <row r="278" ht="14.25" hidden="1" customHeight="1">
      <c r="A278" s="1" t="s">
        <v>5</v>
      </c>
      <c r="B278" s="1" t="s">
        <v>38</v>
      </c>
      <c r="C278" s="1" t="s">
        <v>21</v>
      </c>
      <c r="D278" s="1" t="s">
        <v>10</v>
      </c>
      <c r="E278" s="2">
        <v>1.29432E-5</v>
      </c>
      <c r="F278" s="2">
        <v>4.03045E-5</v>
      </c>
      <c r="G278" s="1">
        <v>0.00351168</v>
      </c>
      <c r="H278" s="1">
        <v>0.0023093336</v>
      </c>
      <c r="I278" s="1">
        <v>0.0010421011</v>
      </c>
      <c r="J278" s="1">
        <v>0.001251072555</v>
      </c>
      <c r="K278" s="2">
        <v>8.76691958E-4</v>
      </c>
      <c r="L278" s="1">
        <v>0.001553811214</v>
      </c>
      <c r="M278" s="1">
        <v>0.0021743718334</v>
      </c>
      <c r="N278" s="1">
        <v>0.002791328</v>
      </c>
      <c r="O278" s="1">
        <v>0.003214817</v>
      </c>
      <c r="P278" s="1">
        <v>0.003606982</v>
      </c>
      <c r="Q278" s="1">
        <v>0.00394535799999999</v>
      </c>
      <c r="R278" s="1">
        <v>0.004221896</v>
      </c>
      <c r="S278" s="1">
        <v>0.00444062299999999</v>
      </c>
    </row>
    <row r="279" ht="14.25" hidden="1" customHeight="1">
      <c r="A279" s="1" t="s">
        <v>5</v>
      </c>
      <c r="B279" s="1" t="s">
        <v>38</v>
      </c>
      <c r="C279" s="1" t="s">
        <v>21</v>
      </c>
      <c r="D279" s="1" t="s">
        <v>11</v>
      </c>
      <c r="E279" s="2">
        <v>6.50075E-6</v>
      </c>
      <c r="F279" s="2">
        <v>2.01006E-5</v>
      </c>
      <c r="G279" s="1">
        <v>0.00175572</v>
      </c>
      <c r="H279" s="1">
        <v>0.001141814</v>
      </c>
      <c r="I279" s="2">
        <v>2.588146E-4</v>
      </c>
      <c r="J279" s="2">
        <v>2.301736E-4</v>
      </c>
      <c r="K279" s="2">
        <v>1.62261199999999E-4</v>
      </c>
      <c r="L279" s="2">
        <v>1.02187E-4</v>
      </c>
      <c r="M279" s="2">
        <v>1.050818E-4</v>
      </c>
      <c r="N279" s="2">
        <v>9.42515E-5</v>
      </c>
      <c r="O279" s="2">
        <v>8.84516E-5</v>
      </c>
      <c r="P279" s="2">
        <v>9.29411E-5</v>
      </c>
      <c r="Q279" s="2">
        <v>9.07752E-5</v>
      </c>
      <c r="R279" s="2">
        <v>8.93298E-5</v>
      </c>
      <c r="S279" s="2">
        <v>9.03548E-5</v>
      </c>
    </row>
    <row r="280" ht="14.25" hidden="1" customHeight="1">
      <c r="A280" s="1" t="s">
        <v>5</v>
      </c>
      <c r="B280" s="1" t="s">
        <v>38</v>
      </c>
      <c r="C280" s="1" t="s">
        <v>21</v>
      </c>
      <c r="D280" s="1" t="s">
        <v>22</v>
      </c>
      <c r="E280" s="2">
        <v>6.5E-6</v>
      </c>
      <c r="F280" s="2">
        <v>2.01E-5</v>
      </c>
      <c r="G280" s="1">
        <v>0.0017558</v>
      </c>
      <c r="H280" s="1">
        <v>0.001531268</v>
      </c>
      <c r="I280" s="2">
        <v>8.03012E-4</v>
      </c>
      <c r="J280" s="2">
        <v>8.02674E-4</v>
      </c>
      <c r="K280" s="2">
        <v>7.57745E-4</v>
      </c>
      <c r="L280" s="2">
        <v>8.93027999999999E-4</v>
      </c>
      <c r="M280" s="2">
        <v>9.55906E-4</v>
      </c>
      <c r="N280" s="1">
        <v>0.00110814</v>
      </c>
      <c r="O280" s="1">
        <v>0.001238662</v>
      </c>
      <c r="P280" s="1">
        <v>0.001352846</v>
      </c>
      <c r="Q280" s="1">
        <v>0.001462856</v>
      </c>
      <c r="R280" s="1">
        <v>0.001566432</v>
      </c>
      <c r="S280" s="1">
        <v>0.001648191</v>
      </c>
    </row>
    <row r="281" ht="14.25" hidden="1" customHeight="1">
      <c r="A281" s="1" t="s">
        <v>5</v>
      </c>
      <c r="B281" s="1" t="s">
        <v>38</v>
      </c>
      <c r="C281" s="1" t="s">
        <v>21</v>
      </c>
      <c r="D281" s="1" t="s">
        <v>23</v>
      </c>
      <c r="E281" s="2">
        <v>6.50004E-6</v>
      </c>
      <c r="F281" s="2">
        <v>2.00914199999999E-5</v>
      </c>
      <c r="G281" s="1">
        <v>0.001755801</v>
      </c>
      <c r="H281" s="1">
        <v>0.00207411</v>
      </c>
      <c r="I281" s="1">
        <v>0.001712997</v>
      </c>
      <c r="J281" s="2">
        <v>9.131553E-4</v>
      </c>
      <c r="K281" s="2">
        <v>8.66958499999999E-4</v>
      </c>
      <c r="L281" s="1">
        <v>0.001104944</v>
      </c>
      <c r="M281" s="1">
        <v>0.00127992</v>
      </c>
      <c r="N281" s="1">
        <v>0.00162840999999999</v>
      </c>
      <c r="O281" s="1">
        <v>0.001986197</v>
      </c>
      <c r="P281" s="1">
        <v>0.002389667</v>
      </c>
      <c r="Q281" s="1">
        <v>0.00283894199999999</v>
      </c>
      <c r="R281" s="1">
        <v>0.003342188</v>
      </c>
      <c r="S281" s="1">
        <v>0.003859662</v>
      </c>
    </row>
    <row r="282" ht="14.25" hidden="1" customHeight="1">
      <c r="A282" s="1" t="s">
        <v>5</v>
      </c>
      <c r="B282" s="1" t="s">
        <v>38</v>
      </c>
      <c r="C282" s="1" t="s">
        <v>21</v>
      </c>
      <c r="D282" s="1" t="s">
        <v>24</v>
      </c>
      <c r="E282" s="2">
        <v>5.20589999999999E-6</v>
      </c>
      <c r="F282" s="2">
        <v>1.610129E-5</v>
      </c>
      <c r="G282" s="1">
        <v>0.001404701</v>
      </c>
      <c r="H282" s="1">
        <v>0.001070853</v>
      </c>
      <c r="I282" s="2">
        <v>4.718749E-4</v>
      </c>
      <c r="J282" s="2">
        <v>3.15063E-4</v>
      </c>
      <c r="K282" s="2">
        <v>3.875931E-4</v>
      </c>
      <c r="L282" s="2">
        <v>4.690556E-4</v>
      </c>
      <c r="M282" s="2">
        <v>5.5634E-4</v>
      </c>
      <c r="N282" s="2">
        <v>6.40966E-4</v>
      </c>
      <c r="O282" s="2">
        <v>7.16426E-4</v>
      </c>
      <c r="P282" s="2">
        <v>7.93814E-4</v>
      </c>
      <c r="Q282" s="2">
        <v>8.6025E-4</v>
      </c>
      <c r="R282" s="2">
        <v>9.16351999999999E-4</v>
      </c>
      <c r="S282" s="2">
        <v>9.62251E-4</v>
      </c>
    </row>
    <row r="283" ht="14.25" hidden="1" customHeight="1">
      <c r="A283" s="1" t="s">
        <v>5</v>
      </c>
      <c r="B283" s="1" t="s">
        <v>38</v>
      </c>
      <c r="C283" s="1" t="s">
        <v>21</v>
      </c>
      <c r="D283" s="1" t="s">
        <v>12</v>
      </c>
      <c r="E283" s="2">
        <v>6.5E-6</v>
      </c>
      <c r="F283" s="2">
        <v>2.01E-5</v>
      </c>
      <c r="G283" s="1">
        <v>0.00175576</v>
      </c>
      <c r="H283" s="1">
        <v>0.00129356</v>
      </c>
      <c r="I283" s="2">
        <v>8.81026E-4</v>
      </c>
      <c r="J283" s="2">
        <v>9.549E-4</v>
      </c>
      <c r="K283" s="2">
        <v>8.58092E-4</v>
      </c>
      <c r="L283" s="2">
        <v>9.61177E-4</v>
      </c>
      <c r="M283" s="2">
        <v>9.77069E-4</v>
      </c>
      <c r="N283" s="1">
        <v>0.00107706</v>
      </c>
      <c r="O283" s="1">
        <v>0.00115073</v>
      </c>
      <c r="P283" s="1">
        <v>0.00120829</v>
      </c>
      <c r="Q283" s="1">
        <v>0.00126606</v>
      </c>
      <c r="R283" s="1">
        <v>0.0013229</v>
      </c>
      <c r="S283" s="1">
        <v>0.0013669</v>
      </c>
    </row>
    <row r="284" ht="14.25" hidden="1" customHeight="1">
      <c r="A284" s="1" t="s">
        <v>5</v>
      </c>
      <c r="B284" s="1" t="s">
        <v>38</v>
      </c>
      <c r="C284" s="1" t="s">
        <v>21</v>
      </c>
      <c r="D284" s="1" t="s">
        <v>13</v>
      </c>
      <c r="E284" s="1">
        <v>0.00196823</v>
      </c>
      <c r="F284" s="1">
        <v>0.00612303</v>
      </c>
      <c r="G284" s="1">
        <v>0.00987931</v>
      </c>
      <c r="H284" s="1">
        <v>0.00859252</v>
      </c>
      <c r="I284" s="1">
        <v>0.00964813</v>
      </c>
      <c r="J284" s="1">
        <v>0.016734408</v>
      </c>
      <c r="K284" s="1">
        <v>0.0247904129999999</v>
      </c>
      <c r="L284" s="1">
        <v>0.03452139</v>
      </c>
      <c r="M284" s="1">
        <v>0.04501824</v>
      </c>
      <c r="N284" s="1">
        <v>0.05685479</v>
      </c>
      <c r="O284" s="1">
        <v>0.0678550699999999</v>
      </c>
      <c r="P284" s="1">
        <v>0.07902359</v>
      </c>
      <c r="Q284" s="1">
        <v>0.08970922</v>
      </c>
      <c r="R284" s="1">
        <v>0.099742</v>
      </c>
      <c r="S284" s="1">
        <v>0.10905755</v>
      </c>
    </row>
    <row r="285" ht="14.25" hidden="1" customHeight="1">
      <c r="A285" s="1" t="s">
        <v>5</v>
      </c>
      <c r="B285" s="1" t="s">
        <v>38</v>
      </c>
      <c r="C285" s="1" t="s">
        <v>21</v>
      </c>
      <c r="D285" s="1" t="s">
        <v>14</v>
      </c>
      <c r="E285" s="2">
        <v>1.06999E-5</v>
      </c>
      <c r="F285" s="2">
        <v>3.32998E-5</v>
      </c>
      <c r="G285" s="2">
        <v>5.36988E-5</v>
      </c>
      <c r="H285" s="2">
        <v>1.427712E-4</v>
      </c>
      <c r="I285" s="2">
        <v>7.76244E-5</v>
      </c>
      <c r="J285" s="2">
        <v>1.546633E-5</v>
      </c>
      <c r="K285" s="2">
        <v>6.17653E-6</v>
      </c>
      <c r="L285" s="2">
        <v>7.08109E-6</v>
      </c>
      <c r="M285" s="2">
        <v>1.000059E-5</v>
      </c>
      <c r="N285" s="2">
        <v>1.20444E-5</v>
      </c>
      <c r="O285" s="2">
        <v>1.497449E-5</v>
      </c>
      <c r="P285" s="2">
        <v>1.836039E-5</v>
      </c>
      <c r="Q285" s="2">
        <v>2.067772E-5</v>
      </c>
      <c r="R285" s="2">
        <v>2.311503E-5</v>
      </c>
      <c r="S285" s="2">
        <v>2.545241E-5</v>
      </c>
    </row>
    <row r="286" ht="14.25" hidden="1" customHeight="1">
      <c r="A286" s="1" t="s">
        <v>5</v>
      </c>
      <c r="B286" s="1" t="s">
        <v>38</v>
      </c>
      <c r="C286" s="1" t="s">
        <v>21</v>
      </c>
      <c r="D286" s="1" t="s">
        <v>25</v>
      </c>
      <c r="E286" s="2">
        <v>6.846E-4</v>
      </c>
      <c r="F286" s="1">
        <v>0.0021297</v>
      </c>
      <c r="G286" s="1">
        <v>0.0034363</v>
      </c>
      <c r="H286" s="1">
        <v>0.0051689</v>
      </c>
      <c r="I286" s="1">
        <v>0.00667785</v>
      </c>
      <c r="J286" s="1">
        <v>0.00729976</v>
      </c>
      <c r="K286" s="1">
        <v>0.00765616</v>
      </c>
      <c r="L286" s="1">
        <v>0.00816845</v>
      </c>
      <c r="M286" s="1">
        <v>0.00837721</v>
      </c>
      <c r="N286" s="1">
        <v>0.00939182</v>
      </c>
      <c r="O286" s="1">
        <v>0.01060828</v>
      </c>
      <c r="P286" s="1">
        <v>0.01205063</v>
      </c>
      <c r="Q286" s="1">
        <v>0.01364537</v>
      </c>
      <c r="R286" s="1">
        <v>0.01522108</v>
      </c>
      <c r="S286" s="1">
        <v>0.01657386</v>
      </c>
    </row>
    <row r="287" ht="14.25" hidden="1" customHeight="1">
      <c r="A287" s="1" t="s">
        <v>5</v>
      </c>
      <c r="B287" s="1" t="s">
        <v>38</v>
      </c>
      <c r="C287" s="1" t="s">
        <v>21</v>
      </c>
      <c r="D287" s="1" t="s">
        <v>26</v>
      </c>
      <c r="E287" s="2">
        <v>7.06001E-4</v>
      </c>
      <c r="F287" s="1">
        <v>0.002196313</v>
      </c>
      <c r="G287" s="1">
        <v>0.003543687</v>
      </c>
      <c r="H287" s="1">
        <v>0.007078535</v>
      </c>
      <c r="I287" s="1">
        <v>0.01103414</v>
      </c>
      <c r="J287" s="1">
        <v>0.017773295</v>
      </c>
      <c r="K287" s="1">
        <v>0.02310869</v>
      </c>
      <c r="L287" s="1">
        <v>0.03016406</v>
      </c>
      <c r="M287" s="1">
        <v>0.03756834</v>
      </c>
      <c r="N287" s="1">
        <v>0.0501196399999999</v>
      </c>
      <c r="O287" s="1">
        <v>0.06545417</v>
      </c>
      <c r="P287" s="1">
        <v>0.0849834999999999</v>
      </c>
      <c r="Q287" s="1">
        <v>0.1078396</v>
      </c>
      <c r="R287" s="1">
        <v>0.1330112</v>
      </c>
      <c r="S287" s="1">
        <v>0.1581207</v>
      </c>
    </row>
    <row r="288" ht="14.25" hidden="1" customHeight="1">
      <c r="A288" s="1" t="s">
        <v>5</v>
      </c>
      <c r="B288" s="1" t="s">
        <v>38</v>
      </c>
      <c r="C288" s="1" t="s">
        <v>21</v>
      </c>
      <c r="D288" s="1" t="s">
        <v>27</v>
      </c>
      <c r="E288" s="2">
        <v>7.57303E-4</v>
      </c>
      <c r="F288" s="1">
        <v>0.002356</v>
      </c>
      <c r="G288" s="1">
        <v>0.00380139899999999</v>
      </c>
      <c r="H288" s="1">
        <v>0.006519626</v>
      </c>
      <c r="I288" s="1">
        <v>0.010126045</v>
      </c>
      <c r="J288" s="1">
        <v>0.011550203</v>
      </c>
      <c r="K288" s="1">
        <v>0.013544276</v>
      </c>
      <c r="L288" s="1">
        <v>0.01583515</v>
      </c>
      <c r="M288" s="1">
        <v>0.0181639899999999</v>
      </c>
      <c r="N288" s="1">
        <v>0.0204804099999999</v>
      </c>
      <c r="O288" s="1">
        <v>0.02272885</v>
      </c>
      <c r="P288" s="1">
        <v>0.02581527</v>
      </c>
      <c r="Q288" s="1">
        <v>0.02896536</v>
      </c>
      <c r="R288" s="1">
        <v>0.0319986399999999</v>
      </c>
      <c r="S288" s="1">
        <v>0.0348866799999999</v>
      </c>
    </row>
    <row r="289" ht="14.25" hidden="1" customHeight="1">
      <c r="A289" s="1" t="s">
        <v>5</v>
      </c>
      <c r="B289" s="1" t="s">
        <v>38</v>
      </c>
      <c r="C289" s="1" t="s">
        <v>21</v>
      </c>
      <c r="D289" s="1" t="s">
        <v>28</v>
      </c>
      <c r="E289" s="2">
        <v>6.42E-5</v>
      </c>
      <c r="F289" s="2">
        <v>1.997E-4</v>
      </c>
      <c r="G289" s="2">
        <v>3.222E-4</v>
      </c>
      <c r="H289" s="2">
        <v>4.05614E-4</v>
      </c>
      <c r="I289" s="2">
        <v>5.03568E-4</v>
      </c>
      <c r="J289" s="2">
        <v>5.52754E-4</v>
      </c>
      <c r="K289" s="2">
        <v>5.75974E-4</v>
      </c>
      <c r="L289" s="2">
        <v>6.13129E-4</v>
      </c>
      <c r="M289" s="2">
        <v>6.2844E-4</v>
      </c>
      <c r="N289" s="2">
        <v>7.04488E-4</v>
      </c>
      <c r="O289" s="2">
        <v>7.95728E-4</v>
      </c>
      <c r="P289" s="2">
        <v>9.03918E-4</v>
      </c>
      <c r="Q289" s="1">
        <v>0.00102354</v>
      </c>
      <c r="R289" s="1">
        <v>0.00114173</v>
      </c>
      <c r="S289" s="1">
        <v>0.0012432</v>
      </c>
    </row>
    <row r="290" ht="14.25" hidden="1" customHeight="1">
      <c r="A290" s="1" t="s">
        <v>5</v>
      </c>
      <c r="B290" s="1" t="s">
        <v>38</v>
      </c>
      <c r="C290" s="1" t="s">
        <v>29</v>
      </c>
      <c r="D290" s="1" t="s">
        <v>16</v>
      </c>
      <c r="E290" s="1">
        <v>0.00229765</v>
      </c>
      <c r="F290" s="1">
        <v>0.00441098</v>
      </c>
      <c r="G290" s="1">
        <v>0.00348044</v>
      </c>
      <c r="H290" s="1">
        <v>0.003554575</v>
      </c>
      <c r="I290" s="1">
        <v>0.002874551</v>
      </c>
      <c r="J290" s="1">
        <v>0.003325938</v>
      </c>
      <c r="K290" s="1">
        <v>0.003141711</v>
      </c>
      <c r="L290" s="1">
        <v>0.00299227</v>
      </c>
      <c r="M290" s="1">
        <v>0.002531968</v>
      </c>
      <c r="N290" s="1">
        <v>0.00266939</v>
      </c>
      <c r="O290" s="1">
        <v>0.002936248</v>
      </c>
      <c r="P290" s="1">
        <v>0.00324596439999999</v>
      </c>
      <c r="Q290" s="1">
        <v>0.0036211794</v>
      </c>
      <c r="R290" s="1">
        <v>0.00402553999999999</v>
      </c>
      <c r="S290" s="1">
        <v>0.004393762</v>
      </c>
    </row>
    <row r="291" ht="14.25" hidden="1" customHeight="1">
      <c r="A291" s="1" t="s">
        <v>5</v>
      </c>
      <c r="B291" s="1" t="s">
        <v>38</v>
      </c>
      <c r="C291" s="1" t="s">
        <v>29</v>
      </c>
      <c r="D291" s="1" t="s">
        <v>8</v>
      </c>
      <c r="E291" s="2">
        <v>4.68927E-5</v>
      </c>
      <c r="F291" s="2">
        <v>9.00026E-5</v>
      </c>
      <c r="G291" s="2">
        <v>7.10029E-5</v>
      </c>
      <c r="H291" s="2">
        <v>5.48275683E-5</v>
      </c>
      <c r="I291" s="2">
        <v>3.713340672E-4</v>
      </c>
      <c r="J291" s="2">
        <v>3.280573069E-4</v>
      </c>
      <c r="K291" s="2">
        <v>2.76982454099999E-4</v>
      </c>
      <c r="L291" s="2">
        <v>2.0336784139E-4</v>
      </c>
      <c r="M291" s="2">
        <v>1.2099859106E-4</v>
      </c>
      <c r="N291" s="2">
        <v>7.76916E-5</v>
      </c>
      <c r="O291" s="2">
        <v>3.895676E-5</v>
      </c>
      <c r="P291" s="2">
        <v>4.220612E-5</v>
      </c>
      <c r="Q291" s="2">
        <v>4.601829E-5</v>
      </c>
      <c r="R291" s="2">
        <v>4.986929E-5</v>
      </c>
      <c r="S291" s="2">
        <v>5.31957E-5</v>
      </c>
    </row>
    <row r="292" ht="14.25" hidden="1" customHeight="1">
      <c r="A292" s="1" t="s">
        <v>5</v>
      </c>
      <c r="B292" s="1" t="s">
        <v>38</v>
      </c>
      <c r="C292" s="1" t="s">
        <v>29</v>
      </c>
      <c r="D292" s="1" t="s">
        <v>10</v>
      </c>
      <c r="E292" s="2">
        <v>2.37794E-5</v>
      </c>
      <c r="F292" s="2">
        <v>4.5405E-5</v>
      </c>
      <c r="G292" s="2">
        <v>3.63998E-5</v>
      </c>
      <c r="H292" s="1">
        <v>0.00210276659999999</v>
      </c>
      <c r="I292" s="1">
        <v>0.0010697927</v>
      </c>
      <c r="J292" s="1">
        <v>0.0015114264294</v>
      </c>
      <c r="K292" s="1">
        <v>0.0012085164504</v>
      </c>
      <c r="L292" s="2">
        <v>8.702013286E-4</v>
      </c>
      <c r="M292" s="2">
        <v>6.245852647E-4</v>
      </c>
      <c r="N292" s="2">
        <v>3.71606050799999E-4</v>
      </c>
      <c r="O292" s="2">
        <v>3.58554479E-4</v>
      </c>
      <c r="P292" s="2">
        <v>3.365452E-4</v>
      </c>
      <c r="Q292" s="2">
        <v>3.134389E-4</v>
      </c>
      <c r="R292" s="2">
        <v>3.023377E-4</v>
      </c>
      <c r="S292" s="2">
        <v>2.969855E-4</v>
      </c>
    </row>
    <row r="293" ht="14.25" hidden="1" customHeight="1">
      <c r="A293" s="1" t="s">
        <v>5</v>
      </c>
      <c r="B293" s="1" t="s">
        <v>38</v>
      </c>
      <c r="C293" s="1" t="s">
        <v>29</v>
      </c>
      <c r="D293" s="1" t="s">
        <v>11</v>
      </c>
      <c r="E293" s="1">
        <v>0.00196003</v>
      </c>
      <c r="F293" s="1">
        <v>0.00376261</v>
      </c>
      <c r="G293" s="1">
        <v>0.00301666</v>
      </c>
      <c r="H293" s="1">
        <v>0.0023579291</v>
      </c>
      <c r="I293" s="1">
        <v>0.0021105682</v>
      </c>
      <c r="J293" s="1">
        <v>0.0028358287</v>
      </c>
      <c r="K293" s="1">
        <v>0.0028843791</v>
      </c>
      <c r="L293" s="1">
        <v>0.00292268302</v>
      </c>
      <c r="M293" s="1">
        <v>0.0026360496</v>
      </c>
      <c r="N293" s="1">
        <v>0.0027245744</v>
      </c>
      <c r="O293" s="1">
        <v>0.002770392</v>
      </c>
      <c r="P293" s="1">
        <v>0.0028031637</v>
      </c>
      <c r="Q293" s="1">
        <v>0.0028764913</v>
      </c>
      <c r="R293" s="1">
        <v>0.002962182</v>
      </c>
      <c r="S293" s="1">
        <v>0.0030496736</v>
      </c>
    </row>
    <row r="294" ht="14.25" hidden="1" customHeight="1">
      <c r="A294" s="1" t="s">
        <v>5</v>
      </c>
      <c r="B294" s="1" t="s">
        <v>38</v>
      </c>
      <c r="C294" s="1" t="s">
        <v>29</v>
      </c>
      <c r="D294" s="1" t="s">
        <v>13</v>
      </c>
      <c r="E294" s="2">
        <v>2.40004E-5</v>
      </c>
      <c r="F294" s="2">
        <v>4.60002E-5</v>
      </c>
      <c r="G294" s="2">
        <v>8.69992E-6</v>
      </c>
      <c r="H294" s="1">
        <v>0.02103981536</v>
      </c>
      <c r="I294" s="1">
        <v>0.01964823604</v>
      </c>
      <c r="J294" s="1">
        <v>0.02157274996</v>
      </c>
      <c r="K294" s="1">
        <v>0.02373191088</v>
      </c>
      <c r="L294" s="1">
        <v>0.02455875556</v>
      </c>
      <c r="M294" s="1">
        <v>0.024885725</v>
      </c>
      <c r="N294" s="1">
        <v>0.023544645</v>
      </c>
      <c r="O294" s="1">
        <v>0.0237183139999999</v>
      </c>
      <c r="P294" s="1">
        <v>0.02364179</v>
      </c>
      <c r="Q294" s="1">
        <v>0.024143757</v>
      </c>
      <c r="R294" s="1">
        <v>0.0250672919999999</v>
      </c>
      <c r="S294" s="1">
        <v>0.026087406</v>
      </c>
    </row>
    <row r="295" ht="14.25" hidden="1" customHeight="1">
      <c r="A295" s="1" t="s">
        <v>5</v>
      </c>
      <c r="B295" s="1" t="s">
        <v>38</v>
      </c>
      <c r="C295" s="1" t="s">
        <v>29</v>
      </c>
      <c r="D295" s="1" t="s">
        <v>14</v>
      </c>
      <c r="E295" s="1">
        <v>0.0241149</v>
      </c>
      <c r="F295" s="1">
        <v>0.0462969</v>
      </c>
      <c r="G295" s="1">
        <v>0.00872561</v>
      </c>
      <c r="H295" s="1">
        <v>0.00784922</v>
      </c>
      <c r="I295" s="1">
        <v>0.007392626</v>
      </c>
      <c r="J295" s="1">
        <v>0.006213716</v>
      </c>
      <c r="K295" s="1">
        <v>0.00494024799999999</v>
      </c>
      <c r="L295" s="1">
        <v>0.003895428</v>
      </c>
      <c r="M295" s="1">
        <v>0.002198507</v>
      </c>
      <c r="N295" s="1">
        <v>0.002493694</v>
      </c>
      <c r="O295" s="1">
        <v>0.00307145289999999</v>
      </c>
      <c r="P295" s="1">
        <v>0.0038159214</v>
      </c>
      <c r="Q295" s="1">
        <v>0.0045956144</v>
      </c>
      <c r="R295" s="1">
        <v>0.00541441399999999</v>
      </c>
      <c r="S295" s="1">
        <v>0.006195445</v>
      </c>
    </row>
    <row r="296" ht="14.25" hidden="1" customHeight="1">
      <c r="A296" s="1" t="s">
        <v>5</v>
      </c>
      <c r="B296" s="1" t="s">
        <v>38</v>
      </c>
      <c r="C296" s="1" t="s">
        <v>31</v>
      </c>
      <c r="D296" s="1" t="s">
        <v>11</v>
      </c>
      <c r="E296" s="1">
        <v>0.00112453</v>
      </c>
      <c r="F296" s="1">
        <v>0.00131744</v>
      </c>
      <c r="G296" s="1">
        <v>0.00140014</v>
      </c>
      <c r="H296" s="1">
        <v>0.0</v>
      </c>
      <c r="I296" s="1">
        <v>0.0</v>
      </c>
      <c r="J296" s="1">
        <v>0.0</v>
      </c>
      <c r="K296" s="1">
        <v>0.0</v>
      </c>
      <c r="L296" s="1">
        <v>0.0</v>
      </c>
      <c r="M296" s="1">
        <v>0.0</v>
      </c>
      <c r="N296" s="1">
        <v>0.0</v>
      </c>
      <c r="O296" s="1">
        <v>0.0</v>
      </c>
      <c r="P296" s="1">
        <v>0.0</v>
      </c>
      <c r="Q296" s="1">
        <v>0.0</v>
      </c>
      <c r="R296" s="1">
        <v>0.0</v>
      </c>
      <c r="S296" s="1">
        <v>0.0</v>
      </c>
    </row>
    <row r="297" ht="14.25" hidden="1" customHeight="1">
      <c r="A297" s="1" t="s">
        <v>5</v>
      </c>
      <c r="B297" s="1" t="s">
        <v>39</v>
      </c>
      <c r="C297" s="1" t="s">
        <v>7</v>
      </c>
      <c r="D297" s="1" t="s">
        <v>8</v>
      </c>
      <c r="E297" s="2">
        <v>4.54409E-5</v>
      </c>
      <c r="F297" s="2">
        <v>5.78077E-5</v>
      </c>
      <c r="G297" s="2">
        <v>6.19225E-5</v>
      </c>
      <c r="H297" s="2">
        <v>2.21446E-6</v>
      </c>
      <c r="I297" s="2">
        <v>6.07664E-9</v>
      </c>
      <c r="J297" s="2">
        <v>3.62821E-7</v>
      </c>
      <c r="K297" s="2">
        <v>3.30188E-7</v>
      </c>
      <c r="L297" s="2">
        <v>3.15227E-7</v>
      </c>
      <c r="M297" s="2">
        <v>2.07535E-7</v>
      </c>
      <c r="N297" s="2">
        <v>1.13598E-7</v>
      </c>
      <c r="O297" s="1">
        <v>0.0</v>
      </c>
      <c r="P297" s="1">
        <v>0.0</v>
      </c>
      <c r="Q297" s="1">
        <v>0.0</v>
      </c>
      <c r="R297" s="1">
        <v>0.0</v>
      </c>
      <c r="S297" s="1">
        <v>0.0</v>
      </c>
    </row>
    <row r="298" ht="14.25" hidden="1" customHeight="1">
      <c r="A298" s="1" t="s">
        <v>5</v>
      </c>
      <c r="B298" s="1" t="s">
        <v>39</v>
      </c>
      <c r="C298" s="1" t="s">
        <v>9</v>
      </c>
      <c r="D298" s="1" t="s">
        <v>8</v>
      </c>
      <c r="E298" s="2">
        <v>5.0045E-7</v>
      </c>
      <c r="F298" s="2">
        <v>4.00053E-7</v>
      </c>
      <c r="G298" s="2">
        <v>6.00218E-7</v>
      </c>
      <c r="H298" s="2">
        <v>2.05433E-8</v>
      </c>
      <c r="I298" s="2">
        <v>2.30109E-4</v>
      </c>
      <c r="J298" s="1">
        <v>0.0</v>
      </c>
      <c r="K298" s="1">
        <v>0.0</v>
      </c>
      <c r="L298" s="1">
        <v>0.0</v>
      </c>
      <c r="M298" s="1">
        <v>0.0</v>
      </c>
      <c r="N298" s="1">
        <v>0.0</v>
      </c>
      <c r="O298" s="1">
        <v>0.0</v>
      </c>
      <c r="P298" s="1">
        <v>0.0</v>
      </c>
      <c r="Q298" s="1">
        <v>0.0</v>
      </c>
      <c r="R298" s="1">
        <v>0.0</v>
      </c>
      <c r="S298" s="1">
        <v>0.0</v>
      </c>
    </row>
    <row r="299" ht="14.25" hidden="1" customHeight="1">
      <c r="A299" s="1" t="s">
        <v>5</v>
      </c>
      <c r="B299" s="1" t="s">
        <v>39</v>
      </c>
      <c r="C299" s="1" t="s">
        <v>9</v>
      </c>
      <c r="D299" s="1" t="s">
        <v>10</v>
      </c>
      <c r="E299" s="1">
        <v>0.0</v>
      </c>
      <c r="F299" s="1">
        <v>0.0</v>
      </c>
      <c r="G299" s="1">
        <v>0.0</v>
      </c>
      <c r="H299" s="1">
        <v>0.0</v>
      </c>
      <c r="I299" s="1">
        <v>0.0</v>
      </c>
      <c r="J299" s="2">
        <v>4.35963E-5</v>
      </c>
      <c r="K299" s="1">
        <v>0.0</v>
      </c>
      <c r="L299" s="1">
        <v>0.0</v>
      </c>
      <c r="M299" s="1">
        <v>0.0</v>
      </c>
      <c r="N299" s="1">
        <v>0.0</v>
      </c>
      <c r="O299" s="1">
        <v>0.0</v>
      </c>
      <c r="P299" s="1">
        <v>0.0</v>
      </c>
      <c r="Q299" s="1">
        <v>0.0</v>
      </c>
      <c r="R299" s="1">
        <v>0.0</v>
      </c>
      <c r="S299" s="1">
        <v>0.0</v>
      </c>
    </row>
    <row r="300" ht="14.25" hidden="1" customHeight="1">
      <c r="A300" s="1" t="s">
        <v>5</v>
      </c>
      <c r="B300" s="1" t="s">
        <v>39</v>
      </c>
      <c r="C300" s="1" t="s">
        <v>9</v>
      </c>
      <c r="D300" s="1" t="s">
        <v>13</v>
      </c>
      <c r="E300" s="1">
        <v>0.0</v>
      </c>
      <c r="F300" s="1">
        <v>0.0</v>
      </c>
      <c r="G300" s="1">
        <v>0.0</v>
      </c>
      <c r="H300" s="2">
        <v>4.45046E-6</v>
      </c>
      <c r="I300" s="1">
        <v>0.0</v>
      </c>
      <c r="J300" s="1">
        <v>0.0</v>
      </c>
      <c r="K300" s="1">
        <v>0.0</v>
      </c>
      <c r="L300" s="1">
        <v>0.0</v>
      </c>
      <c r="M300" s="1">
        <v>0.0</v>
      </c>
      <c r="N300" s="1">
        <v>0.0</v>
      </c>
      <c r="O300" s="1">
        <v>0.0</v>
      </c>
      <c r="P300" s="1">
        <v>0.0</v>
      </c>
      <c r="Q300" s="1">
        <v>0.0</v>
      </c>
      <c r="R300" s="1">
        <v>0.0</v>
      </c>
      <c r="S300" s="1">
        <v>0.0</v>
      </c>
    </row>
    <row r="301" ht="14.25" hidden="1" customHeight="1">
      <c r="A301" s="1" t="s">
        <v>5</v>
      </c>
      <c r="B301" s="1" t="s">
        <v>39</v>
      </c>
      <c r="C301" s="1" t="s">
        <v>15</v>
      </c>
      <c r="D301" s="1" t="s">
        <v>16</v>
      </c>
      <c r="E301" s="1">
        <v>0.0</v>
      </c>
      <c r="F301" s="1">
        <v>0.0</v>
      </c>
      <c r="G301" s="1">
        <v>0.0</v>
      </c>
      <c r="H301" s="1">
        <v>0.0</v>
      </c>
      <c r="I301" s="2">
        <v>4.06771E-5</v>
      </c>
      <c r="J301" s="2">
        <v>8.18752E-5</v>
      </c>
      <c r="K301" s="2">
        <v>1.737985E-4</v>
      </c>
      <c r="L301" s="2">
        <v>3.1064E-4</v>
      </c>
      <c r="M301" s="2">
        <v>4.4998E-4</v>
      </c>
      <c r="N301" s="2">
        <v>5.85379029999999E-4</v>
      </c>
      <c r="O301" s="2">
        <v>7.2891208E-4</v>
      </c>
      <c r="P301" s="2">
        <v>8.491604E-4</v>
      </c>
      <c r="Q301" s="2">
        <v>9.675475E-4</v>
      </c>
      <c r="R301" s="1">
        <v>0.00108163639999999</v>
      </c>
      <c r="S301" s="1">
        <v>0.0011946086</v>
      </c>
    </row>
    <row r="302" ht="14.25" customHeight="1">
      <c r="A302" s="1" t="s">
        <v>5</v>
      </c>
      <c r="B302" s="1" t="s">
        <v>39</v>
      </c>
      <c r="C302" s="1" t="s">
        <v>15</v>
      </c>
      <c r="D302" s="1" t="s">
        <v>14</v>
      </c>
      <c r="E302" s="1">
        <v>0.0</v>
      </c>
      <c r="F302" s="1">
        <v>0.0</v>
      </c>
      <c r="G302" s="1">
        <v>0.0</v>
      </c>
      <c r="H302" s="1">
        <v>0.0</v>
      </c>
      <c r="I302" s="1">
        <v>0.0</v>
      </c>
      <c r="J302" s="2">
        <v>8.65615E-6</v>
      </c>
      <c r="K302" s="2">
        <v>1.1827712E-4</v>
      </c>
      <c r="L302" s="2">
        <v>3.0853788E-4</v>
      </c>
      <c r="M302" s="2">
        <v>4.9276557E-4</v>
      </c>
      <c r="N302" s="2">
        <v>6.2837697E-4</v>
      </c>
      <c r="O302" s="2">
        <v>7.4801883E-4</v>
      </c>
      <c r="P302" s="2">
        <v>8.290297E-4</v>
      </c>
      <c r="Q302" s="2">
        <v>9.025778E-4</v>
      </c>
      <c r="R302" s="2">
        <v>9.684091E-4</v>
      </c>
      <c r="S302" s="1">
        <v>0.00103614689999999</v>
      </c>
    </row>
    <row r="303" ht="14.25" hidden="1" customHeight="1">
      <c r="A303" s="1" t="s">
        <v>5</v>
      </c>
      <c r="B303" s="1" t="s">
        <v>39</v>
      </c>
      <c r="C303" s="1" t="s">
        <v>17</v>
      </c>
      <c r="D303" s="1" t="s">
        <v>16</v>
      </c>
      <c r="E303" s="2">
        <v>9.89914E-6</v>
      </c>
      <c r="F303" s="2">
        <v>3.06951E-5</v>
      </c>
      <c r="G303" s="2">
        <v>4.66208E-5</v>
      </c>
      <c r="H303" s="2">
        <v>8.52765E-5</v>
      </c>
      <c r="I303" s="2">
        <v>8.68903E-5</v>
      </c>
      <c r="J303" s="2">
        <v>1.47741E-4</v>
      </c>
      <c r="K303" s="2">
        <v>1.981132E-4</v>
      </c>
      <c r="L303" s="2">
        <v>2.33603E-4</v>
      </c>
      <c r="M303" s="2">
        <v>2.66963129999999E-4</v>
      </c>
      <c r="N303" s="2">
        <v>3.0329702E-4</v>
      </c>
      <c r="O303" s="2">
        <v>3.50923E-4</v>
      </c>
      <c r="P303" s="2">
        <v>3.975937E-4</v>
      </c>
      <c r="Q303" s="2">
        <v>4.47139E-4</v>
      </c>
      <c r="R303" s="2">
        <v>5.021518E-4</v>
      </c>
      <c r="S303" s="2">
        <v>5.59974399999999E-4</v>
      </c>
    </row>
    <row r="304" ht="14.25" hidden="1" customHeight="1">
      <c r="A304" s="1" t="s">
        <v>5</v>
      </c>
      <c r="B304" s="1" t="s">
        <v>39</v>
      </c>
      <c r="C304" s="1" t="s">
        <v>17</v>
      </c>
      <c r="D304" s="1" t="s">
        <v>18</v>
      </c>
      <c r="E304" s="2">
        <v>5.51923E-5</v>
      </c>
      <c r="F304" s="2">
        <v>1.71692E-4</v>
      </c>
      <c r="G304" s="2">
        <v>2.60885E-4</v>
      </c>
      <c r="H304" s="2">
        <v>2.968542E-4</v>
      </c>
      <c r="I304" s="2">
        <v>1.202631E-4</v>
      </c>
      <c r="J304" s="2">
        <v>7.272852E-4</v>
      </c>
      <c r="K304" s="1">
        <v>0.0011545325</v>
      </c>
      <c r="L304" s="1">
        <v>0.0016370304</v>
      </c>
      <c r="M304" s="1">
        <v>0.00204961361999999</v>
      </c>
      <c r="N304" s="1">
        <v>0.002417803</v>
      </c>
      <c r="O304" s="1">
        <v>0.0027891442</v>
      </c>
      <c r="P304" s="1">
        <v>0.0030686251</v>
      </c>
      <c r="Q304" s="1">
        <v>0.0033346324</v>
      </c>
      <c r="R304" s="1">
        <v>0.00359148509999999</v>
      </c>
      <c r="S304" s="1">
        <v>0.003826351</v>
      </c>
    </row>
    <row r="305" ht="14.25" hidden="1" customHeight="1">
      <c r="A305" s="1" t="s">
        <v>5</v>
      </c>
      <c r="B305" s="1" t="s">
        <v>39</v>
      </c>
      <c r="C305" s="1" t="s">
        <v>17</v>
      </c>
      <c r="D305" s="1" t="s">
        <v>19</v>
      </c>
      <c r="E305" s="2">
        <v>2.56008E-5</v>
      </c>
      <c r="F305" s="2">
        <v>7.97013E-5</v>
      </c>
      <c r="G305" s="2">
        <v>1.21102E-4</v>
      </c>
      <c r="H305" s="2">
        <v>1.47114E-4</v>
      </c>
      <c r="I305" s="2">
        <v>3.38631E-5</v>
      </c>
      <c r="J305" s="2">
        <v>3.349049E-4</v>
      </c>
      <c r="K305" s="2">
        <v>5.193896E-4</v>
      </c>
      <c r="L305" s="2">
        <v>7.31958E-4</v>
      </c>
      <c r="M305" s="2">
        <v>9.170433E-4</v>
      </c>
      <c r="N305" s="1">
        <v>0.00109518519999999</v>
      </c>
      <c r="O305" s="1">
        <v>0.001294227</v>
      </c>
      <c r="P305" s="1">
        <v>0.001462918</v>
      </c>
      <c r="Q305" s="1">
        <v>0.001633675</v>
      </c>
      <c r="R305" s="1">
        <v>0.00180700199999999</v>
      </c>
      <c r="S305" s="1">
        <v>0.00197921299999999</v>
      </c>
    </row>
    <row r="306" ht="14.25" hidden="1" customHeight="1">
      <c r="A306" s="1" t="s">
        <v>5</v>
      </c>
      <c r="B306" s="1" t="s">
        <v>39</v>
      </c>
      <c r="C306" s="1" t="s">
        <v>17</v>
      </c>
      <c r="D306" s="1" t="s">
        <v>8</v>
      </c>
      <c r="E306" s="2">
        <v>1.18106E-5</v>
      </c>
      <c r="F306" s="2">
        <v>3.68049E-5</v>
      </c>
      <c r="G306" s="2">
        <v>5.59204E-5</v>
      </c>
      <c r="H306" s="2">
        <v>8.04388E-5</v>
      </c>
      <c r="I306" s="2">
        <v>5.68855999999999E-5</v>
      </c>
      <c r="J306" s="2">
        <v>2.204392E-4</v>
      </c>
      <c r="K306" s="2">
        <v>3.422451E-4</v>
      </c>
      <c r="L306" s="2">
        <v>4.801892E-4</v>
      </c>
      <c r="M306" s="2">
        <v>6.003102E-4</v>
      </c>
      <c r="N306" s="2">
        <v>7.118068E-4</v>
      </c>
      <c r="O306" s="2">
        <v>8.369629E-4</v>
      </c>
      <c r="P306" s="2">
        <v>9.41862999999999E-4</v>
      </c>
      <c r="Q306" s="1">
        <v>0.00104679049999999</v>
      </c>
      <c r="R306" s="1">
        <v>0.001152058</v>
      </c>
      <c r="S306" s="1">
        <v>0.00125553099999999</v>
      </c>
    </row>
    <row r="307" ht="14.25" hidden="1" customHeight="1">
      <c r="A307" s="1" t="s">
        <v>5</v>
      </c>
      <c r="B307" s="1" t="s">
        <v>39</v>
      </c>
      <c r="C307" s="1" t="s">
        <v>17</v>
      </c>
      <c r="D307" s="1" t="s">
        <v>20</v>
      </c>
      <c r="E307" s="2">
        <v>7.89474E-6</v>
      </c>
      <c r="F307" s="2">
        <v>2.47368E-5</v>
      </c>
      <c r="G307" s="2">
        <v>3.73684E-5</v>
      </c>
      <c r="H307" s="2">
        <v>4.68185E-5</v>
      </c>
      <c r="I307" s="2">
        <v>1.960644E-5</v>
      </c>
      <c r="J307" s="2">
        <v>1.0873246E-4</v>
      </c>
      <c r="K307" s="2">
        <v>1.703759E-4</v>
      </c>
      <c r="L307" s="2">
        <v>2.370707E-4</v>
      </c>
      <c r="M307" s="2">
        <v>2.951771E-4</v>
      </c>
      <c r="N307" s="2">
        <v>3.506637E-4</v>
      </c>
      <c r="O307" s="2">
        <v>4.118746E-4</v>
      </c>
      <c r="P307" s="2">
        <v>4.625236E-4</v>
      </c>
      <c r="Q307" s="2">
        <v>5.131807E-4</v>
      </c>
      <c r="R307" s="2">
        <v>5.639599E-4</v>
      </c>
      <c r="S307" s="2">
        <v>6.13762E-4</v>
      </c>
    </row>
    <row r="308" ht="14.25" hidden="1" customHeight="1">
      <c r="A308" s="1" t="s">
        <v>5</v>
      </c>
      <c r="B308" s="1" t="s">
        <v>39</v>
      </c>
      <c r="C308" s="1" t="s">
        <v>21</v>
      </c>
      <c r="D308" s="1" t="s">
        <v>10</v>
      </c>
      <c r="E308" s="2">
        <v>2.00505E-6</v>
      </c>
      <c r="F308" s="2">
        <v>6.32418E-6</v>
      </c>
      <c r="G308" s="2">
        <v>1.3797E-5</v>
      </c>
      <c r="H308" s="2">
        <v>9.288716E-6</v>
      </c>
      <c r="I308" s="2">
        <v>2.93709179999999E-6</v>
      </c>
      <c r="J308" s="2">
        <v>8.944252E-6</v>
      </c>
      <c r="K308" s="2">
        <v>1.66141252E-5</v>
      </c>
      <c r="L308" s="2">
        <v>2.959381E-5</v>
      </c>
      <c r="M308" s="2">
        <v>3.3888297E-5</v>
      </c>
      <c r="N308" s="2">
        <v>2.011707E-5</v>
      </c>
      <c r="O308" s="2">
        <v>2.644098E-5</v>
      </c>
      <c r="P308" s="2">
        <v>3.133301E-5</v>
      </c>
      <c r="Q308" s="2">
        <v>3.566545E-5</v>
      </c>
      <c r="R308" s="2">
        <v>4.070667E-5</v>
      </c>
      <c r="S308" s="2">
        <v>4.459648E-5</v>
      </c>
    </row>
    <row r="309" ht="14.25" hidden="1" customHeight="1">
      <c r="A309" s="1" t="s">
        <v>5</v>
      </c>
      <c r="B309" s="1" t="s">
        <v>39</v>
      </c>
      <c r="C309" s="1" t="s">
        <v>21</v>
      </c>
      <c r="D309" s="1" t="s">
        <v>11</v>
      </c>
      <c r="E309" s="2">
        <v>2.00064E-6</v>
      </c>
      <c r="F309" s="2">
        <v>6.29904E-6</v>
      </c>
      <c r="G309" s="2">
        <v>1.37988E-5</v>
      </c>
      <c r="H309" s="2">
        <v>5.2155018E-4</v>
      </c>
      <c r="I309" s="1">
        <v>0.001323454</v>
      </c>
      <c r="J309" s="2">
        <v>5.96152E-4</v>
      </c>
      <c r="K309" s="2">
        <v>6.495343E-4</v>
      </c>
      <c r="L309" s="2">
        <v>6.99617E-4</v>
      </c>
      <c r="M309" s="2">
        <v>6.7762E-4</v>
      </c>
      <c r="N309" s="2">
        <v>4.62897E-4</v>
      </c>
      <c r="O309" s="2">
        <v>5.1662E-4</v>
      </c>
      <c r="P309" s="2">
        <v>5.35678E-4</v>
      </c>
      <c r="Q309" s="2">
        <v>5.46825E-4</v>
      </c>
      <c r="R309" s="2">
        <v>5.88665E-4</v>
      </c>
      <c r="S309" s="2">
        <v>6.23878E-4</v>
      </c>
    </row>
    <row r="310" ht="14.25" hidden="1" customHeight="1">
      <c r="A310" s="1" t="s">
        <v>5</v>
      </c>
      <c r="B310" s="1" t="s">
        <v>39</v>
      </c>
      <c r="C310" s="1" t="s">
        <v>21</v>
      </c>
      <c r="D310" s="1" t="s">
        <v>22</v>
      </c>
      <c r="E310" s="2">
        <v>2.0E-6</v>
      </c>
      <c r="F310" s="2">
        <v>6.3E-6</v>
      </c>
      <c r="G310" s="2">
        <v>1.38E-5</v>
      </c>
      <c r="H310" s="2">
        <v>4.653072E-5</v>
      </c>
      <c r="I310" s="2">
        <v>7.72379E-5</v>
      </c>
      <c r="J310" s="2">
        <v>6.16702999999999E-5</v>
      </c>
      <c r="K310" s="2">
        <v>6.94675999999999E-5</v>
      </c>
      <c r="L310" s="2">
        <v>7.98935E-5</v>
      </c>
      <c r="M310" s="2">
        <v>7.97504E-5</v>
      </c>
      <c r="N310" s="2">
        <v>4.28469E-5</v>
      </c>
      <c r="O310" s="2">
        <v>5.672657E-5</v>
      </c>
      <c r="P310" s="2">
        <v>6.71096E-5</v>
      </c>
      <c r="Q310" s="2">
        <v>7.31763E-5</v>
      </c>
      <c r="R310" s="2">
        <v>8.05396E-5</v>
      </c>
      <c r="S310" s="2">
        <v>8.65868E-5</v>
      </c>
    </row>
    <row r="311" ht="14.25" hidden="1" customHeight="1">
      <c r="A311" s="1" t="s">
        <v>5</v>
      </c>
      <c r="B311" s="1" t="s">
        <v>39</v>
      </c>
      <c r="C311" s="1" t="s">
        <v>21</v>
      </c>
      <c r="D311" s="1" t="s">
        <v>23</v>
      </c>
      <c r="E311" s="2">
        <v>1.996612E-6</v>
      </c>
      <c r="F311" s="2">
        <v>6.28954E-6</v>
      </c>
      <c r="G311" s="2">
        <v>1.38019E-5</v>
      </c>
      <c r="H311" s="2">
        <v>7.740345E-5</v>
      </c>
      <c r="I311" s="2">
        <v>1.2404647E-4</v>
      </c>
      <c r="J311" s="2">
        <v>6.654024E-5</v>
      </c>
      <c r="K311" s="2">
        <v>6.584278E-5</v>
      </c>
      <c r="L311" s="2">
        <v>7.3741E-5</v>
      </c>
      <c r="M311" s="2">
        <v>7.394382E-5</v>
      </c>
      <c r="N311" s="2">
        <v>2.85107999999999E-5</v>
      </c>
      <c r="O311" s="2">
        <v>4.1474E-5</v>
      </c>
      <c r="P311" s="2">
        <v>6.20047E-5</v>
      </c>
      <c r="Q311" s="2">
        <v>8.20486E-5</v>
      </c>
      <c r="R311" s="2">
        <v>1.025153E-4</v>
      </c>
      <c r="S311" s="2">
        <v>1.250497E-4</v>
      </c>
    </row>
    <row r="312" ht="14.25" hidden="1" customHeight="1">
      <c r="A312" s="1" t="s">
        <v>5</v>
      </c>
      <c r="B312" s="1" t="s">
        <v>39</v>
      </c>
      <c r="C312" s="1" t="s">
        <v>21</v>
      </c>
      <c r="D312" s="1" t="s">
        <v>24</v>
      </c>
      <c r="E312" s="2">
        <v>7.98007E-7</v>
      </c>
      <c r="F312" s="2">
        <v>2.496579E-6</v>
      </c>
      <c r="G312" s="2">
        <v>5.50663E-6</v>
      </c>
      <c r="H312" s="2">
        <v>7.007379E-6</v>
      </c>
      <c r="I312" s="2">
        <v>4.740794E-6</v>
      </c>
      <c r="J312" s="2">
        <v>6.699206E-6</v>
      </c>
      <c r="K312" s="2">
        <v>6.972198E-6</v>
      </c>
      <c r="L312" s="2">
        <v>7.50697E-6</v>
      </c>
      <c r="M312" s="2">
        <v>6.88531E-6</v>
      </c>
      <c r="N312" s="2">
        <v>4.65189E-6</v>
      </c>
      <c r="O312" s="2">
        <v>5.245612E-6</v>
      </c>
      <c r="P312" s="2">
        <v>5.16131E-6</v>
      </c>
      <c r="Q312" s="2">
        <v>5.19556999999999E-6</v>
      </c>
      <c r="R312" s="2">
        <v>5.49669E-6</v>
      </c>
      <c r="S312" s="2">
        <v>5.73279999999999E-6</v>
      </c>
    </row>
    <row r="313" ht="14.25" hidden="1" customHeight="1">
      <c r="A313" s="1" t="s">
        <v>5</v>
      </c>
      <c r="B313" s="1" t="s">
        <v>39</v>
      </c>
      <c r="C313" s="1" t="s">
        <v>21</v>
      </c>
      <c r="D313" s="1" t="s">
        <v>12</v>
      </c>
      <c r="E313" s="2">
        <v>2.0E-7</v>
      </c>
      <c r="F313" s="2">
        <v>6.0E-7</v>
      </c>
      <c r="G313" s="2">
        <v>1.4E-6</v>
      </c>
      <c r="H313" s="2">
        <v>4.4961E-6</v>
      </c>
      <c r="I313" s="2">
        <v>9.46335E-6</v>
      </c>
      <c r="J313" s="2">
        <v>5.90311E-6</v>
      </c>
      <c r="K313" s="2">
        <v>6.42008E-6</v>
      </c>
      <c r="L313" s="2">
        <v>7.16494E-6</v>
      </c>
      <c r="M313" s="2">
        <v>7.08982E-6</v>
      </c>
      <c r="N313" s="2">
        <v>4.21883E-6</v>
      </c>
      <c r="O313" s="2">
        <v>5.28362E-6</v>
      </c>
      <c r="P313" s="2">
        <v>5.89355E-6</v>
      </c>
      <c r="Q313" s="2">
        <v>6.19313E-6</v>
      </c>
      <c r="R313" s="2">
        <v>6.70662E-6</v>
      </c>
      <c r="S313" s="2">
        <v>7.13019E-6</v>
      </c>
    </row>
    <row r="314" ht="14.25" hidden="1" customHeight="1">
      <c r="A314" s="1" t="s">
        <v>5</v>
      </c>
      <c r="B314" s="1" t="s">
        <v>39</v>
      </c>
      <c r="C314" s="1" t="s">
        <v>21</v>
      </c>
      <c r="D314" s="1" t="s">
        <v>13</v>
      </c>
      <c r="E314" s="2">
        <v>1.0461E-5</v>
      </c>
      <c r="F314" s="2">
        <v>3.25914E-5</v>
      </c>
      <c r="G314" s="2">
        <v>3.71E-5</v>
      </c>
      <c r="H314" s="2">
        <v>3.98814E-5</v>
      </c>
      <c r="I314" s="2">
        <v>2.625425E-5</v>
      </c>
      <c r="J314" s="2">
        <v>1.0433992E-4</v>
      </c>
      <c r="K314" s="2">
        <v>1.9492392E-4</v>
      </c>
      <c r="L314" s="2">
        <v>2.964603E-4</v>
      </c>
      <c r="M314" s="2">
        <v>4.069948E-4</v>
      </c>
      <c r="N314" s="2">
        <v>5.461894E-4</v>
      </c>
      <c r="O314" s="2">
        <v>6.993297E-4</v>
      </c>
      <c r="P314" s="2">
        <v>8.494028E-4</v>
      </c>
      <c r="Q314" s="2">
        <v>9.922805E-4</v>
      </c>
      <c r="R314" s="1">
        <v>0.0011225097</v>
      </c>
      <c r="S314" s="1">
        <v>0.0012454014</v>
      </c>
    </row>
    <row r="315" ht="14.25" hidden="1" customHeight="1">
      <c r="A315" s="1" t="s">
        <v>5</v>
      </c>
      <c r="B315" s="1" t="s">
        <v>39</v>
      </c>
      <c r="C315" s="1" t="s">
        <v>21</v>
      </c>
      <c r="D315" s="1" t="s">
        <v>14</v>
      </c>
      <c r="E315" s="2">
        <v>5.19496E-6</v>
      </c>
      <c r="F315" s="2">
        <v>1.63056E-5</v>
      </c>
      <c r="G315" s="2">
        <v>1.86228E-5</v>
      </c>
      <c r="H315" s="2">
        <v>8.06346E-5</v>
      </c>
      <c r="I315" s="2">
        <v>3.856938E-4</v>
      </c>
      <c r="J315" s="2">
        <v>2.56748E-4</v>
      </c>
      <c r="K315" s="2">
        <v>2.951668E-4</v>
      </c>
      <c r="L315" s="2">
        <v>2.62021E-4</v>
      </c>
      <c r="M315" s="2">
        <v>2.246719E-4</v>
      </c>
      <c r="N315" s="2">
        <v>2.174316E-4</v>
      </c>
      <c r="O315" s="2">
        <v>2.217995E-4</v>
      </c>
      <c r="P315" s="2">
        <v>2.365085E-4</v>
      </c>
      <c r="Q315" s="2">
        <v>2.519408E-4</v>
      </c>
      <c r="R315" s="2">
        <v>2.680267E-4</v>
      </c>
      <c r="S315" s="2">
        <v>2.85493E-4</v>
      </c>
    </row>
    <row r="316" ht="14.25" hidden="1" customHeight="1">
      <c r="A316" s="1" t="s">
        <v>5</v>
      </c>
      <c r="B316" s="1" t="s">
        <v>39</v>
      </c>
      <c r="C316" s="1" t="s">
        <v>21</v>
      </c>
      <c r="D316" s="1" t="s">
        <v>25</v>
      </c>
      <c r="E316" s="2">
        <v>5.2E-6</v>
      </c>
      <c r="F316" s="2">
        <v>1.63E-5</v>
      </c>
      <c r="G316" s="2">
        <v>1.86E-5</v>
      </c>
      <c r="H316" s="2">
        <v>2.83553999999999E-5</v>
      </c>
      <c r="I316" s="2">
        <v>5.75003999999999E-5</v>
      </c>
      <c r="J316" s="2">
        <v>3.85266E-5</v>
      </c>
      <c r="K316" s="2">
        <v>4.78940599999999E-5</v>
      </c>
      <c r="L316" s="2">
        <v>5.62763E-5</v>
      </c>
      <c r="M316" s="2">
        <v>6.93138E-5</v>
      </c>
      <c r="N316" s="2">
        <v>8.83139E-5</v>
      </c>
      <c r="O316" s="2">
        <v>1.066644E-4</v>
      </c>
      <c r="P316" s="2">
        <v>1.265348E-4</v>
      </c>
      <c r="Q316" s="2">
        <v>1.466479E-4</v>
      </c>
      <c r="R316" s="2">
        <v>1.665536E-4</v>
      </c>
      <c r="S316" s="2">
        <v>1.851561E-4</v>
      </c>
    </row>
    <row r="317" ht="14.25" hidden="1" customHeight="1">
      <c r="A317" s="1" t="s">
        <v>5</v>
      </c>
      <c r="B317" s="1" t="s">
        <v>39</v>
      </c>
      <c r="C317" s="1" t="s">
        <v>21</v>
      </c>
      <c r="D317" s="1" t="s">
        <v>26</v>
      </c>
      <c r="E317" s="2">
        <v>5.21606E-6</v>
      </c>
      <c r="F317" s="2">
        <v>1.630468E-5</v>
      </c>
      <c r="G317" s="2">
        <v>1.860101E-5</v>
      </c>
      <c r="H317" s="2">
        <v>3.73803499999999E-5</v>
      </c>
      <c r="I317" s="2">
        <v>4.7645752E-5</v>
      </c>
      <c r="J317" s="2">
        <v>4.20636439999999E-5</v>
      </c>
      <c r="K317" s="2">
        <v>5.097316E-5</v>
      </c>
      <c r="L317" s="2">
        <v>6.033974E-5</v>
      </c>
      <c r="M317" s="2">
        <v>7.727339E-5</v>
      </c>
      <c r="N317" s="2">
        <v>1.053643E-4</v>
      </c>
      <c r="O317" s="2">
        <v>1.331757E-4</v>
      </c>
      <c r="P317" s="2">
        <v>1.68703E-4</v>
      </c>
      <c r="Q317" s="2">
        <v>2.10703E-4</v>
      </c>
      <c r="R317" s="2">
        <v>2.596479E-4</v>
      </c>
      <c r="S317" s="2">
        <v>3.139687E-4</v>
      </c>
    </row>
    <row r="318" ht="14.25" hidden="1" customHeight="1">
      <c r="A318" s="1" t="s">
        <v>5</v>
      </c>
      <c r="B318" s="1" t="s">
        <v>39</v>
      </c>
      <c r="C318" s="1" t="s">
        <v>21</v>
      </c>
      <c r="D318" s="1" t="s">
        <v>27</v>
      </c>
      <c r="E318" s="2">
        <v>4.199413E-6</v>
      </c>
      <c r="F318" s="2">
        <v>1.300039E-5</v>
      </c>
      <c r="G318" s="2">
        <v>1.480168E-5</v>
      </c>
      <c r="H318" s="2">
        <v>3.205627E-5</v>
      </c>
      <c r="I318" s="2">
        <v>3.025415E-5</v>
      </c>
      <c r="J318" s="2">
        <v>7.44483249999999E-5</v>
      </c>
      <c r="K318" s="2">
        <v>1.10403929999999E-4</v>
      </c>
      <c r="L318" s="2">
        <v>1.50215799999999E-4</v>
      </c>
      <c r="M318" s="2">
        <v>1.908496E-4</v>
      </c>
      <c r="N318" s="2">
        <v>2.325648E-4</v>
      </c>
      <c r="O318" s="2">
        <v>2.706309E-4</v>
      </c>
      <c r="P318" s="2">
        <v>3.113559E-4</v>
      </c>
      <c r="Q318" s="2">
        <v>3.519574E-4</v>
      </c>
      <c r="R318" s="2">
        <v>3.891023E-4</v>
      </c>
      <c r="S318" s="2">
        <v>4.24392E-4</v>
      </c>
    </row>
    <row r="319" ht="14.25" hidden="1" customHeight="1">
      <c r="A319" s="1" t="s">
        <v>5</v>
      </c>
      <c r="B319" s="1" t="s">
        <v>39</v>
      </c>
      <c r="C319" s="1" t="s">
        <v>21</v>
      </c>
      <c r="D319" s="1" t="s">
        <v>28</v>
      </c>
      <c r="E319" s="2">
        <v>5.0E-7</v>
      </c>
      <c r="F319" s="2">
        <v>1.6E-6</v>
      </c>
      <c r="G319" s="2">
        <v>1.9E-6</v>
      </c>
      <c r="H319" s="2">
        <v>2.16825E-6</v>
      </c>
      <c r="I319" s="2">
        <v>3.73965E-6</v>
      </c>
      <c r="J319" s="2">
        <v>4.05366E-6</v>
      </c>
      <c r="K319" s="2">
        <v>5.38359E-6</v>
      </c>
      <c r="L319" s="2">
        <v>6.59449E-6</v>
      </c>
      <c r="M319" s="2">
        <v>7.67174E-6</v>
      </c>
      <c r="N319" s="2">
        <v>9.16223E-6</v>
      </c>
      <c r="O319" s="2">
        <v>1.0685E-5</v>
      </c>
      <c r="P319" s="2">
        <v>1.21075E-5</v>
      </c>
      <c r="Q319" s="2">
        <v>1.35044E-5</v>
      </c>
      <c r="R319" s="2">
        <v>1.48373E-5</v>
      </c>
      <c r="S319" s="2">
        <v>1.60619E-5</v>
      </c>
    </row>
    <row r="320" ht="14.25" hidden="1" customHeight="1">
      <c r="A320" s="1" t="s">
        <v>5</v>
      </c>
      <c r="B320" s="1" t="s">
        <v>39</v>
      </c>
      <c r="C320" s="1" t="s">
        <v>29</v>
      </c>
      <c r="D320" s="1" t="s">
        <v>16</v>
      </c>
      <c r="E320" s="2">
        <v>1.55387E-4</v>
      </c>
      <c r="F320" s="2">
        <v>2.98152E-4</v>
      </c>
      <c r="G320" s="2">
        <v>5.43242E-5</v>
      </c>
      <c r="H320" s="2">
        <v>4.345524E-5</v>
      </c>
      <c r="I320" s="2">
        <v>4.252787E-5</v>
      </c>
      <c r="J320" s="2">
        <v>7.04540799999999E-5</v>
      </c>
      <c r="K320" s="2">
        <v>1.1149531E-4</v>
      </c>
      <c r="L320" s="2">
        <v>1.5865526E-4</v>
      </c>
      <c r="M320" s="2">
        <v>1.86137115999999E-4</v>
      </c>
      <c r="N320" s="2">
        <v>2.09547282999999E-4</v>
      </c>
      <c r="O320" s="2">
        <v>2.3295576E-4</v>
      </c>
      <c r="P320" s="2">
        <v>2.496307E-4</v>
      </c>
      <c r="Q320" s="2">
        <v>2.68532709999999E-4</v>
      </c>
      <c r="R320" s="2">
        <v>2.8951131E-4</v>
      </c>
      <c r="S320" s="2">
        <v>3.0923041E-4</v>
      </c>
    </row>
    <row r="321" ht="14.25" hidden="1" customHeight="1">
      <c r="A321" s="1" t="s">
        <v>5</v>
      </c>
      <c r="B321" s="1" t="s">
        <v>39</v>
      </c>
      <c r="C321" s="1" t="s">
        <v>29</v>
      </c>
      <c r="D321" s="1" t="s">
        <v>8</v>
      </c>
      <c r="E321" s="2">
        <v>3.8835E-5</v>
      </c>
      <c r="F321" s="2">
        <v>7.46099E-5</v>
      </c>
      <c r="G321" s="2">
        <v>1.3605E-5</v>
      </c>
      <c r="H321" s="2">
        <v>1.05423762E-5</v>
      </c>
      <c r="I321" s="2">
        <v>9.56279579999999E-6</v>
      </c>
      <c r="J321" s="2">
        <v>2.48602628E-5</v>
      </c>
      <c r="K321" s="2">
        <v>4.03019581E-5</v>
      </c>
      <c r="L321" s="2">
        <v>5.92555444E-5</v>
      </c>
      <c r="M321" s="2">
        <v>7.333727645E-5</v>
      </c>
      <c r="N321" s="2">
        <v>8.9471659E-5</v>
      </c>
      <c r="O321" s="2">
        <v>1.04639269999999E-4</v>
      </c>
      <c r="P321" s="2">
        <v>1.1602444E-4</v>
      </c>
      <c r="Q321" s="2">
        <v>1.2750358E-4</v>
      </c>
      <c r="R321" s="2">
        <v>1.3889156E-4</v>
      </c>
      <c r="S321" s="2">
        <v>1.4975367E-4</v>
      </c>
    </row>
    <row r="322" ht="14.25" hidden="1" customHeight="1">
      <c r="A322" s="1" t="s">
        <v>5</v>
      </c>
      <c r="B322" s="1" t="s">
        <v>39</v>
      </c>
      <c r="C322" s="1" t="s">
        <v>29</v>
      </c>
      <c r="D322" s="1" t="s">
        <v>10</v>
      </c>
      <c r="E322" s="2">
        <v>1.3133E-5</v>
      </c>
      <c r="F322" s="2">
        <v>2.52967E-5</v>
      </c>
      <c r="G322" s="2">
        <v>2.92936E-5</v>
      </c>
      <c r="H322" s="2">
        <v>6.86273E-5</v>
      </c>
      <c r="I322" s="2">
        <v>2.430326E-5</v>
      </c>
      <c r="J322" s="2">
        <v>4.991866E-5</v>
      </c>
      <c r="K322" s="2">
        <v>4.352985E-5</v>
      </c>
      <c r="L322" s="2">
        <v>3.936897E-5</v>
      </c>
      <c r="M322" s="2">
        <v>2.880384E-5</v>
      </c>
      <c r="N322" s="2">
        <v>1.77479599999999E-5</v>
      </c>
      <c r="O322" s="2">
        <v>1.6274806E-5</v>
      </c>
      <c r="P322" s="2">
        <v>1.429347E-5</v>
      </c>
      <c r="Q322" s="2">
        <v>1.291865E-5</v>
      </c>
      <c r="R322" s="2">
        <v>1.2451712E-5</v>
      </c>
      <c r="S322" s="2">
        <v>1.303262E-5</v>
      </c>
    </row>
    <row r="323" ht="14.25" hidden="1" customHeight="1">
      <c r="A323" s="1" t="s">
        <v>5</v>
      </c>
      <c r="B323" s="1" t="s">
        <v>39</v>
      </c>
      <c r="C323" s="1" t="s">
        <v>29</v>
      </c>
      <c r="D323" s="1" t="s">
        <v>11</v>
      </c>
      <c r="E323" s="2">
        <v>1.5705E-5</v>
      </c>
      <c r="F323" s="2">
        <v>3.01954E-5</v>
      </c>
      <c r="G323" s="2">
        <v>3.5197E-5</v>
      </c>
      <c r="H323" s="2">
        <v>2.71681E-5</v>
      </c>
      <c r="I323" s="2">
        <v>2.28016E-5</v>
      </c>
      <c r="J323" s="2">
        <v>1.8008439E-5</v>
      </c>
      <c r="K323" s="2">
        <v>2.093161E-5</v>
      </c>
      <c r="L323" s="2">
        <v>3.2578015E-5</v>
      </c>
      <c r="M323" s="2">
        <v>4.219605E-5</v>
      </c>
      <c r="N323" s="2">
        <v>4.63716339999999E-5</v>
      </c>
      <c r="O323" s="2">
        <v>5.68935195E-5</v>
      </c>
      <c r="P323" s="2">
        <v>6.09211499999999E-5</v>
      </c>
      <c r="Q323" s="2">
        <v>6.521529E-5</v>
      </c>
      <c r="R323" s="2">
        <v>6.968434E-5</v>
      </c>
      <c r="S323" s="2">
        <v>7.39571299999999E-5</v>
      </c>
    </row>
    <row r="324" ht="14.25" hidden="1" customHeight="1">
      <c r="A324" s="1" t="s">
        <v>5</v>
      </c>
      <c r="B324" s="1" t="s">
        <v>39</v>
      </c>
      <c r="C324" s="1" t="s">
        <v>29</v>
      </c>
      <c r="D324" s="1" t="s">
        <v>13</v>
      </c>
      <c r="E324" s="2">
        <v>2.0922E-5</v>
      </c>
      <c r="F324" s="2">
        <v>4.02893E-5</v>
      </c>
      <c r="G324" s="2">
        <v>2.43E-5</v>
      </c>
      <c r="H324" s="2">
        <v>1.67718899999999E-4</v>
      </c>
      <c r="I324" s="2">
        <v>1.329202E-4</v>
      </c>
      <c r="J324" s="2">
        <v>2.19496E-4</v>
      </c>
      <c r="K324" s="2">
        <v>3.536416E-4</v>
      </c>
      <c r="L324" s="2">
        <v>5.2156253E-4</v>
      </c>
      <c r="M324" s="2">
        <v>6.52667E-4</v>
      </c>
      <c r="N324" s="2">
        <v>7.517989E-4</v>
      </c>
      <c r="O324" s="2">
        <v>8.486665E-4</v>
      </c>
      <c r="P324" s="2">
        <v>9.272123E-4</v>
      </c>
      <c r="Q324" s="1">
        <v>0.001015046</v>
      </c>
      <c r="R324" s="1">
        <v>0.0011013183</v>
      </c>
      <c r="S324" s="1">
        <v>0.0011826035</v>
      </c>
    </row>
    <row r="325" ht="14.25" hidden="1" customHeight="1">
      <c r="A325" s="1" t="s">
        <v>5</v>
      </c>
      <c r="B325" s="1" t="s">
        <v>39</v>
      </c>
      <c r="C325" s="1" t="s">
        <v>29</v>
      </c>
      <c r="D325" s="1" t="s">
        <v>14</v>
      </c>
      <c r="E325" s="2">
        <v>1.38566E-4</v>
      </c>
      <c r="F325" s="2">
        <v>2.66391E-4</v>
      </c>
      <c r="G325" s="2">
        <v>1.60496E-4</v>
      </c>
      <c r="H325" s="2">
        <v>1.23885E-4</v>
      </c>
      <c r="I325" s="2">
        <v>1.03974E-4</v>
      </c>
      <c r="J325" s="2">
        <v>8.732351E-5</v>
      </c>
      <c r="K325" s="2">
        <v>1.2993578E-4</v>
      </c>
      <c r="L325" s="2">
        <v>2.1454564E-4</v>
      </c>
      <c r="M325" s="2">
        <v>2.8124216E-4</v>
      </c>
      <c r="N325" s="2">
        <v>3.5741927E-4</v>
      </c>
      <c r="O325" s="2">
        <v>4.32945427E-4</v>
      </c>
      <c r="P325" s="2">
        <v>4.9366352E-4</v>
      </c>
      <c r="Q325" s="2">
        <v>5.501585E-4</v>
      </c>
      <c r="R325" s="2">
        <v>6.057163E-4</v>
      </c>
      <c r="S325" s="2">
        <v>6.583931E-4</v>
      </c>
    </row>
    <row r="326" ht="14.25" hidden="1" customHeight="1">
      <c r="A326" s="1" t="s">
        <v>5</v>
      </c>
      <c r="B326" s="1" t="s">
        <v>39</v>
      </c>
      <c r="C326" s="1" t="s">
        <v>31</v>
      </c>
      <c r="D326" s="1" t="s">
        <v>11</v>
      </c>
      <c r="E326" s="1">
        <v>0.00161051</v>
      </c>
      <c r="F326" s="1">
        <v>0.00188611</v>
      </c>
      <c r="G326" s="1">
        <v>0.00200483</v>
      </c>
      <c r="H326" s="1">
        <v>0.0</v>
      </c>
      <c r="I326" s="2">
        <v>6.93093E-7</v>
      </c>
      <c r="J326" s="2">
        <v>2.04571E-6</v>
      </c>
      <c r="K326" s="2">
        <v>3.16419E-5</v>
      </c>
      <c r="L326" s="2">
        <v>4.9662E-5</v>
      </c>
      <c r="M326" s="2">
        <v>4.47667E-5</v>
      </c>
      <c r="N326" s="2">
        <v>1.07805E-5</v>
      </c>
      <c r="O326" s="1">
        <v>0.0</v>
      </c>
      <c r="P326" s="1">
        <v>0.0</v>
      </c>
      <c r="Q326" s="1">
        <v>0.0</v>
      </c>
      <c r="R326" s="1">
        <v>0.0</v>
      </c>
      <c r="S326" s="1">
        <v>0.0</v>
      </c>
    </row>
    <row r="327" ht="14.25" hidden="1" customHeight="1">
      <c r="A327" s="1" t="s">
        <v>5</v>
      </c>
      <c r="B327" s="1" t="s">
        <v>40</v>
      </c>
      <c r="C327" s="1" t="s">
        <v>7</v>
      </c>
      <c r="D327" s="1" t="s">
        <v>8</v>
      </c>
      <c r="E327" s="2">
        <v>8.64135E-5</v>
      </c>
      <c r="F327" s="2">
        <v>1.10043E-4</v>
      </c>
      <c r="G327" s="2">
        <v>1.17748E-4</v>
      </c>
      <c r="H327" s="2">
        <v>2.6967E-6</v>
      </c>
      <c r="I327" s="2">
        <v>6.99566E-7</v>
      </c>
      <c r="J327" s="2">
        <v>3.75243E-7</v>
      </c>
      <c r="K327" s="2">
        <v>2.83205E-7</v>
      </c>
      <c r="L327" s="2">
        <v>2.5017E-7</v>
      </c>
      <c r="M327" s="2">
        <v>1.71323E-7</v>
      </c>
      <c r="N327" s="2">
        <v>9.82053E-8</v>
      </c>
      <c r="O327" s="1">
        <v>0.0</v>
      </c>
      <c r="P327" s="1">
        <v>0.0</v>
      </c>
      <c r="Q327" s="1">
        <v>0.0</v>
      </c>
      <c r="R327" s="1">
        <v>0.0</v>
      </c>
      <c r="S327" s="1">
        <v>0.0</v>
      </c>
    </row>
    <row r="328" ht="14.25" hidden="1" customHeight="1">
      <c r="A328" s="1" t="s">
        <v>5</v>
      </c>
      <c r="B328" s="1" t="s">
        <v>40</v>
      </c>
      <c r="C328" s="1" t="s">
        <v>9</v>
      </c>
      <c r="D328" s="1" t="s">
        <v>8</v>
      </c>
      <c r="E328" s="2">
        <v>6.09095E-5</v>
      </c>
      <c r="F328" s="2">
        <v>5.34207E-5</v>
      </c>
      <c r="G328" s="2">
        <v>7.86321E-5</v>
      </c>
      <c r="H328" s="2">
        <v>9.33343E-7</v>
      </c>
      <c r="I328" s="2">
        <v>1.24041E-4</v>
      </c>
      <c r="J328" s="1">
        <v>0.0</v>
      </c>
      <c r="K328" s="1">
        <v>0.0</v>
      </c>
      <c r="L328" s="1">
        <v>0.0</v>
      </c>
      <c r="M328" s="1">
        <v>0.0</v>
      </c>
      <c r="N328" s="1">
        <v>0.0</v>
      </c>
      <c r="O328" s="1">
        <v>0.0</v>
      </c>
      <c r="P328" s="1">
        <v>0.0</v>
      </c>
      <c r="Q328" s="1">
        <v>0.0</v>
      </c>
      <c r="R328" s="1">
        <v>0.0</v>
      </c>
      <c r="S328" s="1">
        <v>0.0</v>
      </c>
    </row>
    <row r="329" ht="14.25" hidden="1" customHeight="1">
      <c r="A329" s="1" t="s">
        <v>5</v>
      </c>
      <c r="B329" s="1" t="s">
        <v>40</v>
      </c>
      <c r="C329" s="1" t="s">
        <v>9</v>
      </c>
      <c r="D329" s="1" t="s">
        <v>10</v>
      </c>
      <c r="E329" s="1">
        <v>0.0</v>
      </c>
      <c r="F329" s="1">
        <v>0.0</v>
      </c>
      <c r="G329" s="2">
        <v>1.46004E-5</v>
      </c>
      <c r="H329" s="1">
        <v>0.0</v>
      </c>
      <c r="I329" s="1">
        <v>0.0</v>
      </c>
      <c r="J329" s="2">
        <v>1.37431E-4</v>
      </c>
      <c r="K329" s="1">
        <v>0.0</v>
      </c>
      <c r="L329" s="1">
        <v>0.0</v>
      </c>
      <c r="M329" s="1">
        <v>0.0</v>
      </c>
      <c r="N329" s="1">
        <v>0.0</v>
      </c>
      <c r="O329" s="1">
        <v>0.0</v>
      </c>
      <c r="P329" s="1">
        <v>0.0</v>
      </c>
      <c r="Q329" s="1">
        <v>0.0</v>
      </c>
      <c r="R329" s="1">
        <v>0.0</v>
      </c>
      <c r="S329" s="1">
        <v>0.0</v>
      </c>
    </row>
    <row r="330" ht="14.25" hidden="1" customHeight="1">
      <c r="A330" s="1" t="s">
        <v>5</v>
      </c>
      <c r="B330" s="1" t="s">
        <v>40</v>
      </c>
      <c r="C330" s="1" t="s">
        <v>9</v>
      </c>
      <c r="D330" s="1" t="s">
        <v>11</v>
      </c>
      <c r="E330" s="1">
        <v>0.0</v>
      </c>
      <c r="F330" s="1">
        <v>0.0</v>
      </c>
      <c r="G330" s="2">
        <v>1.45981E-5</v>
      </c>
      <c r="H330" s="1">
        <v>0.0</v>
      </c>
      <c r="I330" s="1">
        <v>0.0</v>
      </c>
      <c r="J330" s="1">
        <v>0.0</v>
      </c>
      <c r="K330" s="1">
        <v>0.0</v>
      </c>
      <c r="L330" s="1">
        <v>0.0</v>
      </c>
      <c r="M330" s="1">
        <v>0.0</v>
      </c>
      <c r="N330" s="1">
        <v>0.0</v>
      </c>
      <c r="O330" s="1">
        <v>0.0</v>
      </c>
      <c r="P330" s="1">
        <v>0.0</v>
      </c>
      <c r="Q330" s="1">
        <v>0.0</v>
      </c>
      <c r="R330" s="1">
        <v>0.0</v>
      </c>
      <c r="S330" s="1">
        <v>0.0</v>
      </c>
    </row>
    <row r="331" ht="14.25" hidden="1" customHeight="1">
      <c r="A331" s="1" t="s">
        <v>5</v>
      </c>
      <c r="B331" s="1" t="s">
        <v>40</v>
      </c>
      <c r="C331" s="1" t="s">
        <v>9</v>
      </c>
      <c r="D331" s="1" t="s">
        <v>12</v>
      </c>
      <c r="E331" s="1">
        <v>0.0</v>
      </c>
      <c r="F331" s="1">
        <v>0.0</v>
      </c>
      <c r="G331" s="2">
        <v>1.49445E-6</v>
      </c>
      <c r="H331" s="1">
        <v>0.0</v>
      </c>
      <c r="I331" s="1">
        <v>0.0</v>
      </c>
      <c r="J331" s="1">
        <v>0.0</v>
      </c>
      <c r="K331" s="1">
        <v>0.0</v>
      </c>
      <c r="L331" s="1">
        <v>0.0</v>
      </c>
      <c r="M331" s="1">
        <v>0.0</v>
      </c>
      <c r="N331" s="1">
        <v>0.0</v>
      </c>
      <c r="O331" s="1">
        <v>0.0</v>
      </c>
      <c r="P331" s="1">
        <v>0.0</v>
      </c>
      <c r="Q331" s="1">
        <v>0.0</v>
      </c>
      <c r="R331" s="1">
        <v>0.0</v>
      </c>
      <c r="S331" s="1">
        <v>0.0</v>
      </c>
    </row>
    <row r="332" ht="14.25" hidden="1" customHeight="1">
      <c r="A332" s="1" t="s">
        <v>5</v>
      </c>
      <c r="B332" s="1" t="s">
        <v>40</v>
      </c>
      <c r="C332" s="1" t="s">
        <v>9</v>
      </c>
      <c r="D332" s="1" t="s">
        <v>13</v>
      </c>
      <c r="E332" s="1">
        <v>0.0</v>
      </c>
      <c r="F332" s="1">
        <v>0.0</v>
      </c>
      <c r="G332" s="1">
        <v>0.0</v>
      </c>
      <c r="H332" s="2">
        <v>2.77893E-5</v>
      </c>
      <c r="I332" s="1">
        <v>0.0</v>
      </c>
      <c r="J332" s="1">
        <v>0.0</v>
      </c>
      <c r="K332" s="1">
        <v>0.0</v>
      </c>
      <c r="L332" s="1">
        <v>0.0</v>
      </c>
      <c r="M332" s="1">
        <v>0.0</v>
      </c>
      <c r="N332" s="1">
        <v>0.0</v>
      </c>
      <c r="O332" s="1">
        <v>0.0</v>
      </c>
      <c r="P332" s="1">
        <v>0.0</v>
      </c>
      <c r="Q332" s="1">
        <v>0.0</v>
      </c>
      <c r="R332" s="1">
        <v>0.0</v>
      </c>
      <c r="S332" s="1">
        <v>0.0</v>
      </c>
    </row>
    <row r="333" ht="14.25" hidden="1" customHeight="1">
      <c r="A333" s="1" t="s">
        <v>5</v>
      </c>
      <c r="B333" s="1" t="s">
        <v>40</v>
      </c>
      <c r="C333" s="1" t="s">
        <v>15</v>
      </c>
      <c r="D333" s="1" t="s">
        <v>16</v>
      </c>
      <c r="E333" s="1">
        <v>0.0</v>
      </c>
      <c r="F333" s="1">
        <v>0.0</v>
      </c>
      <c r="G333" s="1">
        <v>0.0</v>
      </c>
      <c r="H333" s="1">
        <v>0.0</v>
      </c>
      <c r="I333" s="2">
        <v>1.15323E-6</v>
      </c>
      <c r="J333" s="2">
        <v>5.741275E-5</v>
      </c>
      <c r="K333" s="2">
        <v>1.81683883E-4</v>
      </c>
      <c r="L333" s="2">
        <v>3.72351213E-4</v>
      </c>
      <c r="M333" s="2">
        <v>5.98431743E-4</v>
      </c>
      <c r="N333" s="2">
        <v>7.95022581E-4</v>
      </c>
      <c r="O333" s="2">
        <v>9.8428145E-4</v>
      </c>
      <c r="P333" s="1">
        <v>0.0011560746</v>
      </c>
      <c r="Q333" s="1">
        <v>0.00131788459999999</v>
      </c>
      <c r="R333" s="1">
        <v>0.0014678657</v>
      </c>
      <c r="S333" s="1">
        <v>0.00161051879999999</v>
      </c>
    </row>
    <row r="334" ht="14.25" customHeight="1">
      <c r="A334" s="1" t="s">
        <v>5</v>
      </c>
      <c r="B334" s="1" t="s">
        <v>40</v>
      </c>
      <c r="C334" s="1" t="s">
        <v>15</v>
      </c>
      <c r="D334" s="1" t="s">
        <v>14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2">
        <v>1.54487E-7</v>
      </c>
      <c r="L334" s="2">
        <v>4.79425141E-4</v>
      </c>
      <c r="M334" s="2">
        <v>9.65270185E-4</v>
      </c>
      <c r="N334" s="1">
        <v>0.0012203912437</v>
      </c>
      <c r="O334" s="1">
        <v>0.001420012302</v>
      </c>
      <c r="P334" s="1">
        <v>0.0015401873462</v>
      </c>
      <c r="Q334" s="1">
        <v>0.0016421842</v>
      </c>
      <c r="R334" s="1">
        <v>0.0017343637</v>
      </c>
      <c r="S334" s="1">
        <v>0.0018310473</v>
      </c>
    </row>
    <row r="335" ht="14.25" hidden="1" customHeight="1">
      <c r="A335" s="1" t="s">
        <v>5</v>
      </c>
      <c r="B335" s="1" t="s">
        <v>40</v>
      </c>
      <c r="C335" s="1" t="s">
        <v>17</v>
      </c>
      <c r="D335" s="1" t="s">
        <v>16</v>
      </c>
      <c r="E335" s="2">
        <v>1.03004E-5</v>
      </c>
      <c r="F335" s="2">
        <v>3.20003E-5</v>
      </c>
      <c r="G335" s="2">
        <v>4.80026E-5</v>
      </c>
      <c r="H335" s="2">
        <v>1.243904E-4</v>
      </c>
      <c r="I335" s="2">
        <v>2.054707E-4</v>
      </c>
      <c r="J335" s="2">
        <v>2.862455E-4</v>
      </c>
      <c r="K335" s="2">
        <v>3.18253699999999E-4</v>
      </c>
      <c r="L335" s="2">
        <v>3.0991114E-4</v>
      </c>
      <c r="M335" s="2">
        <v>3.058645E-4</v>
      </c>
      <c r="N335" s="2">
        <v>3.02565E-4</v>
      </c>
      <c r="O335" s="2">
        <v>3.110552E-4</v>
      </c>
      <c r="P335" s="2">
        <v>3.372642E-4</v>
      </c>
      <c r="Q335" s="2">
        <v>3.70100129999999E-4</v>
      </c>
      <c r="R335" s="2">
        <v>4.082176E-4</v>
      </c>
      <c r="S335" s="2">
        <v>4.474765E-4</v>
      </c>
    </row>
    <row r="336" ht="14.25" hidden="1" customHeight="1">
      <c r="A336" s="1" t="s">
        <v>5</v>
      </c>
      <c r="B336" s="1" t="s">
        <v>40</v>
      </c>
      <c r="C336" s="1" t="s">
        <v>17</v>
      </c>
      <c r="D336" s="1" t="s">
        <v>18</v>
      </c>
      <c r="E336" s="2">
        <v>1.38E-4</v>
      </c>
      <c r="F336" s="2">
        <v>4.29308E-4</v>
      </c>
      <c r="G336" s="2">
        <v>6.43E-4</v>
      </c>
      <c r="H336" s="2">
        <v>5.80069E-4</v>
      </c>
      <c r="I336" s="2">
        <v>1.01703E-4</v>
      </c>
      <c r="J336" s="2">
        <v>9.98104E-4</v>
      </c>
      <c r="K336" s="1">
        <v>0.001271583</v>
      </c>
      <c r="L336" s="1">
        <v>0.0015847251</v>
      </c>
      <c r="M336" s="1">
        <v>0.00188705599999999</v>
      </c>
      <c r="N336" s="1">
        <v>0.002190015</v>
      </c>
      <c r="O336" s="1">
        <v>0.0024626345</v>
      </c>
      <c r="P336" s="1">
        <v>0.0027078099</v>
      </c>
      <c r="Q336" s="1">
        <v>0.0029337516</v>
      </c>
      <c r="R336" s="1">
        <v>0.0031392631</v>
      </c>
      <c r="S336" s="1">
        <v>0.00331345829999999</v>
      </c>
    </row>
    <row r="337" ht="14.25" hidden="1" customHeight="1">
      <c r="A337" s="1" t="s">
        <v>5</v>
      </c>
      <c r="B337" s="1" t="s">
        <v>40</v>
      </c>
      <c r="C337" s="1" t="s">
        <v>17</v>
      </c>
      <c r="D337" s="1" t="s">
        <v>19</v>
      </c>
      <c r="E337" s="2">
        <v>6.38012E-5</v>
      </c>
      <c r="F337" s="2">
        <v>1.98601E-4</v>
      </c>
      <c r="G337" s="2">
        <v>2.97503E-4</v>
      </c>
      <c r="H337" s="2">
        <v>2.840109E-4</v>
      </c>
      <c r="I337" s="2">
        <v>4.41727E-5</v>
      </c>
      <c r="J337" s="2">
        <v>4.633196E-4</v>
      </c>
      <c r="K337" s="2">
        <v>5.830653E-4</v>
      </c>
      <c r="L337" s="2">
        <v>7.23118E-4</v>
      </c>
      <c r="M337" s="2">
        <v>8.547994E-4</v>
      </c>
      <c r="N337" s="2">
        <v>9.979672E-4</v>
      </c>
      <c r="O337" s="1">
        <v>0.0011455502</v>
      </c>
      <c r="P337" s="1">
        <v>0.00129265899999999</v>
      </c>
      <c r="Q337" s="1">
        <v>0.001437504</v>
      </c>
      <c r="R337" s="1">
        <v>0.001578043</v>
      </c>
      <c r="S337" s="1">
        <v>0.001710961</v>
      </c>
    </row>
    <row r="338" ht="14.25" hidden="1" customHeight="1">
      <c r="A338" s="1" t="s">
        <v>5</v>
      </c>
      <c r="B338" s="1" t="s">
        <v>40</v>
      </c>
      <c r="C338" s="1" t="s">
        <v>17</v>
      </c>
      <c r="D338" s="1" t="s">
        <v>8</v>
      </c>
      <c r="E338" s="2">
        <v>2.88045E-5</v>
      </c>
      <c r="F338" s="2">
        <v>8.97347E-5</v>
      </c>
      <c r="G338" s="2">
        <v>1.34455E-4</v>
      </c>
      <c r="H338" s="2">
        <v>1.506381E-4</v>
      </c>
      <c r="I338" s="2">
        <v>1.05797199999999E-4</v>
      </c>
      <c r="J338" s="2">
        <v>3.154081E-4</v>
      </c>
      <c r="K338" s="2">
        <v>4.138768E-4</v>
      </c>
      <c r="L338" s="2">
        <v>5.26002E-4</v>
      </c>
      <c r="M338" s="2">
        <v>6.322281E-4</v>
      </c>
      <c r="N338" s="2">
        <v>7.375102E-4</v>
      </c>
      <c r="O338" s="2">
        <v>8.453116E-4</v>
      </c>
      <c r="P338" s="2">
        <v>9.487001E-4</v>
      </c>
      <c r="Q338" s="1">
        <v>0.0010488466</v>
      </c>
      <c r="R338" s="1">
        <v>0.001144398</v>
      </c>
      <c r="S338" s="1">
        <v>0.001233451</v>
      </c>
    </row>
    <row r="339" ht="14.25" hidden="1" customHeight="1">
      <c r="A339" s="1" t="s">
        <v>5</v>
      </c>
      <c r="B339" s="1" t="s">
        <v>40</v>
      </c>
      <c r="C339" s="1" t="s">
        <v>17</v>
      </c>
      <c r="D339" s="1" t="s">
        <v>20</v>
      </c>
      <c r="E339" s="2">
        <v>2.05263E-5</v>
      </c>
      <c r="F339" s="2">
        <v>6.42105E-5</v>
      </c>
      <c r="G339" s="2">
        <v>9.57895E-5</v>
      </c>
      <c r="H339" s="2">
        <v>9.24386E-5</v>
      </c>
      <c r="I339" s="2">
        <v>2.278722E-5</v>
      </c>
      <c r="J339" s="2">
        <v>1.558013E-4</v>
      </c>
      <c r="K339" s="2">
        <v>1.991512E-4</v>
      </c>
      <c r="L339" s="2">
        <v>2.440234E-4</v>
      </c>
      <c r="M339" s="2">
        <v>2.866376E-4</v>
      </c>
      <c r="N339" s="2">
        <v>3.333236E-4</v>
      </c>
      <c r="O339" s="2">
        <v>3.80480899999999E-4</v>
      </c>
      <c r="P339" s="2">
        <v>4.263991E-4</v>
      </c>
      <c r="Q339" s="2">
        <v>4.711332E-4</v>
      </c>
      <c r="R339" s="2">
        <v>5.139626E-4</v>
      </c>
      <c r="S339" s="2">
        <v>5.536275E-4</v>
      </c>
    </row>
    <row r="340" ht="14.25" hidden="1" customHeight="1">
      <c r="A340" s="1" t="s">
        <v>5</v>
      </c>
      <c r="B340" s="1" t="s">
        <v>40</v>
      </c>
      <c r="C340" s="1" t="s">
        <v>21</v>
      </c>
      <c r="D340" s="1" t="s">
        <v>10</v>
      </c>
      <c r="E340" s="2">
        <v>2.5958E-5</v>
      </c>
      <c r="F340" s="2">
        <v>8.04768E-5</v>
      </c>
      <c r="G340" s="2">
        <v>3.9121E-4</v>
      </c>
      <c r="H340" s="2">
        <v>2.85492E-4</v>
      </c>
      <c r="I340" s="2">
        <v>1.118726E-4</v>
      </c>
      <c r="J340" s="2">
        <v>1.51211316E-4</v>
      </c>
      <c r="K340" s="2">
        <v>1.03547707E-4</v>
      </c>
      <c r="L340" s="2">
        <v>1.20749826E-4</v>
      </c>
      <c r="M340" s="2">
        <v>1.078681429E-4</v>
      </c>
      <c r="N340" s="2">
        <v>1.62886599999999E-4</v>
      </c>
      <c r="O340" s="2">
        <v>1.718797E-4</v>
      </c>
      <c r="P340" s="2">
        <v>1.7556522E-4</v>
      </c>
      <c r="Q340" s="2">
        <v>1.872978E-4</v>
      </c>
      <c r="R340" s="2">
        <v>1.962282E-4</v>
      </c>
      <c r="S340" s="2">
        <v>2.032914E-4</v>
      </c>
    </row>
    <row r="341" ht="14.25" hidden="1" customHeight="1">
      <c r="A341" s="1" t="s">
        <v>5</v>
      </c>
      <c r="B341" s="1" t="s">
        <v>40</v>
      </c>
      <c r="C341" s="1" t="s">
        <v>21</v>
      </c>
      <c r="D341" s="1" t="s">
        <v>11</v>
      </c>
      <c r="E341" s="2">
        <v>6.50196E-6</v>
      </c>
      <c r="F341" s="2">
        <v>2.0105E-5</v>
      </c>
      <c r="G341" s="2">
        <v>9.77874E-5</v>
      </c>
      <c r="H341" s="2">
        <v>5.353389E-4</v>
      </c>
      <c r="I341" s="2">
        <v>8.05042E-4</v>
      </c>
      <c r="J341" s="2">
        <v>2.29904E-4</v>
      </c>
      <c r="K341" s="2">
        <v>7.63292E-5</v>
      </c>
      <c r="L341" s="2">
        <v>5.97552E-5</v>
      </c>
      <c r="M341" s="2">
        <v>6.30773E-5</v>
      </c>
      <c r="N341" s="2">
        <v>5.4118E-5</v>
      </c>
      <c r="O341" s="2">
        <v>3.92579E-5</v>
      </c>
      <c r="P341" s="2">
        <v>3.0412E-5</v>
      </c>
      <c r="Q341" s="2">
        <v>2.89818E-5</v>
      </c>
      <c r="R341" s="2">
        <v>2.876196E-5</v>
      </c>
      <c r="S341" s="2">
        <v>2.869596E-5</v>
      </c>
    </row>
    <row r="342" ht="14.25" hidden="1" customHeight="1">
      <c r="A342" s="1" t="s">
        <v>5</v>
      </c>
      <c r="B342" s="1" t="s">
        <v>40</v>
      </c>
      <c r="C342" s="1" t="s">
        <v>21</v>
      </c>
      <c r="D342" s="1" t="s">
        <v>22</v>
      </c>
      <c r="E342" s="2">
        <v>6.5E-6</v>
      </c>
      <c r="F342" s="2">
        <v>2.01E-5</v>
      </c>
      <c r="G342" s="2">
        <v>9.78E-5</v>
      </c>
      <c r="H342" s="2">
        <v>1.474477E-4</v>
      </c>
      <c r="I342" s="2">
        <v>1.132879E-4</v>
      </c>
      <c r="J342" s="2">
        <v>1.069646E-4</v>
      </c>
      <c r="K342" s="2">
        <v>5.77206E-5</v>
      </c>
      <c r="L342" s="2">
        <v>4.316317E-5</v>
      </c>
      <c r="M342" s="2">
        <v>2.16989199999999E-5</v>
      </c>
      <c r="N342" s="2">
        <v>2.435301E-5</v>
      </c>
      <c r="O342" s="2">
        <v>2.54866E-5</v>
      </c>
      <c r="P342" s="2">
        <v>2.569616E-5</v>
      </c>
      <c r="Q342" s="2">
        <v>2.71385E-5</v>
      </c>
      <c r="R342" s="2">
        <v>2.838634E-5</v>
      </c>
      <c r="S342" s="2">
        <v>2.9256E-5</v>
      </c>
    </row>
    <row r="343" ht="14.25" hidden="1" customHeight="1">
      <c r="A343" s="1" t="s">
        <v>5</v>
      </c>
      <c r="B343" s="1" t="s">
        <v>40</v>
      </c>
      <c r="C343" s="1" t="s">
        <v>21</v>
      </c>
      <c r="D343" s="1" t="s">
        <v>23</v>
      </c>
      <c r="E343" s="2">
        <v>6.50004E-6</v>
      </c>
      <c r="F343" s="2">
        <v>2.00914199999999E-5</v>
      </c>
      <c r="G343" s="2">
        <v>9.78082E-5</v>
      </c>
      <c r="H343" s="1">
        <v>0.002890581</v>
      </c>
      <c r="I343" s="2">
        <v>2.60077E-4</v>
      </c>
      <c r="J343" s="2">
        <v>7.728391E-5</v>
      </c>
      <c r="K343" s="2">
        <v>2.9150024E-5</v>
      </c>
      <c r="L343" s="2">
        <v>1.670279E-5</v>
      </c>
      <c r="M343" s="2">
        <v>6.46963999999999E-6</v>
      </c>
      <c r="N343" s="2">
        <v>7.65047E-6</v>
      </c>
      <c r="O343" s="2">
        <v>9.27563E-6</v>
      </c>
      <c r="P343" s="2">
        <v>1.13052E-5</v>
      </c>
      <c r="Q343" s="2">
        <v>1.332968E-5</v>
      </c>
      <c r="R343" s="2">
        <v>1.544631E-5</v>
      </c>
      <c r="S343" s="2">
        <v>1.774053E-5</v>
      </c>
    </row>
    <row r="344" ht="14.25" hidden="1" customHeight="1">
      <c r="A344" s="1" t="s">
        <v>5</v>
      </c>
      <c r="B344" s="1" t="s">
        <v>40</v>
      </c>
      <c r="C344" s="1" t="s">
        <v>21</v>
      </c>
      <c r="D344" s="1" t="s">
        <v>24</v>
      </c>
      <c r="E344" s="2">
        <v>9.094E-6</v>
      </c>
      <c r="F344" s="2">
        <v>2.819783E-5</v>
      </c>
      <c r="G344" s="2">
        <v>1.368988E-4</v>
      </c>
      <c r="H344" s="2">
        <v>1.408339E-4</v>
      </c>
      <c r="I344" s="2">
        <v>8.694225E-5</v>
      </c>
      <c r="J344" s="2">
        <v>1.0803069E-4</v>
      </c>
      <c r="K344" s="2">
        <v>7.344278E-5</v>
      </c>
      <c r="L344" s="2">
        <v>5.129171E-5</v>
      </c>
      <c r="M344" s="2">
        <v>3.531515E-5</v>
      </c>
      <c r="N344" s="2">
        <v>3.87213399999999E-5</v>
      </c>
      <c r="O344" s="2">
        <v>3.78278699999999E-5</v>
      </c>
      <c r="P344" s="2">
        <v>3.753614E-5</v>
      </c>
      <c r="Q344" s="2">
        <v>3.95920999999999E-5</v>
      </c>
      <c r="R344" s="2">
        <v>4.102874E-5</v>
      </c>
      <c r="S344" s="2">
        <v>4.224674E-5</v>
      </c>
    </row>
    <row r="345" ht="14.25" hidden="1" customHeight="1">
      <c r="A345" s="1" t="s">
        <v>5</v>
      </c>
      <c r="B345" s="1" t="s">
        <v>40</v>
      </c>
      <c r="C345" s="1" t="s">
        <v>21</v>
      </c>
      <c r="D345" s="1" t="s">
        <v>12</v>
      </c>
      <c r="E345" s="2">
        <v>6.0E-7</v>
      </c>
      <c r="F345" s="2">
        <v>2.0E-6</v>
      </c>
      <c r="G345" s="2">
        <v>9.76375E-6</v>
      </c>
      <c r="H345" s="2">
        <v>1.44389E-5</v>
      </c>
      <c r="I345" s="2">
        <v>1.40058E-5</v>
      </c>
      <c r="J345" s="2">
        <v>1.01365E-5</v>
      </c>
      <c r="K345" s="2">
        <v>5.25456E-6</v>
      </c>
      <c r="L345" s="2">
        <v>3.81656E-6</v>
      </c>
      <c r="M345" s="2">
        <v>2.0172E-6</v>
      </c>
      <c r="N345" s="2">
        <v>2.19739E-6</v>
      </c>
      <c r="O345" s="2">
        <v>2.22564E-6</v>
      </c>
      <c r="P345" s="2">
        <v>2.18529E-6</v>
      </c>
      <c r="Q345" s="2">
        <v>2.28387E-6</v>
      </c>
      <c r="R345" s="2">
        <v>2.37136E-6</v>
      </c>
      <c r="S345" s="2">
        <v>2.43209E-6</v>
      </c>
    </row>
    <row r="346" ht="14.25" hidden="1" customHeight="1">
      <c r="A346" s="1" t="s">
        <v>5</v>
      </c>
      <c r="B346" s="1" t="s">
        <v>40</v>
      </c>
      <c r="C346" s="1" t="s">
        <v>21</v>
      </c>
      <c r="D346" s="1" t="s">
        <v>13</v>
      </c>
      <c r="E346" s="2">
        <v>1.23449E-4</v>
      </c>
      <c r="F346" s="2">
        <v>3.83944E-4</v>
      </c>
      <c r="G346" s="2">
        <v>8.09917E-4</v>
      </c>
      <c r="H346" s="2">
        <v>9.36962E-4</v>
      </c>
      <c r="I346" s="2">
        <v>5.56937E-4</v>
      </c>
      <c r="J346" s="1">
        <v>0.001361625</v>
      </c>
      <c r="K346" s="1">
        <v>0.0017746907</v>
      </c>
      <c r="L346" s="1">
        <v>0.002254599</v>
      </c>
      <c r="M346" s="1">
        <v>0.00282534699999999</v>
      </c>
      <c r="N346" s="1">
        <v>0.003346478</v>
      </c>
      <c r="O346" s="1">
        <v>0.00385529199999999</v>
      </c>
      <c r="P346" s="1">
        <v>0.00437050299999999</v>
      </c>
      <c r="Q346" s="1">
        <v>0.00483723699999999</v>
      </c>
      <c r="R346" s="1">
        <v>0.005258206</v>
      </c>
      <c r="S346" s="1">
        <v>0.00562645399999999</v>
      </c>
    </row>
    <row r="347" ht="14.25" hidden="1" customHeight="1">
      <c r="A347" s="1" t="s">
        <v>5</v>
      </c>
      <c r="B347" s="1" t="s">
        <v>40</v>
      </c>
      <c r="C347" s="1" t="s">
        <v>21</v>
      </c>
      <c r="D347" s="1" t="s">
        <v>14</v>
      </c>
      <c r="E347" s="2">
        <v>1.02999E-5</v>
      </c>
      <c r="F347" s="2">
        <v>3.19998E-5</v>
      </c>
      <c r="G347" s="2">
        <v>6.75057E-5</v>
      </c>
      <c r="H347" s="1">
        <v>0.0013946228</v>
      </c>
      <c r="I347" s="1">
        <v>0.002959608</v>
      </c>
      <c r="J347" s="1">
        <v>0.00129075</v>
      </c>
      <c r="K347" s="2">
        <v>8.02208999999999E-4</v>
      </c>
      <c r="L347" s="2">
        <v>5.7121E-4</v>
      </c>
      <c r="M347" s="2">
        <v>3.56129E-4</v>
      </c>
      <c r="N347" s="2">
        <v>2.48573E-4</v>
      </c>
      <c r="O347" s="2">
        <v>1.831024E-4</v>
      </c>
      <c r="P347" s="2">
        <v>1.83902899999999E-4</v>
      </c>
      <c r="Q347" s="2">
        <v>1.910376E-4</v>
      </c>
      <c r="R347" s="2">
        <v>1.992147E-4</v>
      </c>
      <c r="S347" s="2">
        <v>2.025042E-4</v>
      </c>
    </row>
    <row r="348" ht="14.25" hidden="1" customHeight="1">
      <c r="A348" s="1" t="s">
        <v>5</v>
      </c>
      <c r="B348" s="1" t="s">
        <v>40</v>
      </c>
      <c r="C348" s="1" t="s">
        <v>21</v>
      </c>
      <c r="D348" s="1" t="s">
        <v>25</v>
      </c>
      <c r="E348" s="2">
        <v>2.06E-5</v>
      </c>
      <c r="F348" s="2">
        <v>6.4E-5</v>
      </c>
      <c r="G348" s="2">
        <v>1.35E-4</v>
      </c>
      <c r="H348" s="2">
        <v>2.360143E-4</v>
      </c>
      <c r="I348" s="2">
        <v>3.932479E-4</v>
      </c>
      <c r="J348" s="1">
        <v>0.0</v>
      </c>
      <c r="K348" s="1">
        <v>0.0</v>
      </c>
      <c r="L348" s="1">
        <v>0.0</v>
      </c>
      <c r="M348" s="1">
        <v>0.0</v>
      </c>
      <c r="N348" s="1">
        <v>0.0</v>
      </c>
      <c r="O348" s="1">
        <v>0.0</v>
      </c>
      <c r="P348" s="1">
        <v>0.0</v>
      </c>
      <c r="Q348" s="1">
        <v>0.0</v>
      </c>
      <c r="R348" s="1">
        <v>0.0</v>
      </c>
      <c r="S348" s="1">
        <v>0.0</v>
      </c>
    </row>
    <row r="349" ht="14.25" hidden="1" customHeight="1">
      <c r="A349" s="1" t="s">
        <v>5</v>
      </c>
      <c r="B349" s="1" t="s">
        <v>40</v>
      </c>
      <c r="C349" s="1" t="s">
        <v>21</v>
      </c>
      <c r="D349" s="1" t="s">
        <v>26</v>
      </c>
      <c r="E349" s="2">
        <v>2.05976099999999E-5</v>
      </c>
      <c r="F349" s="2">
        <v>6.4004E-5</v>
      </c>
      <c r="G349" s="2">
        <v>1.350102E-4</v>
      </c>
      <c r="H349" s="1">
        <v>0.0082793187</v>
      </c>
      <c r="I349" s="2">
        <v>4.50722E-4</v>
      </c>
      <c r="J349" s="2">
        <v>1.66286289999999E-4</v>
      </c>
      <c r="K349" s="2">
        <v>9.532805E-5</v>
      </c>
      <c r="L349" s="2">
        <v>7.07752999999999E-5</v>
      </c>
      <c r="M349" s="2">
        <v>7.458591E-5</v>
      </c>
      <c r="N349" s="2">
        <v>8.677927E-5</v>
      </c>
      <c r="O349" s="2">
        <v>1.014061E-4</v>
      </c>
      <c r="P349" s="2">
        <v>1.24549E-4</v>
      </c>
      <c r="Q349" s="2">
        <v>1.528888E-4</v>
      </c>
      <c r="R349" s="2">
        <v>1.834218E-4</v>
      </c>
      <c r="S349" s="2">
        <v>2.152744E-4</v>
      </c>
    </row>
    <row r="350" ht="14.25" hidden="1" customHeight="1">
      <c r="A350" s="1" t="s">
        <v>5</v>
      </c>
      <c r="B350" s="1" t="s">
        <v>40</v>
      </c>
      <c r="C350" s="1" t="s">
        <v>21</v>
      </c>
      <c r="D350" s="1" t="s">
        <v>27</v>
      </c>
      <c r="E350" s="2">
        <v>4.73049E-5</v>
      </c>
      <c r="F350" s="2">
        <v>1.472051E-4</v>
      </c>
      <c r="G350" s="2">
        <v>3.104013E-4</v>
      </c>
      <c r="H350" s="2">
        <v>4.32137599999999E-4</v>
      </c>
      <c r="I350" s="2">
        <v>3.411141E-4</v>
      </c>
      <c r="J350" s="2">
        <v>7.1574858E-4</v>
      </c>
      <c r="K350" s="2">
        <v>8.103364E-4</v>
      </c>
      <c r="L350" s="2">
        <v>9.275486E-4</v>
      </c>
      <c r="M350" s="1">
        <v>0.0010716914</v>
      </c>
      <c r="N350" s="1">
        <v>0.001183582</v>
      </c>
      <c r="O350" s="1">
        <v>0.001287854</v>
      </c>
      <c r="P350" s="1">
        <v>0.001434448</v>
      </c>
      <c r="Q350" s="1">
        <v>0.001573957</v>
      </c>
      <c r="R350" s="1">
        <v>0.00169948</v>
      </c>
      <c r="S350" s="1">
        <v>0.001810957</v>
      </c>
    </row>
    <row r="351" ht="14.25" hidden="1" customHeight="1">
      <c r="A351" s="1" t="s">
        <v>5</v>
      </c>
      <c r="B351" s="1" t="s">
        <v>40</v>
      </c>
      <c r="C351" s="1" t="s">
        <v>21</v>
      </c>
      <c r="D351" s="1" t="s">
        <v>28</v>
      </c>
      <c r="E351" s="2">
        <v>1.0E-6</v>
      </c>
      <c r="F351" s="2">
        <v>3.2E-6</v>
      </c>
      <c r="G351" s="2">
        <v>6.7E-6</v>
      </c>
      <c r="H351" s="2">
        <v>9.90813E-6</v>
      </c>
      <c r="I351" s="2">
        <v>1.17055E-5</v>
      </c>
      <c r="J351" s="2">
        <v>1.08478E-5</v>
      </c>
      <c r="K351" s="2">
        <v>8.68648E-6</v>
      </c>
      <c r="L351" s="2">
        <v>8.29912E-6</v>
      </c>
      <c r="M351" s="2">
        <v>7.57461E-6</v>
      </c>
      <c r="N351" s="2">
        <v>8.11931E-6</v>
      </c>
      <c r="O351" s="2">
        <v>8.81166E-6</v>
      </c>
      <c r="P351" s="2">
        <v>9.7944E-6</v>
      </c>
      <c r="Q351" s="2">
        <v>1.07993E-5</v>
      </c>
      <c r="R351" s="2">
        <v>1.17375E-5</v>
      </c>
      <c r="S351" s="2">
        <v>1.24752E-5</v>
      </c>
    </row>
    <row r="352" ht="14.25" hidden="1" customHeight="1">
      <c r="A352" s="1" t="s">
        <v>5</v>
      </c>
      <c r="B352" s="1" t="s">
        <v>40</v>
      </c>
      <c r="C352" s="1" t="s">
        <v>29</v>
      </c>
      <c r="D352" s="1" t="s">
        <v>16</v>
      </c>
      <c r="E352" s="2">
        <v>3.61216E-4</v>
      </c>
      <c r="F352" s="2">
        <v>6.93405E-4</v>
      </c>
      <c r="G352" s="2">
        <v>2.93916E-4</v>
      </c>
      <c r="H352" s="2">
        <v>2.27795466E-4</v>
      </c>
      <c r="I352" s="2">
        <v>1.91390076E-4</v>
      </c>
      <c r="J352" s="2">
        <v>1.87978718E-4</v>
      </c>
      <c r="K352" s="2">
        <v>2.01805517E-4</v>
      </c>
      <c r="L352" s="2">
        <v>2.310091507E-4</v>
      </c>
      <c r="M352" s="2">
        <v>2.235537966E-4</v>
      </c>
      <c r="N352" s="2">
        <v>2.565547398E-4</v>
      </c>
      <c r="O352" s="2">
        <v>2.8501724E-4</v>
      </c>
      <c r="P352" s="2">
        <v>3.0924253E-4</v>
      </c>
      <c r="Q352" s="2">
        <v>3.33660199999999E-4</v>
      </c>
      <c r="R352" s="2">
        <v>3.588924E-4</v>
      </c>
      <c r="S352" s="2">
        <v>3.810456E-4</v>
      </c>
    </row>
    <row r="353" ht="14.25" hidden="1" customHeight="1">
      <c r="A353" s="1" t="s">
        <v>5</v>
      </c>
      <c r="B353" s="1" t="s">
        <v>40</v>
      </c>
      <c r="C353" s="1" t="s">
        <v>29</v>
      </c>
      <c r="D353" s="1" t="s">
        <v>8</v>
      </c>
      <c r="E353" s="2">
        <v>4.5107E-5</v>
      </c>
      <c r="F353" s="2">
        <v>8.67336E-5</v>
      </c>
      <c r="G353" s="2">
        <v>3.6715E-5</v>
      </c>
      <c r="H353" s="2">
        <v>2.83656077E-5</v>
      </c>
      <c r="I353" s="2">
        <v>6.64933087999999E-5</v>
      </c>
      <c r="J353" s="2">
        <v>6.4974674E-5</v>
      </c>
      <c r="K353" s="2">
        <v>6.09641839E-5</v>
      </c>
      <c r="L353" s="2">
        <v>5.53534937699999E-5</v>
      </c>
      <c r="M353" s="2">
        <v>4.47692289099999E-5</v>
      </c>
      <c r="N353" s="2">
        <v>4.576097E-5</v>
      </c>
      <c r="O353" s="2">
        <v>4.626192E-5</v>
      </c>
      <c r="P353" s="2">
        <v>5.121532E-5</v>
      </c>
      <c r="Q353" s="2">
        <v>5.641701E-5</v>
      </c>
      <c r="R353" s="2">
        <v>6.153105E-5</v>
      </c>
      <c r="S353" s="2">
        <v>6.609071E-5</v>
      </c>
    </row>
    <row r="354" ht="14.25" hidden="1" customHeight="1">
      <c r="A354" s="1" t="s">
        <v>5</v>
      </c>
      <c r="B354" s="1" t="s">
        <v>40</v>
      </c>
      <c r="C354" s="1" t="s">
        <v>29</v>
      </c>
      <c r="D354" s="1" t="s">
        <v>10</v>
      </c>
      <c r="E354" s="2">
        <v>2.30515E-5</v>
      </c>
      <c r="F354" s="2">
        <v>4.41873E-5</v>
      </c>
      <c r="G354" s="2">
        <v>1.92005E-5</v>
      </c>
      <c r="H354" s="2">
        <v>4.555686E-4</v>
      </c>
      <c r="I354" s="2">
        <v>2.0460579E-4</v>
      </c>
      <c r="J354" s="2">
        <v>3.26832742999999E-4</v>
      </c>
      <c r="K354" s="2">
        <v>2.33981887599999E-4</v>
      </c>
      <c r="L354" s="2">
        <v>1.382526252E-4</v>
      </c>
      <c r="M354" s="2">
        <v>6.84270415E-5</v>
      </c>
      <c r="N354" s="2">
        <v>1.168346776E-5</v>
      </c>
      <c r="O354" s="2">
        <v>1.116652537E-5</v>
      </c>
      <c r="P354" s="2">
        <v>1.0185425E-5</v>
      </c>
      <c r="Q354" s="2">
        <v>9.30887E-6</v>
      </c>
      <c r="R354" s="2">
        <v>9.15047E-6</v>
      </c>
      <c r="S354" s="2">
        <v>9.143665E-6</v>
      </c>
    </row>
    <row r="355" ht="14.25" hidden="1" customHeight="1">
      <c r="A355" s="1" t="s">
        <v>5</v>
      </c>
      <c r="B355" s="1" t="s">
        <v>40</v>
      </c>
      <c r="C355" s="1" t="s">
        <v>29</v>
      </c>
      <c r="D355" s="1" t="s">
        <v>11</v>
      </c>
      <c r="E355" s="2">
        <v>5.24558E-4</v>
      </c>
      <c r="F355" s="1">
        <v>0.00100715</v>
      </c>
      <c r="G355" s="2">
        <v>4.37544E-4</v>
      </c>
      <c r="H355" s="2">
        <v>3.37735E-4</v>
      </c>
      <c r="I355" s="2">
        <v>2.83453E-4</v>
      </c>
      <c r="J355" s="2">
        <v>1.95626E-4</v>
      </c>
      <c r="K355" s="2">
        <v>1.5409327796E-4</v>
      </c>
      <c r="L355" s="2">
        <v>1.0640352795E-4</v>
      </c>
      <c r="M355" s="2">
        <v>2.50320694599999E-5</v>
      </c>
      <c r="N355" s="2">
        <v>3.702258898E-5</v>
      </c>
      <c r="O355" s="2">
        <v>4.94305184999999E-5</v>
      </c>
      <c r="P355" s="2">
        <v>5.395843001E-5</v>
      </c>
      <c r="Q355" s="2">
        <v>5.8314531E-5</v>
      </c>
      <c r="R355" s="2">
        <v>6.12027E-5</v>
      </c>
      <c r="S355" s="2">
        <v>6.37538699999999E-5</v>
      </c>
    </row>
    <row r="356" ht="14.25" hidden="1" customHeight="1">
      <c r="A356" s="1" t="s">
        <v>5</v>
      </c>
      <c r="B356" s="1" t="s">
        <v>40</v>
      </c>
      <c r="C356" s="1" t="s">
        <v>29</v>
      </c>
      <c r="D356" s="1" t="s">
        <v>13</v>
      </c>
      <c r="E356" s="2">
        <v>2.35092E-5</v>
      </c>
      <c r="F356" s="2">
        <v>4.51052E-5</v>
      </c>
      <c r="G356" s="2">
        <v>2.38005E-5</v>
      </c>
      <c r="H356" s="2">
        <v>3.271913E-4</v>
      </c>
      <c r="I356" s="2">
        <v>2.364539E-4</v>
      </c>
      <c r="J356" s="2">
        <v>3.24104E-4</v>
      </c>
      <c r="K356" s="2">
        <v>3.77112E-4</v>
      </c>
      <c r="L356" s="2">
        <v>4.38449889999999E-4</v>
      </c>
      <c r="M356" s="2">
        <v>4.840847E-4</v>
      </c>
      <c r="N356" s="2">
        <v>4.962799E-4</v>
      </c>
      <c r="O356" s="2">
        <v>5.234627E-4</v>
      </c>
      <c r="P356" s="2">
        <v>5.373775E-4</v>
      </c>
      <c r="Q356" s="2">
        <v>5.580025E-4</v>
      </c>
      <c r="R356" s="2">
        <v>5.82528699999999E-4</v>
      </c>
      <c r="S356" s="2">
        <v>6.074192E-4</v>
      </c>
    </row>
    <row r="357" ht="14.25" hidden="1" customHeight="1">
      <c r="A357" s="1" t="s">
        <v>5</v>
      </c>
      <c r="B357" s="1" t="s">
        <v>40</v>
      </c>
      <c r="C357" s="1" t="s">
        <v>29</v>
      </c>
      <c r="D357" s="1" t="s">
        <v>14</v>
      </c>
      <c r="E357" s="1">
        <v>0.00126449</v>
      </c>
      <c r="F357" s="1">
        <v>0.00242758</v>
      </c>
      <c r="G357" s="1">
        <v>0.00128311</v>
      </c>
      <c r="H357" s="2">
        <v>9.90415E-4</v>
      </c>
      <c r="I357" s="2">
        <v>8.31231E-4</v>
      </c>
      <c r="J357" s="2">
        <v>6.41554E-4</v>
      </c>
      <c r="K357" s="2">
        <v>4.519220012E-4</v>
      </c>
      <c r="L357" s="2">
        <v>4.250179428E-4</v>
      </c>
      <c r="M357" s="2">
        <v>2.745471073E-4</v>
      </c>
      <c r="N357" s="2">
        <v>3.535762006E-4</v>
      </c>
      <c r="O357" s="2">
        <v>4.298323939E-4</v>
      </c>
      <c r="P357" s="2">
        <v>4.9290075842E-4</v>
      </c>
      <c r="Q357" s="2">
        <v>5.506914E-4</v>
      </c>
      <c r="R357" s="2">
        <v>6.106472E-4</v>
      </c>
      <c r="S357" s="2">
        <v>6.648941E-4</v>
      </c>
    </row>
    <row r="358" ht="14.25" hidden="1" customHeight="1">
      <c r="A358" s="1" t="s">
        <v>5</v>
      </c>
      <c r="B358" s="1" t="s">
        <v>40</v>
      </c>
      <c r="C358" s="1" t="s">
        <v>31</v>
      </c>
      <c r="D358" s="1" t="s">
        <v>11</v>
      </c>
      <c r="E358" s="2">
        <v>9.20278E-6</v>
      </c>
      <c r="F358" s="2">
        <v>1.08027E-5</v>
      </c>
      <c r="G358" s="2">
        <v>1.14985E-5</v>
      </c>
      <c r="H358" s="1">
        <v>0.0</v>
      </c>
      <c r="I358" s="1">
        <v>0.0</v>
      </c>
      <c r="J358" s="1">
        <v>0.0</v>
      </c>
      <c r="K358" s="1">
        <v>0.0</v>
      </c>
      <c r="L358" s="1">
        <v>0.0</v>
      </c>
      <c r="M358" s="1">
        <v>0.0</v>
      </c>
      <c r="N358" s="1">
        <v>0.0</v>
      </c>
      <c r="O358" s="1">
        <v>0.0</v>
      </c>
      <c r="P358" s="1">
        <v>0.0</v>
      </c>
      <c r="Q358" s="1">
        <v>0.0</v>
      </c>
      <c r="R358" s="1">
        <v>0.0</v>
      </c>
      <c r="S358" s="1">
        <v>0.0</v>
      </c>
    </row>
    <row r="359" ht="14.25" hidden="1" customHeight="1">
      <c r="A359" s="1" t="s">
        <v>5</v>
      </c>
      <c r="B359" s="1" t="s">
        <v>41</v>
      </c>
      <c r="C359" s="1" t="s">
        <v>7</v>
      </c>
      <c r="D359" s="1" t="s">
        <v>8</v>
      </c>
      <c r="E359" s="1">
        <v>0.00875236</v>
      </c>
      <c r="F359" s="1">
        <v>0.0111426</v>
      </c>
      <c r="G359" s="1">
        <v>0.011925</v>
      </c>
      <c r="H359" s="1">
        <v>0.00135922</v>
      </c>
      <c r="I359" s="2">
        <v>9.77875E-4</v>
      </c>
      <c r="J359" s="2">
        <v>1.70244E-4</v>
      </c>
      <c r="K359" s="2">
        <v>1.19924E-4</v>
      </c>
      <c r="L359" s="2">
        <v>1.19375E-4</v>
      </c>
      <c r="M359" s="2">
        <v>8.5804E-5</v>
      </c>
      <c r="N359" s="2">
        <v>5.05088E-5</v>
      </c>
      <c r="O359" s="1">
        <v>0.0</v>
      </c>
      <c r="P359" s="1">
        <v>0.0</v>
      </c>
      <c r="Q359" s="1">
        <v>0.0</v>
      </c>
      <c r="R359" s="1">
        <v>0.0</v>
      </c>
      <c r="S359" s="1">
        <v>0.0</v>
      </c>
    </row>
    <row r="360" ht="14.25" hidden="1" customHeight="1">
      <c r="A360" s="1" t="s">
        <v>5</v>
      </c>
      <c r="B360" s="1" t="s">
        <v>41</v>
      </c>
      <c r="C360" s="1" t="s">
        <v>9</v>
      </c>
      <c r="D360" s="1" t="s">
        <v>8</v>
      </c>
      <c r="E360" s="1">
        <v>0.010451</v>
      </c>
      <c r="F360" s="1">
        <v>0.00916578</v>
      </c>
      <c r="G360" s="1">
        <v>0.0134813</v>
      </c>
      <c r="H360" s="1">
        <v>0.00138686</v>
      </c>
      <c r="I360" s="1">
        <v>0.0284636</v>
      </c>
      <c r="J360" s="1">
        <v>0.0</v>
      </c>
      <c r="K360" s="1">
        <v>0.0</v>
      </c>
      <c r="L360" s="1">
        <v>0.0</v>
      </c>
      <c r="M360" s="1">
        <v>0.0</v>
      </c>
      <c r="N360" s="1">
        <v>0.0</v>
      </c>
      <c r="O360" s="1">
        <v>0.0</v>
      </c>
      <c r="P360" s="1">
        <v>0.0</v>
      </c>
      <c r="Q360" s="1">
        <v>0.0</v>
      </c>
      <c r="R360" s="1">
        <v>0.0</v>
      </c>
      <c r="S360" s="1">
        <v>0.0</v>
      </c>
    </row>
    <row r="361" ht="14.25" hidden="1" customHeight="1">
      <c r="A361" s="1" t="s">
        <v>5</v>
      </c>
      <c r="B361" s="1" t="s">
        <v>41</v>
      </c>
      <c r="C361" s="1" t="s">
        <v>9</v>
      </c>
      <c r="D361" s="1" t="s">
        <v>10</v>
      </c>
      <c r="E361" s="1">
        <v>0.00682204</v>
      </c>
      <c r="F361" s="1">
        <v>0.00598328</v>
      </c>
      <c r="G361" s="1">
        <v>0.00149651</v>
      </c>
      <c r="H361" s="2">
        <v>5.83823E-7</v>
      </c>
      <c r="I361" s="1">
        <v>0.0110906</v>
      </c>
      <c r="J361" s="1">
        <v>0.0210904</v>
      </c>
      <c r="K361" s="1">
        <v>0.0</v>
      </c>
      <c r="L361" s="1">
        <v>0.0</v>
      </c>
      <c r="M361" s="1">
        <v>0.0</v>
      </c>
      <c r="N361" s="1">
        <v>0.0</v>
      </c>
      <c r="O361" s="1">
        <v>0.0</v>
      </c>
      <c r="P361" s="1">
        <v>0.0</v>
      </c>
      <c r="Q361" s="1">
        <v>0.0</v>
      </c>
      <c r="R361" s="1">
        <v>0.0</v>
      </c>
      <c r="S361" s="1">
        <v>0.0</v>
      </c>
    </row>
    <row r="362" ht="14.25" hidden="1" customHeight="1">
      <c r="A362" s="1" t="s">
        <v>5</v>
      </c>
      <c r="B362" s="1" t="s">
        <v>41</v>
      </c>
      <c r="C362" s="1" t="s">
        <v>9</v>
      </c>
      <c r="D362" s="1" t="s">
        <v>11</v>
      </c>
      <c r="E362" s="1">
        <v>0.00682201</v>
      </c>
      <c r="F362" s="1">
        <v>0.0059833</v>
      </c>
      <c r="G362" s="1">
        <v>0.0014965</v>
      </c>
      <c r="H362" s="2">
        <v>4.62004E-5</v>
      </c>
      <c r="I362" s="1">
        <v>0.0</v>
      </c>
      <c r="J362" s="2">
        <v>1.11827E-4</v>
      </c>
      <c r="K362" s="1">
        <v>0.0</v>
      </c>
      <c r="L362" s="1">
        <v>0.0</v>
      </c>
      <c r="M362" s="1">
        <v>0.0</v>
      </c>
      <c r="N362" s="1">
        <v>0.0</v>
      </c>
      <c r="O362" s="1">
        <v>0.0</v>
      </c>
      <c r="P362" s="1">
        <v>0.0</v>
      </c>
      <c r="Q362" s="1">
        <v>0.0</v>
      </c>
      <c r="R362" s="1">
        <v>0.0</v>
      </c>
      <c r="S362" s="1">
        <v>0.0</v>
      </c>
    </row>
    <row r="363" ht="14.25" hidden="1" customHeight="1">
      <c r="A363" s="1" t="s">
        <v>5</v>
      </c>
      <c r="B363" s="1" t="s">
        <v>41</v>
      </c>
      <c r="C363" s="1" t="s">
        <v>9</v>
      </c>
      <c r="D363" s="1" t="s">
        <v>12</v>
      </c>
      <c r="E363" s="2">
        <v>6.82222E-4</v>
      </c>
      <c r="F363" s="2">
        <v>5.98224E-4</v>
      </c>
      <c r="G363" s="2">
        <v>1.49754E-4</v>
      </c>
      <c r="H363" s="2">
        <v>2.04223E-4</v>
      </c>
      <c r="I363" s="2">
        <v>8.18239E-5</v>
      </c>
      <c r="J363" s="2">
        <v>4.1364E-5</v>
      </c>
      <c r="K363" s="1">
        <v>0.0</v>
      </c>
      <c r="L363" s="1">
        <v>0.0</v>
      </c>
      <c r="M363" s="1">
        <v>0.0</v>
      </c>
      <c r="N363" s="1">
        <v>0.0</v>
      </c>
      <c r="O363" s="1">
        <v>0.0</v>
      </c>
      <c r="P363" s="1">
        <v>0.0</v>
      </c>
      <c r="Q363" s="1">
        <v>0.0</v>
      </c>
      <c r="R363" s="1">
        <v>0.0</v>
      </c>
      <c r="S363" s="1">
        <v>0.0</v>
      </c>
    </row>
    <row r="364" ht="14.25" hidden="1" customHeight="1">
      <c r="A364" s="1" t="s">
        <v>5</v>
      </c>
      <c r="B364" s="1" t="s">
        <v>41</v>
      </c>
      <c r="C364" s="1" t="s">
        <v>9</v>
      </c>
      <c r="D364" s="1" t="s">
        <v>13</v>
      </c>
      <c r="E364" s="1">
        <v>0.0</v>
      </c>
      <c r="F364" s="1">
        <v>0.0</v>
      </c>
      <c r="G364" s="1">
        <v>0.0</v>
      </c>
      <c r="H364" s="2">
        <v>8.99275E-5</v>
      </c>
      <c r="I364" s="1">
        <v>0.0</v>
      </c>
      <c r="J364" s="1">
        <v>0.0</v>
      </c>
      <c r="K364" s="1">
        <v>0.0</v>
      </c>
      <c r="L364" s="1">
        <v>0.0</v>
      </c>
      <c r="M364" s="1">
        <v>0.0</v>
      </c>
      <c r="N364" s="1">
        <v>0.0</v>
      </c>
      <c r="O364" s="1">
        <v>0.0</v>
      </c>
      <c r="P364" s="1">
        <v>0.0</v>
      </c>
      <c r="Q364" s="1">
        <v>0.0</v>
      </c>
      <c r="R364" s="1">
        <v>0.0</v>
      </c>
      <c r="S364" s="1">
        <v>0.0</v>
      </c>
    </row>
    <row r="365" ht="14.25" hidden="1" customHeight="1">
      <c r="A365" s="1" t="s">
        <v>5</v>
      </c>
      <c r="B365" s="1" t="s">
        <v>41</v>
      </c>
      <c r="C365" s="1" t="s">
        <v>9</v>
      </c>
      <c r="D365" s="1" t="s">
        <v>14</v>
      </c>
      <c r="E365" s="1">
        <v>0.0</v>
      </c>
      <c r="F365" s="1">
        <v>0.0</v>
      </c>
      <c r="G365" s="1">
        <v>0.0</v>
      </c>
      <c r="H365" s="2">
        <v>6.85282E-5</v>
      </c>
      <c r="I365" s="1">
        <v>0.0</v>
      </c>
      <c r="J365" s="1">
        <v>0.0</v>
      </c>
      <c r="K365" s="1">
        <v>0.0</v>
      </c>
      <c r="L365" s="1">
        <v>0.0</v>
      </c>
      <c r="M365" s="1">
        <v>0.0</v>
      </c>
      <c r="N365" s="1">
        <v>0.0</v>
      </c>
      <c r="O365" s="1">
        <v>0.0</v>
      </c>
      <c r="P365" s="1">
        <v>0.0</v>
      </c>
      <c r="Q365" s="1">
        <v>0.0</v>
      </c>
      <c r="R365" s="1">
        <v>0.0</v>
      </c>
      <c r="S365" s="1">
        <v>0.0</v>
      </c>
    </row>
    <row r="366" ht="14.25" hidden="1" customHeight="1">
      <c r="A366" s="1" t="s">
        <v>5</v>
      </c>
      <c r="B366" s="1" t="s">
        <v>41</v>
      </c>
      <c r="C366" s="1" t="s">
        <v>15</v>
      </c>
      <c r="D366" s="1" t="s">
        <v>16</v>
      </c>
      <c r="E366" s="2">
        <v>2.55597E-4</v>
      </c>
      <c r="F366" s="2">
        <v>3.86498E-4</v>
      </c>
      <c r="G366" s="1">
        <v>0.0</v>
      </c>
      <c r="H366" s="1">
        <v>0.0140836</v>
      </c>
      <c r="I366" s="1">
        <v>0.0279186</v>
      </c>
      <c r="J366" s="1">
        <v>0.00727404</v>
      </c>
      <c r="K366" s="1">
        <v>0.00940258</v>
      </c>
      <c r="L366" s="1">
        <v>0.0118446974</v>
      </c>
      <c r="M366" s="1">
        <v>0.0122948763</v>
      </c>
      <c r="N366" s="1">
        <v>0.0131658727</v>
      </c>
      <c r="O366" s="1">
        <v>0.0153648137</v>
      </c>
      <c r="P366" s="1">
        <v>0.0182899247</v>
      </c>
      <c r="Q366" s="1">
        <v>0.02130293104</v>
      </c>
      <c r="R366" s="1">
        <v>0.0242713019999999</v>
      </c>
      <c r="S366" s="1">
        <v>0.027150913</v>
      </c>
    </row>
    <row r="367" ht="14.25" hidden="1" customHeight="1">
      <c r="A367" s="1" t="s">
        <v>5</v>
      </c>
      <c r="B367" s="1" t="s">
        <v>41</v>
      </c>
      <c r="C367" s="1" t="s">
        <v>15</v>
      </c>
      <c r="D367" s="1" t="s">
        <v>13</v>
      </c>
      <c r="E367" s="2">
        <v>4.14494E-4</v>
      </c>
      <c r="F367" s="2">
        <v>6.26804E-4</v>
      </c>
      <c r="G367" s="2">
        <v>2.41801E-4</v>
      </c>
      <c r="H367" s="2">
        <v>1.9114935E-4</v>
      </c>
      <c r="I367" s="2">
        <v>1.80746159999999E-4</v>
      </c>
      <c r="J367" s="2">
        <v>1.4939137E-4</v>
      </c>
      <c r="K367" s="2">
        <v>1.2070148E-4</v>
      </c>
      <c r="L367" s="2">
        <v>9.641783E-5</v>
      </c>
      <c r="M367" s="2">
        <v>4.92565319999999E-5</v>
      </c>
      <c r="N367" s="2">
        <v>6.212547E-5</v>
      </c>
      <c r="O367" s="2">
        <v>7.323722E-5</v>
      </c>
      <c r="P367" s="2">
        <v>8.343299E-5</v>
      </c>
      <c r="Q367" s="2">
        <v>9.168599E-5</v>
      </c>
      <c r="R367" s="2">
        <v>9.812981E-5</v>
      </c>
      <c r="S367" s="2">
        <v>1.0432955E-4</v>
      </c>
    </row>
    <row r="368" ht="14.25" customHeight="1">
      <c r="A368" s="1" t="s">
        <v>5</v>
      </c>
      <c r="B368" s="1" t="s">
        <v>41</v>
      </c>
      <c r="C368" s="1" t="s">
        <v>15</v>
      </c>
      <c r="D368" s="1" t="s">
        <v>14</v>
      </c>
      <c r="E368" s="2">
        <v>1.658E-4</v>
      </c>
      <c r="F368" s="2">
        <v>2.507E-4</v>
      </c>
      <c r="G368" s="2">
        <v>9.67003E-5</v>
      </c>
      <c r="H368" s="2">
        <v>7.55627269999999E-5</v>
      </c>
      <c r="I368" s="1">
        <v>0.001850574639</v>
      </c>
      <c r="J368" s="1">
        <v>0.018366572996</v>
      </c>
      <c r="K368" s="1">
        <v>0.032100725763</v>
      </c>
      <c r="L368" s="1">
        <v>0.042635881631</v>
      </c>
      <c r="M368" s="1">
        <v>0.056180164287</v>
      </c>
      <c r="N368" s="1">
        <v>0.066725727</v>
      </c>
      <c r="O368" s="1">
        <v>0.07754306</v>
      </c>
      <c r="P368" s="1">
        <v>0.08745875</v>
      </c>
      <c r="Q368" s="1">
        <v>0.097499</v>
      </c>
      <c r="R368" s="1">
        <v>0.10738693</v>
      </c>
      <c r="S368" s="1">
        <v>0.11710867</v>
      </c>
    </row>
    <row r="369" ht="14.25" hidden="1" customHeight="1">
      <c r="A369" s="1" t="s">
        <v>5</v>
      </c>
      <c r="B369" s="1" t="s">
        <v>41</v>
      </c>
      <c r="C369" s="1" t="s">
        <v>17</v>
      </c>
      <c r="D369" s="1" t="s">
        <v>16</v>
      </c>
      <c r="E369" s="2">
        <v>1.06999E-5</v>
      </c>
      <c r="F369" s="2">
        <v>3.33998E-5</v>
      </c>
      <c r="G369" s="2">
        <v>5.02987E-5</v>
      </c>
      <c r="H369" s="2">
        <v>4.39345E-5</v>
      </c>
      <c r="I369" s="2">
        <v>3.64325E-5</v>
      </c>
      <c r="J369" s="2">
        <v>7.69957E-6</v>
      </c>
      <c r="K369" s="2">
        <v>7.11139E-6</v>
      </c>
      <c r="L369" s="2">
        <v>7.82683E-6</v>
      </c>
      <c r="M369" s="2">
        <v>1.702865E-4</v>
      </c>
      <c r="N369" s="2">
        <v>3.1820336E-4</v>
      </c>
      <c r="O369" s="2">
        <v>4.37681278999999E-4</v>
      </c>
      <c r="P369" s="2">
        <v>5.28101696E-4</v>
      </c>
      <c r="Q369" s="2">
        <v>6.17244356E-4</v>
      </c>
      <c r="R369" s="2">
        <v>7.10548799999999E-4</v>
      </c>
      <c r="S369" s="2">
        <v>8.10769999999999E-4</v>
      </c>
    </row>
    <row r="370" ht="14.25" hidden="1" customHeight="1">
      <c r="A370" s="1" t="s">
        <v>5</v>
      </c>
      <c r="B370" s="1" t="s">
        <v>41</v>
      </c>
      <c r="C370" s="1" t="s">
        <v>17</v>
      </c>
      <c r="D370" s="1" t="s">
        <v>18</v>
      </c>
      <c r="E370" s="1">
        <v>0.0022325</v>
      </c>
      <c r="F370" s="1">
        <v>0.00694512</v>
      </c>
      <c r="G370" s="1">
        <v>0.0104702</v>
      </c>
      <c r="H370" s="1">
        <v>0.0103288829999999</v>
      </c>
      <c r="I370" s="1">
        <v>0.00276378939999999</v>
      </c>
      <c r="J370" s="1">
        <v>0.013673314</v>
      </c>
      <c r="K370" s="1">
        <v>0.018111017</v>
      </c>
      <c r="L370" s="1">
        <v>0.0230732066</v>
      </c>
      <c r="M370" s="1">
        <v>0.0279009583</v>
      </c>
      <c r="N370" s="1">
        <v>0.03318105</v>
      </c>
      <c r="O370" s="1">
        <v>0.038706773</v>
      </c>
      <c r="P370" s="1">
        <v>0.0441367</v>
      </c>
      <c r="Q370" s="1">
        <v>0.0493117999999999</v>
      </c>
      <c r="R370" s="1">
        <v>0.05418188</v>
      </c>
      <c r="S370" s="1">
        <v>0.05827641</v>
      </c>
    </row>
    <row r="371" ht="14.25" hidden="1" customHeight="1">
      <c r="A371" s="1" t="s">
        <v>5</v>
      </c>
      <c r="B371" s="1" t="s">
        <v>41</v>
      </c>
      <c r="C371" s="1" t="s">
        <v>17</v>
      </c>
      <c r="D371" s="1" t="s">
        <v>19</v>
      </c>
      <c r="E371" s="1">
        <v>0.0010144</v>
      </c>
      <c r="F371" s="1">
        <v>0.0031556</v>
      </c>
      <c r="G371" s="1">
        <v>0.0047574</v>
      </c>
      <c r="H371" s="1">
        <v>0.00518379</v>
      </c>
      <c r="I371" s="1">
        <v>0.001139955</v>
      </c>
      <c r="J371" s="1">
        <v>0.009055731</v>
      </c>
      <c r="K371" s="1">
        <v>0.011976782</v>
      </c>
      <c r="L371" s="1">
        <v>0.01554996</v>
      </c>
      <c r="M371" s="1">
        <v>0.01952763</v>
      </c>
      <c r="N371" s="1">
        <v>0.02400242</v>
      </c>
      <c r="O371" s="1">
        <v>0.0289105</v>
      </c>
      <c r="P371" s="1">
        <v>0.0340867299999999</v>
      </c>
      <c r="Q371" s="1">
        <v>0.03934314</v>
      </c>
      <c r="R371" s="1">
        <v>0.04447693</v>
      </c>
      <c r="S371" s="1">
        <v>0.04930164</v>
      </c>
    </row>
    <row r="372" ht="14.25" hidden="1" customHeight="1">
      <c r="A372" s="1" t="s">
        <v>5</v>
      </c>
      <c r="B372" s="1" t="s">
        <v>41</v>
      </c>
      <c r="C372" s="1" t="s">
        <v>17</v>
      </c>
      <c r="D372" s="1" t="s">
        <v>8</v>
      </c>
      <c r="E372" s="2">
        <v>4.50398E-4</v>
      </c>
      <c r="F372" s="1">
        <v>0.00140097</v>
      </c>
      <c r="G372" s="1">
        <v>0.00211212</v>
      </c>
      <c r="H372" s="1">
        <v>0.00590707</v>
      </c>
      <c r="I372" s="1">
        <v>0.004226580834316</v>
      </c>
      <c r="J372" s="1">
        <v>0.020454276604313</v>
      </c>
      <c r="K372" s="1">
        <v>0.028296710417158</v>
      </c>
      <c r="L372" s="1">
        <v>0.037324200230003</v>
      </c>
      <c r="M372" s="1">
        <v>0.04702177</v>
      </c>
      <c r="N372" s="1">
        <v>0.05753336</v>
      </c>
      <c r="O372" s="1">
        <v>0.0689462999999999</v>
      </c>
      <c r="P372" s="1">
        <v>0.08078462</v>
      </c>
      <c r="Q372" s="1">
        <v>0.09265672</v>
      </c>
      <c r="R372" s="1">
        <v>0.10407958</v>
      </c>
      <c r="S372" s="1">
        <v>0.1146451</v>
      </c>
    </row>
    <row r="373" ht="14.25" hidden="1" customHeight="1">
      <c r="A373" s="1" t="s">
        <v>5</v>
      </c>
      <c r="B373" s="1" t="s">
        <v>41</v>
      </c>
      <c r="C373" s="1" t="s">
        <v>17</v>
      </c>
      <c r="D373" s="1" t="s">
        <v>20</v>
      </c>
      <c r="E373" s="2">
        <v>3.38947E-4</v>
      </c>
      <c r="F373" s="1">
        <v>0.00105421</v>
      </c>
      <c r="G373" s="1">
        <v>0.00158895</v>
      </c>
      <c r="H373" s="1">
        <v>0.001776914</v>
      </c>
      <c r="I373" s="2">
        <v>6.47313E-4</v>
      </c>
      <c r="J373" s="1">
        <v>0.00320738</v>
      </c>
      <c r="K373" s="1">
        <v>0.00428939</v>
      </c>
      <c r="L373" s="1">
        <v>0.00547026999999999</v>
      </c>
      <c r="M373" s="1">
        <v>0.006805578</v>
      </c>
      <c r="N373" s="1">
        <v>0.00831921</v>
      </c>
      <c r="O373" s="1">
        <v>0.00996036</v>
      </c>
      <c r="P373" s="1">
        <v>0.01166353</v>
      </c>
      <c r="Q373" s="1">
        <v>0.01337563</v>
      </c>
      <c r="R373" s="1">
        <v>0.01502585</v>
      </c>
      <c r="S373" s="1">
        <v>0.01654786</v>
      </c>
    </row>
    <row r="374" ht="14.25" hidden="1" customHeight="1">
      <c r="A374" s="1" t="s">
        <v>5</v>
      </c>
      <c r="B374" s="1" t="s">
        <v>41</v>
      </c>
      <c r="C374" s="1" t="s">
        <v>21</v>
      </c>
      <c r="D374" s="1" t="s">
        <v>10</v>
      </c>
      <c r="E374" s="1">
        <v>0.00140021</v>
      </c>
      <c r="F374" s="1">
        <v>0.00435599</v>
      </c>
      <c r="G374" s="1">
        <v>0.00684795</v>
      </c>
      <c r="H374" s="1">
        <v>0.00863616</v>
      </c>
      <c r="I374" s="1">
        <v>0.00741680999999999</v>
      </c>
      <c r="J374" s="1">
        <v>0.00496221474</v>
      </c>
      <c r="K374" s="1">
        <v>0.01287123597</v>
      </c>
      <c r="L374" s="1">
        <v>0.01420156549</v>
      </c>
      <c r="M374" s="1">
        <v>0.0146841016779999</v>
      </c>
      <c r="N374" s="1">
        <v>0.01489544</v>
      </c>
      <c r="O374" s="1">
        <v>0.01467685</v>
      </c>
      <c r="P374" s="1">
        <v>0.01475758</v>
      </c>
      <c r="Q374" s="1">
        <v>0.0147719299999999</v>
      </c>
      <c r="R374" s="1">
        <v>0.01463371</v>
      </c>
      <c r="S374" s="1">
        <v>0.01433527</v>
      </c>
    </row>
    <row r="375" ht="14.25" hidden="1" customHeight="1">
      <c r="A375" s="1" t="s">
        <v>5</v>
      </c>
      <c r="B375" s="1" t="s">
        <v>41</v>
      </c>
      <c r="C375" s="1" t="s">
        <v>21</v>
      </c>
      <c r="D375" s="1" t="s">
        <v>11</v>
      </c>
      <c r="E375" s="2">
        <v>1.08E-5</v>
      </c>
      <c r="F375" s="2">
        <v>3.35E-5</v>
      </c>
      <c r="G375" s="2">
        <v>5.27E-5</v>
      </c>
      <c r="H375" s="1">
        <v>0.0129625463</v>
      </c>
      <c r="I375" s="1">
        <v>0.005634708229</v>
      </c>
      <c r="J375" s="1">
        <v>0.019467182247</v>
      </c>
      <c r="K375" s="1">
        <v>0.01777217</v>
      </c>
      <c r="L375" s="1">
        <v>0.01201526</v>
      </c>
      <c r="M375" s="1">
        <v>0.0101188</v>
      </c>
      <c r="N375" s="1">
        <v>0.00934406</v>
      </c>
      <c r="O375" s="1">
        <v>0.00916342</v>
      </c>
      <c r="P375" s="1">
        <v>0.00980561</v>
      </c>
      <c r="Q375" s="1">
        <v>0.01043629</v>
      </c>
      <c r="R375" s="1">
        <v>0.0109948199999999</v>
      </c>
      <c r="S375" s="1">
        <v>0.01137032</v>
      </c>
    </row>
    <row r="376" ht="14.25" hidden="1" customHeight="1">
      <c r="A376" s="1" t="s">
        <v>5</v>
      </c>
      <c r="B376" s="1" t="s">
        <v>41</v>
      </c>
      <c r="C376" s="1" t="s">
        <v>21</v>
      </c>
      <c r="D376" s="1" t="s">
        <v>22</v>
      </c>
      <c r="E376" s="2">
        <v>4.31E-5</v>
      </c>
      <c r="F376" s="2">
        <v>1.34E-4</v>
      </c>
      <c r="G376" s="2">
        <v>2.107E-4</v>
      </c>
      <c r="H376" s="2">
        <v>2.93611999999999E-4</v>
      </c>
      <c r="I376" s="2">
        <v>2.385861E-4</v>
      </c>
      <c r="J376" s="2">
        <v>5.829228E-4</v>
      </c>
      <c r="K376" s="2">
        <v>5.16337E-4</v>
      </c>
      <c r="L376" s="2">
        <v>5.41093E-4</v>
      </c>
      <c r="M376" s="2">
        <v>5.30148E-4</v>
      </c>
      <c r="N376" s="2">
        <v>5.38017E-4</v>
      </c>
      <c r="O376" s="2">
        <v>5.31879E-4</v>
      </c>
      <c r="P376" s="2">
        <v>5.25353E-4</v>
      </c>
      <c r="Q376" s="2">
        <v>5.22176E-4</v>
      </c>
      <c r="R376" s="2">
        <v>5.18204E-4</v>
      </c>
      <c r="S376" s="2">
        <v>5.10803E-4</v>
      </c>
    </row>
    <row r="377" ht="14.25" hidden="1" customHeight="1">
      <c r="A377" s="1" t="s">
        <v>5</v>
      </c>
      <c r="B377" s="1" t="s">
        <v>41</v>
      </c>
      <c r="C377" s="1" t="s">
        <v>21</v>
      </c>
      <c r="D377" s="1" t="s">
        <v>23</v>
      </c>
      <c r="E377" s="2">
        <v>4.310671E-5</v>
      </c>
      <c r="F377" s="2">
        <v>1.339976E-4</v>
      </c>
      <c r="G377" s="2">
        <v>2.10698599999999E-4</v>
      </c>
      <c r="H377" s="2">
        <v>4.456383E-4</v>
      </c>
      <c r="I377" s="2">
        <v>4.47881799999999E-4</v>
      </c>
      <c r="J377" s="2">
        <v>9.3834399E-4</v>
      </c>
      <c r="K377" s="2">
        <v>9.34540999999999E-4</v>
      </c>
      <c r="L377" s="1">
        <v>0.001090926</v>
      </c>
      <c r="M377" s="1">
        <v>0.001307593</v>
      </c>
      <c r="N377" s="1">
        <v>0.001457496</v>
      </c>
      <c r="O377" s="1">
        <v>0.001516925</v>
      </c>
      <c r="P377" s="1">
        <v>0.001733462</v>
      </c>
      <c r="Q377" s="1">
        <v>0.001983165</v>
      </c>
      <c r="R377" s="1">
        <v>0.002216936</v>
      </c>
      <c r="S377" s="1">
        <v>0.002420858</v>
      </c>
    </row>
    <row r="378" ht="14.25" hidden="1" customHeight="1">
      <c r="A378" s="1" t="s">
        <v>5</v>
      </c>
      <c r="B378" s="1" t="s">
        <v>41</v>
      </c>
      <c r="C378" s="1" t="s">
        <v>21</v>
      </c>
      <c r="D378" s="1" t="s">
        <v>24</v>
      </c>
      <c r="E378" s="2">
        <v>7.58305999999999E-4</v>
      </c>
      <c r="F378" s="1">
        <v>0.0023589</v>
      </c>
      <c r="G378" s="1">
        <v>0.0037084</v>
      </c>
      <c r="H378" s="1">
        <v>0.00518435</v>
      </c>
      <c r="I378" s="1">
        <v>0.004172941</v>
      </c>
      <c r="J378" s="1">
        <v>0.004640634</v>
      </c>
      <c r="K378" s="1">
        <v>0.00420504799999999</v>
      </c>
      <c r="L378" s="1">
        <v>0.004106281</v>
      </c>
      <c r="M378" s="1">
        <v>0.003973707</v>
      </c>
      <c r="N378" s="1">
        <v>0.003897139</v>
      </c>
      <c r="O378" s="1">
        <v>0.003762658</v>
      </c>
      <c r="P378" s="1">
        <v>0.003789451</v>
      </c>
      <c r="Q378" s="1">
        <v>0.003797104</v>
      </c>
      <c r="R378" s="1">
        <v>0.00377307299999999</v>
      </c>
      <c r="S378" s="1">
        <v>0.003713908</v>
      </c>
    </row>
    <row r="379" ht="14.25" hidden="1" customHeight="1">
      <c r="A379" s="1" t="s">
        <v>5</v>
      </c>
      <c r="B379" s="1" t="s">
        <v>41</v>
      </c>
      <c r="C379" s="1" t="s">
        <v>21</v>
      </c>
      <c r="D379" s="1" t="s">
        <v>12</v>
      </c>
      <c r="E379" s="2">
        <v>1.10004E-6</v>
      </c>
      <c r="F379" s="2">
        <v>3.39957E-6</v>
      </c>
      <c r="G379" s="2">
        <v>5.30544E-6</v>
      </c>
      <c r="H379" s="2">
        <v>3.13388E-6</v>
      </c>
      <c r="I379" s="2">
        <v>2.58614E-5</v>
      </c>
      <c r="J379" s="2">
        <v>7.51974E-5</v>
      </c>
      <c r="K379" s="2">
        <v>7.44291E-5</v>
      </c>
      <c r="L379" s="2">
        <v>7.88185E-5</v>
      </c>
      <c r="M379" s="2">
        <v>7.79684E-5</v>
      </c>
      <c r="N379" s="2">
        <v>7.93653E-5</v>
      </c>
      <c r="O379" s="2">
        <v>7.85648E-5</v>
      </c>
      <c r="P379" s="2">
        <v>7.77391E-5</v>
      </c>
      <c r="Q379" s="2">
        <v>7.73192E-5</v>
      </c>
      <c r="R379" s="2">
        <v>7.67445E-5</v>
      </c>
      <c r="S379" s="2">
        <v>7.56514E-5</v>
      </c>
    </row>
    <row r="380" ht="14.25" hidden="1" customHeight="1">
      <c r="A380" s="1" t="s">
        <v>5</v>
      </c>
      <c r="B380" s="1" t="s">
        <v>41</v>
      </c>
      <c r="C380" s="1" t="s">
        <v>21</v>
      </c>
      <c r="D380" s="1" t="s">
        <v>13</v>
      </c>
      <c r="E380" s="1">
        <v>0.00275426</v>
      </c>
      <c r="F380" s="1">
        <v>0.00856855</v>
      </c>
      <c r="G380" s="1">
        <v>0.00966686</v>
      </c>
      <c r="H380" s="1">
        <v>0.006460406</v>
      </c>
      <c r="I380" s="1">
        <v>0.00531240699999999</v>
      </c>
      <c r="J380" s="1">
        <v>0.005012653</v>
      </c>
      <c r="K380" s="1">
        <v>0.0026607692</v>
      </c>
      <c r="L380" s="1">
        <v>0.0033656596</v>
      </c>
      <c r="M380" s="1">
        <v>0.004707885</v>
      </c>
      <c r="N380" s="1">
        <v>0.006982316</v>
      </c>
      <c r="O380" s="1">
        <v>0.009479107</v>
      </c>
      <c r="P380" s="1">
        <v>0.012002254</v>
      </c>
      <c r="Q380" s="1">
        <v>0.014229674</v>
      </c>
      <c r="R380" s="1">
        <v>0.01639234</v>
      </c>
      <c r="S380" s="1">
        <v>0.0186688299999999</v>
      </c>
    </row>
    <row r="381" ht="14.25" hidden="1" customHeight="1">
      <c r="A381" s="1" t="s">
        <v>5</v>
      </c>
      <c r="B381" s="1" t="s">
        <v>41</v>
      </c>
      <c r="C381" s="1" t="s">
        <v>21</v>
      </c>
      <c r="D381" s="1" t="s">
        <v>14</v>
      </c>
      <c r="E381" s="2">
        <v>1.08E-5</v>
      </c>
      <c r="F381" s="2">
        <v>3.37E-5</v>
      </c>
      <c r="G381" s="2">
        <v>3.81001E-5</v>
      </c>
      <c r="H381" s="1">
        <v>0.0066097293</v>
      </c>
      <c r="I381" s="1">
        <v>0.01130786</v>
      </c>
      <c r="J381" s="1">
        <v>0.003966805</v>
      </c>
      <c r="K381" s="2">
        <v>2.31839E-4</v>
      </c>
      <c r="L381" s="2">
        <v>9.50791E-5</v>
      </c>
      <c r="M381" s="2">
        <v>9.18029E-5</v>
      </c>
      <c r="N381" s="2">
        <v>1.060611E-4</v>
      </c>
      <c r="O381" s="2">
        <v>1.20271E-4</v>
      </c>
      <c r="P381" s="2">
        <v>1.421822E-4</v>
      </c>
      <c r="Q381" s="2">
        <v>1.558299E-4</v>
      </c>
      <c r="R381" s="2">
        <v>1.70613699999999E-4</v>
      </c>
      <c r="S381" s="2">
        <v>1.894203E-4</v>
      </c>
    </row>
    <row r="382" ht="14.25" hidden="1" customHeight="1">
      <c r="A382" s="1" t="s">
        <v>5</v>
      </c>
      <c r="B382" s="1" t="s">
        <v>41</v>
      </c>
      <c r="C382" s="1" t="s">
        <v>21</v>
      </c>
      <c r="D382" s="1" t="s">
        <v>25</v>
      </c>
      <c r="E382" s="2">
        <v>2.602E-4</v>
      </c>
      <c r="F382" s="2">
        <v>8.096E-4</v>
      </c>
      <c r="G382" s="2">
        <v>9.134E-4</v>
      </c>
      <c r="H382" s="1">
        <v>0.001092119</v>
      </c>
      <c r="I382" s="1">
        <v>0.001136558</v>
      </c>
      <c r="J382" s="1">
        <v>0.001097831</v>
      </c>
      <c r="K382" s="1">
        <v>0.00101623</v>
      </c>
      <c r="L382" s="1">
        <v>0.001015542</v>
      </c>
      <c r="M382" s="2">
        <v>9.33554E-4</v>
      </c>
      <c r="N382" s="1">
        <v>0.001108788</v>
      </c>
      <c r="O382" s="1">
        <v>0.001302234</v>
      </c>
      <c r="P382" s="1">
        <v>0.001505901</v>
      </c>
      <c r="Q382" s="1">
        <v>0.001724839</v>
      </c>
      <c r="R382" s="1">
        <v>0.001945425</v>
      </c>
      <c r="S382" s="1">
        <v>0.002143299</v>
      </c>
    </row>
    <row r="383" ht="14.25" hidden="1" customHeight="1">
      <c r="A383" s="1" t="s">
        <v>5</v>
      </c>
      <c r="B383" s="1" t="s">
        <v>41</v>
      </c>
      <c r="C383" s="1" t="s">
        <v>21</v>
      </c>
      <c r="D383" s="1" t="s">
        <v>26</v>
      </c>
      <c r="E383" s="1">
        <v>0.00125788</v>
      </c>
      <c r="F383" s="1">
        <v>0.003913187</v>
      </c>
      <c r="G383" s="1">
        <v>0.004414688</v>
      </c>
      <c r="H383" s="1">
        <v>0.00714905699999999</v>
      </c>
      <c r="I383" s="1">
        <v>0.006817188</v>
      </c>
      <c r="J383" s="1">
        <v>0.008350154</v>
      </c>
      <c r="K383" s="1">
        <v>0.00858385</v>
      </c>
      <c r="L383" s="1">
        <v>0.00952229</v>
      </c>
      <c r="M383" s="1">
        <v>0.01087452</v>
      </c>
      <c r="N383" s="1">
        <v>0.01658695</v>
      </c>
      <c r="O383" s="1">
        <v>0.0240833599999999</v>
      </c>
      <c r="P383" s="1">
        <v>0.03349352</v>
      </c>
      <c r="Q383" s="1">
        <v>0.04486839</v>
      </c>
      <c r="R383" s="1">
        <v>0.05822315</v>
      </c>
      <c r="S383" s="1">
        <v>0.0728973</v>
      </c>
    </row>
    <row r="384" ht="14.25" hidden="1" customHeight="1">
      <c r="A384" s="1" t="s">
        <v>5</v>
      </c>
      <c r="B384" s="1" t="s">
        <v>41</v>
      </c>
      <c r="C384" s="1" t="s">
        <v>21</v>
      </c>
      <c r="D384" s="1" t="s">
        <v>27</v>
      </c>
      <c r="E384" s="1">
        <v>0.00125570399999999</v>
      </c>
      <c r="F384" s="1">
        <v>0.0039064</v>
      </c>
      <c r="G384" s="1">
        <v>0.004407099</v>
      </c>
      <c r="H384" s="1">
        <v>0.00725702999999999</v>
      </c>
      <c r="I384" s="1">
        <v>0.007057779</v>
      </c>
      <c r="J384" s="1">
        <v>0.012858169</v>
      </c>
      <c r="K384" s="1">
        <v>0.0150026509999999</v>
      </c>
      <c r="L384" s="1">
        <v>0.0175243</v>
      </c>
      <c r="M384" s="1">
        <v>0.02067036</v>
      </c>
      <c r="N384" s="1">
        <v>0.02385127</v>
      </c>
      <c r="O384" s="1">
        <v>0.02690488</v>
      </c>
      <c r="P384" s="1">
        <v>0.03063496</v>
      </c>
      <c r="Q384" s="1">
        <v>0.03445877</v>
      </c>
      <c r="R384" s="1">
        <v>0.03815402</v>
      </c>
      <c r="S384" s="1">
        <v>0.04169085</v>
      </c>
    </row>
    <row r="385" ht="14.25" hidden="1" customHeight="1">
      <c r="A385" s="1" t="s">
        <v>5</v>
      </c>
      <c r="B385" s="1" t="s">
        <v>41</v>
      </c>
      <c r="C385" s="1" t="s">
        <v>21</v>
      </c>
      <c r="D385" s="1" t="s">
        <v>28</v>
      </c>
      <c r="E385" s="2">
        <v>1.1E-6</v>
      </c>
      <c r="F385" s="2">
        <v>3.4E-6</v>
      </c>
      <c r="G385" s="2">
        <v>3.8E-6</v>
      </c>
      <c r="H385" s="2">
        <v>3.59563E-6</v>
      </c>
      <c r="I385" s="2">
        <v>3.59371E-6</v>
      </c>
      <c r="J385" s="2">
        <v>3.93116E-6</v>
      </c>
      <c r="K385" s="2">
        <v>3.58016E-6</v>
      </c>
      <c r="L385" s="2">
        <v>3.51638E-6</v>
      </c>
      <c r="M385" s="2">
        <v>3.14926E-6</v>
      </c>
      <c r="N385" s="2">
        <v>3.69632E-6</v>
      </c>
      <c r="O385" s="2">
        <v>4.32929E-6</v>
      </c>
      <c r="P385" s="2">
        <v>5.00345E-6</v>
      </c>
      <c r="Q385" s="2">
        <v>5.73035E-6</v>
      </c>
      <c r="R385" s="2">
        <v>6.4631E-6</v>
      </c>
      <c r="S385" s="2">
        <v>7.12046E-6</v>
      </c>
    </row>
    <row r="386" ht="14.25" hidden="1" customHeight="1">
      <c r="A386" s="1" t="s">
        <v>5</v>
      </c>
      <c r="B386" s="1" t="s">
        <v>41</v>
      </c>
      <c r="C386" s="1" t="s">
        <v>29</v>
      </c>
      <c r="D386" s="1" t="s">
        <v>16</v>
      </c>
      <c r="E386" s="1">
        <v>0.00333976</v>
      </c>
      <c r="F386" s="1">
        <v>0.00641176</v>
      </c>
      <c r="G386" s="1">
        <v>0.00259933</v>
      </c>
      <c r="H386" s="1">
        <v>0.00200639</v>
      </c>
      <c r="I386" s="1">
        <v>0.00168392</v>
      </c>
      <c r="J386" s="2">
        <v>3.97898E-4</v>
      </c>
      <c r="K386" s="2">
        <v>4.69475E-4</v>
      </c>
      <c r="L386" s="2">
        <v>6.109658E-4</v>
      </c>
      <c r="M386" s="1">
        <v>0.0018635109</v>
      </c>
      <c r="N386" s="1">
        <v>0.0031974925</v>
      </c>
      <c r="O386" s="1">
        <v>0.00429335239</v>
      </c>
      <c r="P386" s="1">
        <v>0.00502397125</v>
      </c>
      <c r="Q386" s="1">
        <v>0.00577076588</v>
      </c>
      <c r="R386" s="1">
        <v>0.006515266</v>
      </c>
      <c r="S386" s="1">
        <v>0.007170873</v>
      </c>
    </row>
    <row r="387" ht="14.25" hidden="1" customHeight="1">
      <c r="A387" s="1" t="s">
        <v>5</v>
      </c>
      <c r="B387" s="1" t="s">
        <v>41</v>
      </c>
      <c r="C387" s="1" t="s">
        <v>29</v>
      </c>
      <c r="D387" s="1" t="s">
        <v>8</v>
      </c>
      <c r="E387" s="2">
        <v>4.69998E-5</v>
      </c>
      <c r="F387" s="2">
        <v>9.02978E-5</v>
      </c>
      <c r="G387" s="2">
        <v>3.66003E-5</v>
      </c>
      <c r="H387" s="2">
        <v>2.8332107E-5</v>
      </c>
      <c r="I387" s="2">
        <v>3.95032864599999E-4</v>
      </c>
      <c r="J387" s="2">
        <v>3.680168572E-4</v>
      </c>
      <c r="K387" s="2">
        <v>3.279395035E-4</v>
      </c>
      <c r="L387" s="2">
        <v>2.675143398E-4</v>
      </c>
      <c r="M387" s="2">
        <v>2.01765542399999E-4</v>
      </c>
      <c r="N387" s="2">
        <v>1.7288516E-4</v>
      </c>
      <c r="O387" s="2">
        <v>1.483516E-4</v>
      </c>
      <c r="P387" s="2">
        <v>1.7128508E-4</v>
      </c>
      <c r="Q387" s="2">
        <v>1.9589873E-4</v>
      </c>
      <c r="R387" s="2">
        <v>2.1997977E-4</v>
      </c>
      <c r="S387" s="2">
        <v>2.41666519999999E-4</v>
      </c>
    </row>
    <row r="388" ht="14.25" hidden="1" customHeight="1">
      <c r="A388" s="1" t="s">
        <v>5</v>
      </c>
      <c r="B388" s="1" t="s">
        <v>41</v>
      </c>
      <c r="C388" s="1" t="s">
        <v>29</v>
      </c>
      <c r="D388" s="1" t="s">
        <v>10</v>
      </c>
      <c r="E388" s="2">
        <v>2.39001E-5</v>
      </c>
      <c r="F388" s="2">
        <v>4.57999E-5</v>
      </c>
      <c r="G388" s="2">
        <v>7.29006E-5</v>
      </c>
      <c r="H388" s="1">
        <v>0.001179601</v>
      </c>
      <c r="I388" s="1">
        <v>0.00102473045999999</v>
      </c>
      <c r="J388" s="2">
        <v>8.4675982877E-4</v>
      </c>
      <c r="K388" s="2">
        <v>6.0418233887E-4</v>
      </c>
      <c r="L388" s="2">
        <v>3.5422391689E-4</v>
      </c>
      <c r="M388" s="2">
        <v>1.71900070389999E-4</v>
      </c>
      <c r="N388" s="2">
        <v>2.19517668899999E-5</v>
      </c>
      <c r="O388" s="2">
        <v>1.8724759906E-5</v>
      </c>
      <c r="P388" s="2">
        <v>1.548034E-5</v>
      </c>
      <c r="Q388" s="2">
        <v>1.228206E-5</v>
      </c>
      <c r="R388" s="2">
        <v>1.0729648E-5</v>
      </c>
      <c r="S388" s="2">
        <v>9.777616E-6</v>
      </c>
    </row>
    <row r="389" ht="14.25" hidden="1" customHeight="1">
      <c r="A389" s="1" t="s">
        <v>5</v>
      </c>
      <c r="B389" s="1" t="s">
        <v>41</v>
      </c>
      <c r="C389" s="1" t="s">
        <v>29</v>
      </c>
      <c r="D389" s="1" t="s">
        <v>11</v>
      </c>
      <c r="E389" s="1">
        <v>0.00542831</v>
      </c>
      <c r="F389" s="1">
        <v>0.0104215</v>
      </c>
      <c r="G389" s="1">
        <v>0.0165675</v>
      </c>
      <c r="H389" s="1">
        <v>0.0128022205</v>
      </c>
      <c r="I389" s="1">
        <v>0.010745074</v>
      </c>
      <c r="J389" s="1">
        <v>0.0173909307</v>
      </c>
      <c r="K389" s="1">
        <v>0.02177886027</v>
      </c>
      <c r="L389" s="1">
        <v>0.02912328988</v>
      </c>
      <c r="M389" s="1">
        <v>0.0300889165199999</v>
      </c>
      <c r="N389" s="1">
        <v>0.03174838</v>
      </c>
      <c r="O389" s="1">
        <v>0.03164692</v>
      </c>
      <c r="P389" s="1">
        <v>0.03036951</v>
      </c>
      <c r="Q389" s="1">
        <v>0.02940467</v>
      </c>
      <c r="R389" s="1">
        <v>0.02844642</v>
      </c>
      <c r="S389" s="1">
        <v>0.02752517</v>
      </c>
    </row>
    <row r="390" ht="14.25" hidden="1" customHeight="1">
      <c r="A390" s="1" t="s">
        <v>5</v>
      </c>
      <c r="B390" s="1" t="s">
        <v>41</v>
      </c>
      <c r="C390" s="1" t="s">
        <v>29</v>
      </c>
      <c r="D390" s="1" t="s">
        <v>13</v>
      </c>
      <c r="E390" s="2">
        <v>2.38997E-5</v>
      </c>
      <c r="F390" s="2">
        <v>4.60003E-5</v>
      </c>
      <c r="G390" s="2">
        <v>5.69003E-5</v>
      </c>
      <c r="H390" s="1">
        <v>0.0243080207</v>
      </c>
      <c r="I390" s="1">
        <v>0.0303000016</v>
      </c>
      <c r="J390" s="1">
        <v>0.0445970502</v>
      </c>
      <c r="K390" s="1">
        <v>0.0619864688</v>
      </c>
      <c r="L390" s="1">
        <v>0.0763569097</v>
      </c>
      <c r="M390" s="1">
        <v>0.09258389</v>
      </c>
      <c r="N390" s="1">
        <v>0.109359619999999</v>
      </c>
      <c r="O390" s="1">
        <v>0.12743588</v>
      </c>
      <c r="P390" s="1">
        <v>0.14462139</v>
      </c>
      <c r="Q390" s="1">
        <v>0.162394209999999</v>
      </c>
      <c r="R390" s="1">
        <v>0.18005901</v>
      </c>
      <c r="S390" s="1">
        <v>0.19661175</v>
      </c>
    </row>
    <row r="391" ht="14.25" hidden="1" customHeight="1">
      <c r="A391" s="1" t="s">
        <v>5</v>
      </c>
      <c r="B391" s="1" t="s">
        <v>41</v>
      </c>
      <c r="C391" s="1" t="s">
        <v>29</v>
      </c>
      <c r="D391" s="1" t="s">
        <v>14</v>
      </c>
      <c r="E391" s="1">
        <v>0.0200199</v>
      </c>
      <c r="F391" s="1">
        <v>0.0384349</v>
      </c>
      <c r="G391" s="1">
        <v>0.0475474</v>
      </c>
      <c r="H391" s="1">
        <v>0.036805829</v>
      </c>
      <c r="I391" s="1">
        <v>0.0309233968</v>
      </c>
      <c r="J391" s="1">
        <v>0.0286547157</v>
      </c>
      <c r="K391" s="1">
        <v>0.0246626724</v>
      </c>
      <c r="L391" s="1">
        <v>0.0209451661</v>
      </c>
      <c r="M391" s="1">
        <v>0.01320170314</v>
      </c>
      <c r="N391" s="1">
        <v>0.01581115875</v>
      </c>
      <c r="O391" s="1">
        <v>0.019224112</v>
      </c>
      <c r="P391" s="1">
        <v>0.022970405</v>
      </c>
      <c r="Q391" s="1">
        <v>0.026889236</v>
      </c>
      <c r="R391" s="1">
        <v>0.030997062</v>
      </c>
      <c r="S391" s="1">
        <v>0.034872513</v>
      </c>
    </row>
    <row r="392" ht="14.25" hidden="1" customHeight="1">
      <c r="A392" s="1" t="s">
        <v>5</v>
      </c>
      <c r="B392" s="1" t="s">
        <v>41</v>
      </c>
      <c r="C392" s="1" t="s">
        <v>31</v>
      </c>
      <c r="D392" s="1" t="s">
        <v>11</v>
      </c>
      <c r="E392" s="1">
        <v>0.0687716</v>
      </c>
      <c r="F392" s="1">
        <v>0.0805759</v>
      </c>
      <c r="G392" s="1">
        <v>0.085641</v>
      </c>
      <c r="H392" s="1">
        <v>0.033901</v>
      </c>
      <c r="I392" s="1">
        <v>0.121294</v>
      </c>
      <c r="J392" s="1">
        <v>0.00889258</v>
      </c>
      <c r="K392" s="1">
        <v>0.00721732</v>
      </c>
      <c r="L392" s="1">
        <v>0.00918641</v>
      </c>
      <c r="M392" s="1">
        <v>0.00611193</v>
      </c>
      <c r="N392" s="1">
        <v>0.00272</v>
      </c>
      <c r="O392" s="1">
        <v>0.0</v>
      </c>
      <c r="P392" s="1">
        <v>0.0</v>
      </c>
      <c r="Q392" s="1">
        <v>0.0</v>
      </c>
      <c r="R392" s="1">
        <v>0.0</v>
      </c>
      <c r="S392" s="1">
        <v>0.0</v>
      </c>
    </row>
    <row r="393" ht="14.25" hidden="1" customHeight="1">
      <c r="A393" s="1" t="s">
        <v>5</v>
      </c>
      <c r="B393" s="1" t="s">
        <v>42</v>
      </c>
      <c r="C393" s="1" t="s">
        <v>7</v>
      </c>
      <c r="D393" s="1" t="s">
        <v>8</v>
      </c>
      <c r="E393" s="1">
        <v>0.00249387</v>
      </c>
      <c r="F393" s="1">
        <v>0.00317509</v>
      </c>
      <c r="G393" s="1">
        <v>0.00339762</v>
      </c>
      <c r="H393" s="2">
        <v>8.41431E-4</v>
      </c>
      <c r="I393" s="2">
        <v>2.34372E-4</v>
      </c>
      <c r="J393" s="2">
        <v>1.00429E-4</v>
      </c>
      <c r="K393" s="2">
        <v>7.26464E-5</v>
      </c>
      <c r="L393" s="2">
        <v>6.64959E-5</v>
      </c>
      <c r="M393" s="2">
        <v>4.63293E-5</v>
      </c>
      <c r="N393" s="2">
        <v>2.67254E-5</v>
      </c>
      <c r="O393" s="1">
        <v>0.0</v>
      </c>
      <c r="P393" s="1">
        <v>0.0</v>
      </c>
      <c r="Q393" s="1">
        <v>0.0</v>
      </c>
      <c r="R393" s="1">
        <v>0.0</v>
      </c>
      <c r="S393" s="1">
        <v>0.0</v>
      </c>
    </row>
    <row r="394" ht="14.25" hidden="1" customHeight="1">
      <c r="A394" s="1" t="s">
        <v>5</v>
      </c>
      <c r="B394" s="1" t="s">
        <v>42</v>
      </c>
      <c r="C394" s="1" t="s">
        <v>9</v>
      </c>
      <c r="D394" s="1" t="s">
        <v>8</v>
      </c>
      <c r="E394" s="2">
        <v>6.77418E-4</v>
      </c>
      <c r="F394" s="2">
        <v>5.94116E-4</v>
      </c>
      <c r="G394" s="2">
        <v>8.73854E-4</v>
      </c>
      <c r="H394" s="2">
        <v>5.28572E-4</v>
      </c>
      <c r="I394" s="2">
        <v>8.52504E-6</v>
      </c>
      <c r="J394" s="1">
        <v>0.0</v>
      </c>
      <c r="K394" s="1">
        <v>0.0</v>
      </c>
      <c r="L394" s="1">
        <v>0.0</v>
      </c>
      <c r="M394" s="1">
        <v>0.0</v>
      </c>
      <c r="N394" s="1">
        <v>0.0</v>
      </c>
      <c r="O394" s="1">
        <v>0.0</v>
      </c>
      <c r="P394" s="1">
        <v>0.0</v>
      </c>
      <c r="Q394" s="1">
        <v>0.0</v>
      </c>
      <c r="R394" s="1">
        <v>0.0</v>
      </c>
      <c r="S394" s="1">
        <v>0.0</v>
      </c>
    </row>
    <row r="395" ht="14.25" hidden="1" customHeight="1">
      <c r="A395" s="1" t="s">
        <v>5</v>
      </c>
      <c r="B395" s="1" t="s">
        <v>42</v>
      </c>
      <c r="C395" s="1" t="s">
        <v>9</v>
      </c>
      <c r="D395" s="1" t="s">
        <v>10</v>
      </c>
      <c r="E395" s="2">
        <v>3.84073E-5</v>
      </c>
      <c r="F395" s="2">
        <v>3.36962E-5</v>
      </c>
      <c r="G395" s="2">
        <v>1.20011E-6</v>
      </c>
      <c r="H395" s="2">
        <v>1.734E-6</v>
      </c>
      <c r="I395" s="1">
        <v>0.0</v>
      </c>
      <c r="J395" s="2">
        <v>9.10769E-4</v>
      </c>
      <c r="K395" s="1">
        <v>0.0</v>
      </c>
      <c r="L395" s="1">
        <v>0.0</v>
      </c>
      <c r="M395" s="1">
        <v>0.0</v>
      </c>
      <c r="N395" s="1">
        <v>0.0</v>
      </c>
      <c r="O395" s="1">
        <v>0.0</v>
      </c>
      <c r="P395" s="1">
        <v>0.0</v>
      </c>
      <c r="Q395" s="1">
        <v>0.0</v>
      </c>
      <c r="R395" s="1">
        <v>0.0</v>
      </c>
      <c r="S395" s="1">
        <v>0.0</v>
      </c>
    </row>
    <row r="396" ht="14.25" hidden="1" customHeight="1">
      <c r="A396" s="1" t="s">
        <v>5</v>
      </c>
      <c r="B396" s="1" t="s">
        <v>42</v>
      </c>
      <c r="C396" s="1" t="s">
        <v>9</v>
      </c>
      <c r="D396" s="1" t="s">
        <v>11</v>
      </c>
      <c r="E396" s="2">
        <v>3.83986E-5</v>
      </c>
      <c r="F396" s="2">
        <v>3.37008E-5</v>
      </c>
      <c r="G396" s="2">
        <v>1.20007E-6</v>
      </c>
      <c r="H396" s="1">
        <v>0.00153029</v>
      </c>
      <c r="I396" s="1">
        <v>0.0</v>
      </c>
      <c r="J396" s="2">
        <v>5.05101E-6</v>
      </c>
      <c r="K396" s="1">
        <v>0.0</v>
      </c>
      <c r="L396" s="1">
        <v>0.0</v>
      </c>
      <c r="M396" s="1">
        <v>0.0</v>
      </c>
      <c r="N396" s="1">
        <v>0.0</v>
      </c>
      <c r="O396" s="1">
        <v>0.0</v>
      </c>
      <c r="P396" s="1">
        <v>0.0</v>
      </c>
      <c r="Q396" s="1">
        <v>0.0</v>
      </c>
      <c r="R396" s="1">
        <v>0.0</v>
      </c>
      <c r="S396" s="1">
        <v>0.0</v>
      </c>
    </row>
    <row r="397" ht="14.25" hidden="1" customHeight="1">
      <c r="A397" s="1" t="s">
        <v>5</v>
      </c>
      <c r="B397" s="1" t="s">
        <v>42</v>
      </c>
      <c r="C397" s="1" t="s">
        <v>9</v>
      </c>
      <c r="D397" s="1" t="s">
        <v>12</v>
      </c>
      <c r="E397" s="1">
        <v>0.00715156</v>
      </c>
      <c r="F397" s="1">
        <v>0.006272</v>
      </c>
      <c r="G397" s="2">
        <v>2.25842E-4</v>
      </c>
      <c r="H397" s="2">
        <v>8.69355E-4</v>
      </c>
      <c r="I397" s="1">
        <v>0.00114199</v>
      </c>
      <c r="J397" s="2">
        <v>6.72053E-4</v>
      </c>
      <c r="K397" s="1">
        <v>0.0</v>
      </c>
      <c r="L397" s="1">
        <v>0.0</v>
      </c>
      <c r="M397" s="1">
        <v>0.0</v>
      </c>
      <c r="N397" s="1">
        <v>0.0</v>
      </c>
      <c r="O397" s="1">
        <v>0.0</v>
      </c>
      <c r="P397" s="1">
        <v>0.0</v>
      </c>
      <c r="Q397" s="1">
        <v>0.0</v>
      </c>
      <c r="R397" s="1">
        <v>0.0</v>
      </c>
      <c r="S397" s="1">
        <v>0.0</v>
      </c>
    </row>
    <row r="398" ht="14.25" hidden="1" customHeight="1">
      <c r="A398" s="1" t="s">
        <v>5</v>
      </c>
      <c r="B398" s="1" t="s">
        <v>42</v>
      </c>
      <c r="C398" s="1" t="s">
        <v>9</v>
      </c>
      <c r="D398" s="1" t="s">
        <v>13</v>
      </c>
      <c r="E398" s="1">
        <v>0.0</v>
      </c>
      <c r="F398" s="1">
        <v>0.0</v>
      </c>
      <c r="G398" s="1">
        <v>0.0</v>
      </c>
      <c r="H398" s="2">
        <v>1.09139E-4</v>
      </c>
      <c r="I398" s="1">
        <v>0.0</v>
      </c>
      <c r="J398" s="1">
        <v>0.0</v>
      </c>
      <c r="K398" s="1">
        <v>0.0</v>
      </c>
      <c r="L398" s="1">
        <v>0.0</v>
      </c>
      <c r="M398" s="1">
        <v>0.0</v>
      </c>
      <c r="N398" s="1">
        <v>0.0</v>
      </c>
      <c r="O398" s="1">
        <v>0.0</v>
      </c>
      <c r="P398" s="1">
        <v>0.0</v>
      </c>
      <c r="Q398" s="1">
        <v>0.0</v>
      </c>
      <c r="R398" s="1">
        <v>0.0</v>
      </c>
      <c r="S398" s="1">
        <v>0.0</v>
      </c>
    </row>
    <row r="399" ht="14.25" hidden="1" customHeight="1">
      <c r="A399" s="1" t="s">
        <v>5</v>
      </c>
      <c r="B399" s="1" t="s">
        <v>42</v>
      </c>
      <c r="C399" s="1" t="s">
        <v>9</v>
      </c>
      <c r="D399" s="1" t="s">
        <v>14</v>
      </c>
      <c r="E399" s="1">
        <v>0.0</v>
      </c>
      <c r="F399" s="1">
        <v>0.0</v>
      </c>
      <c r="G399" s="1">
        <v>0.0</v>
      </c>
      <c r="H399" s="2">
        <v>6.34909E-5</v>
      </c>
      <c r="I399" s="1">
        <v>0.0</v>
      </c>
      <c r="J399" s="1">
        <v>0.0</v>
      </c>
      <c r="K399" s="1">
        <v>0.0</v>
      </c>
      <c r="L399" s="1">
        <v>0.0</v>
      </c>
      <c r="M399" s="1">
        <v>0.0</v>
      </c>
      <c r="N399" s="1">
        <v>0.0</v>
      </c>
      <c r="O399" s="1">
        <v>0.0</v>
      </c>
      <c r="P399" s="1">
        <v>0.0</v>
      </c>
      <c r="Q399" s="1">
        <v>0.0</v>
      </c>
      <c r="R399" s="1">
        <v>0.0</v>
      </c>
      <c r="S399" s="1">
        <v>0.0</v>
      </c>
    </row>
    <row r="400" ht="14.25" hidden="1" customHeight="1">
      <c r="A400" s="1" t="s">
        <v>5</v>
      </c>
      <c r="B400" s="1" t="s">
        <v>42</v>
      </c>
      <c r="C400" s="1" t="s">
        <v>15</v>
      </c>
      <c r="D400" s="1" t="s">
        <v>16</v>
      </c>
      <c r="E400" s="1">
        <v>0.0</v>
      </c>
      <c r="F400" s="1">
        <v>0.0</v>
      </c>
      <c r="G400" s="1">
        <v>0.0</v>
      </c>
      <c r="H400" s="1">
        <v>0.0</v>
      </c>
      <c r="I400" s="1">
        <v>0.0</v>
      </c>
      <c r="J400" s="1">
        <v>0.00187728</v>
      </c>
      <c r="K400" s="1">
        <v>0.00378444</v>
      </c>
      <c r="L400" s="1">
        <v>0.00620669</v>
      </c>
      <c r="M400" s="1">
        <v>0.009001079</v>
      </c>
      <c r="N400" s="1">
        <v>0.011964551</v>
      </c>
      <c r="O400" s="1">
        <v>0.014895677</v>
      </c>
      <c r="P400" s="1">
        <v>0.01789402</v>
      </c>
      <c r="Q400" s="1">
        <v>0.02091684</v>
      </c>
      <c r="R400" s="1">
        <v>0.023907891</v>
      </c>
      <c r="S400" s="1">
        <v>0.0269135309999999</v>
      </c>
    </row>
    <row r="401" ht="14.25" customHeight="1">
      <c r="A401" s="1" t="s">
        <v>5</v>
      </c>
      <c r="B401" s="1" t="s">
        <v>42</v>
      </c>
      <c r="C401" s="1" t="s">
        <v>15</v>
      </c>
      <c r="D401" s="1" t="s">
        <v>14</v>
      </c>
      <c r="E401" s="1">
        <v>0.0</v>
      </c>
      <c r="F401" s="1">
        <v>0.0</v>
      </c>
      <c r="G401" s="1">
        <v>0.0</v>
      </c>
      <c r="H401" s="1">
        <v>0.0</v>
      </c>
      <c r="I401" s="1">
        <v>0.0</v>
      </c>
      <c r="J401" s="2">
        <v>5.15321E-4</v>
      </c>
      <c r="K401" s="1">
        <v>0.001121667</v>
      </c>
      <c r="L401" s="1">
        <v>0.001522215</v>
      </c>
      <c r="M401" s="1">
        <v>0.001973923</v>
      </c>
      <c r="N401" s="1">
        <v>0.002235731</v>
      </c>
      <c r="O401" s="1">
        <v>0.0024548794</v>
      </c>
      <c r="P401" s="1">
        <v>0.0026256608</v>
      </c>
      <c r="Q401" s="1">
        <v>0.0028081929</v>
      </c>
      <c r="R401" s="1">
        <v>0.0029864447</v>
      </c>
      <c r="S401" s="1">
        <v>0.0031646515</v>
      </c>
    </row>
    <row r="402" ht="14.25" hidden="1" customHeight="1">
      <c r="A402" s="1" t="s">
        <v>5</v>
      </c>
      <c r="B402" s="1" t="s">
        <v>42</v>
      </c>
      <c r="C402" s="1" t="s">
        <v>17</v>
      </c>
      <c r="D402" s="1" t="s">
        <v>16</v>
      </c>
      <c r="E402" s="2">
        <v>1.05978E-5</v>
      </c>
      <c r="F402" s="2">
        <v>3.30013E-5</v>
      </c>
      <c r="G402" s="2">
        <v>4.97024E-5</v>
      </c>
      <c r="H402" s="2">
        <v>3.015616E-4</v>
      </c>
      <c r="I402" s="2">
        <v>2.560898E-4</v>
      </c>
      <c r="J402" s="2">
        <v>7.169492E-4</v>
      </c>
      <c r="K402" s="2">
        <v>9.756379E-4</v>
      </c>
      <c r="L402" s="1">
        <v>0.00124338152</v>
      </c>
      <c r="M402" s="1">
        <v>0.0015705482</v>
      </c>
      <c r="N402" s="1">
        <v>0.001951063</v>
      </c>
      <c r="O402" s="1">
        <v>0.002408521</v>
      </c>
      <c r="P402" s="1">
        <v>0.00292047629999999</v>
      </c>
      <c r="Q402" s="1">
        <v>0.0034097813</v>
      </c>
      <c r="R402" s="1">
        <v>0.0039028005</v>
      </c>
      <c r="S402" s="1">
        <v>0.0043779927</v>
      </c>
    </row>
    <row r="403" ht="14.25" hidden="1" customHeight="1">
      <c r="A403" s="1" t="s">
        <v>5</v>
      </c>
      <c r="B403" s="1" t="s">
        <v>42</v>
      </c>
      <c r="C403" s="1" t="s">
        <v>17</v>
      </c>
      <c r="D403" s="1" t="s">
        <v>18</v>
      </c>
      <c r="E403" s="2">
        <v>4.36692E-4</v>
      </c>
      <c r="F403" s="1">
        <v>0.0013585</v>
      </c>
      <c r="G403" s="1">
        <v>0.00204669</v>
      </c>
      <c r="H403" s="1">
        <v>0.002215219</v>
      </c>
      <c r="I403" s="2">
        <v>7.581015E-4</v>
      </c>
      <c r="J403" s="1">
        <v>0.005200142</v>
      </c>
      <c r="K403" s="1">
        <v>0.007622666</v>
      </c>
      <c r="L403" s="1">
        <v>0.0103336702</v>
      </c>
      <c r="M403" s="1">
        <v>0.0129712984</v>
      </c>
      <c r="N403" s="1">
        <v>0.01572024</v>
      </c>
      <c r="O403" s="1">
        <v>0.0183839</v>
      </c>
      <c r="P403" s="1">
        <v>0.020947646</v>
      </c>
      <c r="Q403" s="1">
        <v>0.023405167</v>
      </c>
      <c r="R403" s="1">
        <v>0.025736178</v>
      </c>
      <c r="S403" s="1">
        <v>0.027816821</v>
      </c>
    </row>
    <row r="404" ht="14.25" hidden="1" customHeight="1">
      <c r="A404" s="1" t="s">
        <v>5</v>
      </c>
      <c r="B404" s="1" t="s">
        <v>42</v>
      </c>
      <c r="C404" s="1" t="s">
        <v>17</v>
      </c>
      <c r="D404" s="1" t="s">
        <v>19</v>
      </c>
      <c r="E404" s="2">
        <v>1.99297E-4</v>
      </c>
      <c r="F404" s="2">
        <v>6.19897E-4</v>
      </c>
      <c r="G404" s="2">
        <v>9.33902E-4</v>
      </c>
      <c r="H404" s="1">
        <v>0.001509587</v>
      </c>
      <c r="I404" s="2">
        <v>4.70516999999999E-4</v>
      </c>
      <c r="J404" s="1">
        <v>0.003246598</v>
      </c>
      <c r="K404" s="1">
        <v>0.004738519</v>
      </c>
      <c r="L404" s="1">
        <v>0.00649276</v>
      </c>
      <c r="M404" s="1">
        <v>0.008276081</v>
      </c>
      <c r="N404" s="1">
        <v>0.010234501</v>
      </c>
      <c r="O404" s="1">
        <v>0.012308804</v>
      </c>
      <c r="P404" s="1">
        <v>0.01445276</v>
      </c>
      <c r="Q404" s="1">
        <v>0.01662714</v>
      </c>
      <c r="R404" s="1">
        <v>0.0187861699999999</v>
      </c>
      <c r="S404" s="1">
        <v>0.02089385</v>
      </c>
    </row>
    <row r="405" ht="14.25" hidden="1" customHeight="1">
      <c r="A405" s="1" t="s">
        <v>5</v>
      </c>
      <c r="B405" s="1" t="s">
        <v>42</v>
      </c>
      <c r="C405" s="1" t="s">
        <v>17</v>
      </c>
      <c r="D405" s="1" t="s">
        <v>8</v>
      </c>
      <c r="E405" s="2">
        <v>8.90024E-5</v>
      </c>
      <c r="F405" s="2">
        <v>2.77007E-4</v>
      </c>
      <c r="G405" s="2">
        <v>4.17278E-4</v>
      </c>
      <c r="H405" s="1">
        <v>0.001618493</v>
      </c>
      <c r="I405" s="1">
        <v>0.00116202735504</v>
      </c>
      <c r="J405" s="1">
        <v>0.00636529070581</v>
      </c>
      <c r="K405" s="1">
        <v>0.00956715217752</v>
      </c>
      <c r="L405" s="1">
        <v>0.013212280649234</v>
      </c>
      <c r="M405" s="1">
        <v>0.01687764</v>
      </c>
      <c r="N405" s="1">
        <v>0.0207818099999999</v>
      </c>
      <c r="O405" s="1">
        <v>0.02487713</v>
      </c>
      <c r="P405" s="1">
        <v>0.02903412</v>
      </c>
      <c r="Q405" s="1">
        <v>0.03319549</v>
      </c>
      <c r="R405" s="1">
        <v>0.03726868</v>
      </c>
      <c r="S405" s="1">
        <v>0.04119022</v>
      </c>
    </row>
    <row r="406" ht="14.25" hidden="1" customHeight="1">
      <c r="A406" s="1" t="s">
        <v>5</v>
      </c>
      <c r="B406" s="1" t="s">
        <v>42</v>
      </c>
      <c r="C406" s="1" t="s">
        <v>17</v>
      </c>
      <c r="D406" s="1" t="s">
        <v>20</v>
      </c>
      <c r="E406" s="2">
        <v>6.57895E-5</v>
      </c>
      <c r="F406" s="2">
        <v>2.04211E-4</v>
      </c>
      <c r="G406" s="2">
        <v>3.07895E-4</v>
      </c>
      <c r="H406" s="2">
        <v>5.18149E-4</v>
      </c>
      <c r="I406" s="2">
        <v>3.26988999999999E-4</v>
      </c>
      <c r="J406" s="1">
        <v>0.001143189</v>
      </c>
      <c r="K406" s="1">
        <v>0.001679884</v>
      </c>
      <c r="L406" s="1">
        <v>0.002253944</v>
      </c>
      <c r="M406" s="1">
        <v>0.002848101</v>
      </c>
      <c r="N406" s="1">
        <v>0.003501416</v>
      </c>
      <c r="O406" s="1">
        <v>0.004185505</v>
      </c>
      <c r="P406" s="1">
        <v>0.004881846</v>
      </c>
      <c r="Q406" s="1">
        <v>0.00557993499999999</v>
      </c>
      <c r="R406" s="1">
        <v>0.00626461</v>
      </c>
      <c r="S406" s="1">
        <v>0.00692241</v>
      </c>
    </row>
    <row r="407" ht="14.25" hidden="1" customHeight="1">
      <c r="A407" s="1" t="s">
        <v>5</v>
      </c>
      <c r="B407" s="1" t="s">
        <v>42</v>
      </c>
      <c r="C407" s="1" t="s">
        <v>21</v>
      </c>
      <c r="D407" s="1" t="s">
        <v>10</v>
      </c>
      <c r="E407" s="2">
        <v>7.66145E-5</v>
      </c>
      <c r="F407" s="2">
        <v>2.38173E-4</v>
      </c>
      <c r="G407" s="2">
        <v>4.56542E-4</v>
      </c>
      <c r="H407" s="2">
        <v>3.806396E-4</v>
      </c>
      <c r="I407" s="2">
        <v>2.823212E-4</v>
      </c>
      <c r="J407" s="2">
        <v>1.965639E-4</v>
      </c>
      <c r="K407" s="2">
        <v>6.38099263E-4</v>
      </c>
      <c r="L407" s="2">
        <v>7.62936601E-4</v>
      </c>
      <c r="M407" s="2">
        <v>8.4604405E-4</v>
      </c>
      <c r="N407" s="2">
        <v>9.15512E-4</v>
      </c>
      <c r="O407" s="2">
        <v>9.228884E-4</v>
      </c>
      <c r="P407" s="2">
        <v>9.309004E-4</v>
      </c>
      <c r="Q407" s="2">
        <v>9.348307E-4</v>
      </c>
      <c r="R407" s="2">
        <v>9.328307E-4</v>
      </c>
      <c r="S407" s="2">
        <v>9.25979599999999E-4</v>
      </c>
    </row>
    <row r="408" ht="14.25" hidden="1" customHeight="1">
      <c r="A408" s="1" t="s">
        <v>5</v>
      </c>
      <c r="B408" s="1" t="s">
        <v>42</v>
      </c>
      <c r="C408" s="1" t="s">
        <v>21</v>
      </c>
      <c r="D408" s="1" t="s">
        <v>11</v>
      </c>
      <c r="E408" s="2">
        <v>9.59966E-6</v>
      </c>
      <c r="F408" s="2">
        <v>2.98007E-5</v>
      </c>
      <c r="G408" s="2">
        <v>5.71034E-5</v>
      </c>
      <c r="H408" s="1">
        <v>0.0014440336</v>
      </c>
      <c r="I408" s="1">
        <v>0.00389507299999999</v>
      </c>
      <c r="J408" s="1">
        <v>0.00286674</v>
      </c>
      <c r="K408" s="1">
        <v>0.001793967</v>
      </c>
      <c r="L408" s="1">
        <v>0.001135161</v>
      </c>
      <c r="M408" s="2">
        <v>7.81198E-4</v>
      </c>
      <c r="N408" s="2">
        <v>6.59822E-4</v>
      </c>
      <c r="O408" s="2">
        <v>6.13199999999999E-4</v>
      </c>
      <c r="P408" s="2">
        <v>6.01863E-4</v>
      </c>
      <c r="Q408" s="2">
        <v>5.61641E-4</v>
      </c>
      <c r="R408" s="2">
        <v>5.05577E-4</v>
      </c>
      <c r="S408" s="2">
        <v>4.50802999999999E-4</v>
      </c>
    </row>
    <row r="409" ht="14.25" hidden="1" customHeight="1">
      <c r="A409" s="1" t="s">
        <v>5</v>
      </c>
      <c r="B409" s="1" t="s">
        <v>42</v>
      </c>
      <c r="C409" s="1" t="s">
        <v>21</v>
      </c>
      <c r="D409" s="1" t="s">
        <v>22</v>
      </c>
      <c r="E409" s="2">
        <v>9.6E-6</v>
      </c>
      <c r="F409" s="2">
        <v>2.98E-5</v>
      </c>
      <c r="G409" s="2">
        <v>5.71E-5</v>
      </c>
      <c r="H409" s="2">
        <v>1.109491E-4</v>
      </c>
      <c r="I409" s="2">
        <v>1.345039E-4</v>
      </c>
      <c r="J409" s="2">
        <v>2.198949E-4</v>
      </c>
      <c r="K409" s="2">
        <v>2.204979E-4</v>
      </c>
      <c r="L409" s="2">
        <v>2.276817E-4</v>
      </c>
      <c r="M409" s="2">
        <v>2.259389E-4</v>
      </c>
      <c r="N409" s="2">
        <v>2.246182E-4</v>
      </c>
      <c r="O409" s="2">
        <v>2.20781E-4</v>
      </c>
      <c r="P409" s="2">
        <v>2.177789E-4</v>
      </c>
      <c r="Q409" s="2">
        <v>2.163156E-4</v>
      </c>
      <c r="R409" s="2">
        <v>2.163122E-4</v>
      </c>
      <c r="S409" s="2">
        <v>2.157378E-4</v>
      </c>
    </row>
    <row r="410" ht="14.25" hidden="1" customHeight="1">
      <c r="A410" s="1" t="s">
        <v>5</v>
      </c>
      <c r="B410" s="1" t="s">
        <v>42</v>
      </c>
      <c r="C410" s="1" t="s">
        <v>21</v>
      </c>
      <c r="D410" s="1" t="s">
        <v>23</v>
      </c>
      <c r="E410" s="2">
        <v>9.59819E-6</v>
      </c>
      <c r="F410" s="2">
        <v>2.978288E-5</v>
      </c>
      <c r="G410" s="2">
        <v>5.70871E-5</v>
      </c>
      <c r="H410" s="2">
        <v>1.6215764E-4</v>
      </c>
      <c r="I410" s="2">
        <v>3.988514E-4</v>
      </c>
      <c r="J410" s="2">
        <v>7.3793784E-4</v>
      </c>
      <c r="K410" s="2">
        <v>8.553901E-4</v>
      </c>
      <c r="L410" s="1">
        <v>0.0010130588</v>
      </c>
      <c r="M410" s="1">
        <v>0.001144346</v>
      </c>
      <c r="N410" s="1">
        <v>0.001260494</v>
      </c>
      <c r="O410" s="1">
        <v>0.00134514699999999</v>
      </c>
      <c r="P410" s="1">
        <v>0.00143103</v>
      </c>
      <c r="Q410" s="1">
        <v>0.001511053</v>
      </c>
      <c r="R410" s="1">
        <v>0.00158504899999999</v>
      </c>
      <c r="S410" s="1">
        <v>0.001637728</v>
      </c>
    </row>
    <row r="411" ht="14.25" hidden="1" customHeight="1">
      <c r="A411" s="1" t="s">
        <v>5</v>
      </c>
      <c r="B411" s="1" t="s">
        <v>42</v>
      </c>
      <c r="C411" s="1" t="s">
        <v>21</v>
      </c>
      <c r="D411" s="1" t="s">
        <v>24</v>
      </c>
      <c r="E411" s="2">
        <v>1.321026E-4</v>
      </c>
      <c r="F411" s="2">
        <v>4.110039E-4</v>
      </c>
      <c r="G411" s="2">
        <v>7.87502999999999E-4</v>
      </c>
      <c r="H411" s="1">
        <v>0.0011220881</v>
      </c>
      <c r="I411" s="2">
        <v>9.77048E-4</v>
      </c>
      <c r="J411" s="1">
        <v>0.001151748</v>
      </c>
      <c r="K411" s="1">
        <v>0.001038988</v>
      </c>
      <c r="L411" s="1">
        <v>0.00100429</v>
      </c>
      <c r="M411" s="2">
        <v>9.73099E-4</v>
      </c>
      <c r="N411" s="2">
        <v>9.52829E-4</v>
      </c>
      <c r="O411" s="2">
        <v>9.32163E-4</v>
      </c>
      <c r="P411" s="2">
        <v>9.38833E-4</v>
      </c>
      <c r="Q411" s="2">
        <v>9.42273999999999E-4</v>
      </c>
      <c r="R411" s="2">
        <v>9.41191E-4</v>
      </c>
      <c r="S411" s="2">
        <v>9.35464999999999E-4</v>
      </c>
    </row>
    <row r="412" ht="14.25" hidden="1" customHeight="1">
      <c r="A412" s="1" t="s">
        <v>5</v>
      </c>
      <c r="B412" s="1" t="s">
        <v>42</v>
      </c>
      <c r="C412" s="1" t="s">
        <v>21</v>
      </c>
      <c r="D412" s="1" t="s">
        <v>12</v>
      </c>
      <c r="E412" s="2">
        <v>9.60007E-6</v>
      </c>
      <c r="F412" s="2">
        <v>2.97991E-5</v>
      </c>
      <c r="G412" s="2">
        <v>5.70855E-5</v>
      </c>
      <c r="H412" s="2">
        <v>4.58223E-7</v>
      </c>
      <c r="I412" s="2">
        <v>4.09544E-5</v>
      </c>
      <c r="J412" s="2">
        <v>1.94438E-4</v>
      </c>
      <c r="K412" s="2">
        <v>3.38046E-4</v>
      </c>
      <c r="L412" s="2">
        <v>3.45907E-4</v>
      </c>
      <c r="M412" s="2">
        <v>3.42095E-4</v>
      </c>
      <c r="N412" s="2">
        <v>3.39708E-4</v>
      </c>
      <c r="O412" s="2">
        <v>3.3379E-4</v>
      </c>
      <c r="P412" s="2">
        <v>3.29221E-4</v>
      </c>
      <c r="Q412" s="2">
        <v>3.27002E-4</v>
      </c>
      <c r="R412" s="2">
        <v>3.26995E-4</v>
      </c>
      <c r="S412" s="2">
        <v>3.26128E-4</v>
      </c>
    </row>
    <row r="413" ht="14.25" hidden="1" customHeight="1">
      <c r="A413" s="1" t="s">
        <v>5</v>
      </c>
      <c r="B413" s="1" t="s">
        <v>42</v>
      </c>
      <c r="C413" s="1" t="s">
        <v>21</v>
      </c>
      <c r="D413" s="1" t="s">
        <v>13</v>
      </c>
      <c r="E413" s="2">
        <v>2.64039E-5</v>
      </c>
      <c r="F413" s="2">
        <v>8.21218E-5</v>
      </c>
      <c r="G413" s="2">
        <v>9.10182E-4</v>
      </c>
      <c r="H413" s="2">
        <v>9.6147E-4</v>
      </c>
      <c r="I413" s="2">
        <v>7.287724E-4</v>
      </c>
      <c r="J413" s="1">
        <v>0.0013928349</v>
      </c>
      <c r="K413" s="1">
        <v>0.001822375</v>
      </c>
      <c r="L413" s="1">
        <v>0.00226559607</v>
      </c>
      <c r="M413" s="1">
        <v>0.002715982</v>
      </c>
      <c r="N413" s="1">
        <v>0.003195673</v>
      </c>
      <c r="O413" s="1">
        <v>0.003581714</v>
      </c>
      <c r="P413" s="1">
        <v>0.003909042</v>
      </c>
      <c r="Q413" s="1">
        <v>0.004210601</v>
      </c>
      <c r="R413" s="1">
        <v>0.00448141399999999</v>
      </c>
      <c r="S413" s="1">
        <v>0.004722241</v>
      </c>
    </row>
    <row r="414" ht="14.25" hidden="1" customHeight="1">
      <c r="A414" s="1" t="s">
        <v>5</v>
      </c>
      <c r="B414" s="1" t="s">
        <v>42</v>
      </c>
      <c r="C414" s="1" t="s">
        <v>21</v>
      </c>
      <c r="D414" s="1" t="s">
        <v>14</v>
      </c>
      <c r="E414" s="2">
        <v>6.6001E-6</v>
      </c>
      <c r="F414" s="2">
        <v>2.05962E-5</v>
      </c>
      <c r="G414" s="2">
        <v>2.27504E-4</v>
      </c>
      <c r="H414" s="2">
        <v>3.146501E-4</v>
      </c>
      <c r="I414" s="2">
        <v>7.444857E-4</v>
      </c>
      <c r="J414" s="2">
        <v>4.55488E-4</v>
      </c>
      <c r="K414" s="2">
        <v>1.968649E-4</v>
      </c>
      <c r="L414" s="2">
        <v>1.263112E-4</v>
      </c>
      <c r="M414" s="2">
        <v>1.296114E-4</v>
      </c>
      <c r="N414" s="2">
        <v>1.38077E-4</v>
      </c>
      <c r="O414" s="2">
        <v>1.54091E-4</v>
      </c>
      <c r="P414" s="2">
        <v>1.708097E-4</v>
      </c>
      <c r="Q414" s="2">
        <v>1.727949E-4</v>
      </c>
      <c r="R414" s="2">
        <v>1.708198E-4</v>
      </c>
      <c r="S414" s="2">
        <v>1.655613E-4</v>
      </c>
    </row>
    <row r="415" ht="14.25" hidden="1" customHeight="1">
      <c r="A415" s="1" t="s">
        <v>5</v>
      </c>
      <c r="B415" s="1" t="s">
        <v>42</v>
      </c>
      <c r="C415" s="1" t="s">
        <v>21</v>
      </c>
      <c r="D415" s="1" t="s">
        <v>25</v>
      </c>
      <c r="E415" s="2">
        <v>6.6E-6</v>
      </c>
      <c r="F415" s="2">
        <v>2.06E-5</v>
      </c>
      <c r="G415" s="2">
        <v>2.275E-4</v>
      </c>
      <c r="H415" s="2">
        <v>2.97413E-4</v>
      </c>
      <c r="I415" s="2">
        <v>3.41883299999999E-4</v>
      </c>
      <c r="J415" s="2">
        <v>3.70177E-4</v>
      </c>
      <c r="K415" s="2">
        <v>3.24502E-4</v>
      </c>
      <c r="L415" s="2">
        <v>2.96634E-4</v>
      </c>
      <c r="M415" s="2">
        <v>2.55093E-4</v>
      </c>
      <c r="N415" s="2">
        <v>2.70236E-4</v>
      </c>
      <c r="O415" s="2">
        <v>2.93037E-4</v>
      </c>
      <c r="P415" s="2">
        <v>3.16937E-4</v>
      </c>
      <c r="Q415" s="2">
        <v>3.43872999999999E-4</v>
      </c>
      <c r="R415" s="2">
        <v>3.68967E-4</v>
      </c>
      <c r="S415" s="2">
        <v>3.88772E-4</v>
      </c>
    </row>
    <row r="416" ht="14.25" hidden="1" customHeight="1">
      <c r="A416" s="1" t="s">
        <v>5</v>
      </c>
      <c r="B416" s="1" t="s">
        <v>42</v>
      </c>
      <c r="C416" s="1" t="s">
        <v>21</v>
      </c>
      <c r="D416" s="1" t="s">
        <v>26</v>
      </c>
      <c r="E416" s="2">
        <v>6.58925E-6</v>
      </c>
      <c r="F416" s="2">
        <v>2.05976099999999E-5</v>
      </c>
      <c r="G416" s="2">
        <v>2.275128E-4</v>
      </c>
      <c r="H416" s="2">
        <v>4.05262599999999E-4</v>
      </c>
      <c r="I416" s="2">
        <v>7.10218499999999E-4</v>
      </c>
      <c r="J416" s="1">
        <v>0.0012318034</v>
      </c>
      <c r="K416" s="1">
        <v>0.0013003845</v>
      </c>
      <c r="L416" s="1">
        <v>0.001400801</v>
      </c>
      <c r="M416" s="1">
        <v>0.001423208</v>
      </c>
      <c r="N416" s="1">
        <v>0.001770805</v>
      </c>
      <c r="O416" s="1">
        <v>0.00221241899999999</v>
      </c>
      <c r="P416" s="1">
        <v>0.002625025</v>
      </c>
      <c r="Q416" s="1">
        <v>0.003085166</v>
      </c>
      <c r="R416" s="1">
        <v>0.003549348</v>
      </c>
      <c r="S416" s="1">
        <v>0.003967517</v>
      </c>
    </row>
    <row r="417" ht="14.25" hidden="1" customHeight="1">
      <c r="A417" s="1" t="s">
        <v>5</v>
      </c>
      <c r="B417" s="1" t="s">
        <v>42</v>
      </c>
      <c r="C417" s="1" t="s">
        <v>21</v>
      </c>
      <c r="D417" s="1" t="s">
        <v>27</v>
      </c>
      <c r="E417" s="2">
        <v>2.250102E-5</v>
      </c>
      <c r="F417" s="2">
        <v>6.9901E-5</v>
      </c>
      <c r="G417" s="2">
        <v>7.73601E-4</v>
      </c>
      <c r="H417" s="1">
        <v>0.001188757</v>
      </c>
      <c r="I417" s="1">
        <v>0.0011504099</v>
      </c>
      <c r="J417" s="1">
        <v>0.0018727956</v>
      </c>
      <c r="K417" s="1">
        <v>0.0019436062</v>
      </c>
      <c r="L417" s="1">
        <v>0.00204424399999999</v>
      </c>
      <c r="M417" s="1">
        <v>0.002179265</v>
      </c>
      <c r="N417" s="1">
        <v>0.002335802</v>
      </c>
      <c r="O417" s="1">
        <v>0.002480192</v>
      </c>
      <c r="P417" s="1">
        <v>0.00267339</v>
      </c>
      <c r="Q417" s="1">
        <v>0.00287520799999999</v>
      </c>
      <c r="R417" s="1">
        <v>0.003058576</v>
      </c>
      <c r="S417" s="1">
        <v>0.003225723</v>
      </c>
    </row>
    <row r="418" ht="14.25" hidden="1" customHeight="1">
      <c r="A418" s="1" t="s">
        <v>5</v>
      </c>
      <c r="B418" s="1" t="s">
        <v>42</v>
      </c>
      <c r="C418" s="1" t="s">
        <v>21</v>
      </c>
      <c r="D418" s="1" t="s">
        <v>28</v>
      </c>
      <c r="E418" s="2">
        <v>6.6E-6</v>
      </c>
      <c r="F418" s="2">
        <v>2.06E-5</v>
      </c>
      <c r="G418" s="2">
        <v>2.275E-4</v>
      </c>
      <c r="H418" s="2">
        <v>2.42732E-4</v>
      </c>
      <c r="I418" s="2">
        <v>2.62224E-4</v>
      </c>
      <c r="J418" s="2">
        <v>2.95605E-4</v>
      </c>
      <c r="K418" s="2">
        <v>2.59512E-4</v>
      </c>
      <c r="L418" s="2">
        <v>2.37296E-4</v>
      </c>
      <c r="M418" s="2">
        <v>2.04073E-4</v>
      </c>
      <c r="N418" s="2">
        <v>2.16189E-4</v>
      </c>
      <c r="O418" s="2">
        <v>2.34431E-4</v>
      </c>
      <c r="P418" s="2">
        <v>2.53549E-4</v>
      </c>
      <c r="Q418" s="2">
        <v>2.75099E-4</v>
      </c>
      <c r="R418" s="2">
        <v>2.95174E-4</v>
      </c>
      <c r="S418" s="2">
        <v>3.11018E-4</v>
      </c>
    </row>
    <row r="419" ht="14.25" hidden="1" customHeight="1">
      <c r="A419" s="1" t="s">
        <v>5</v>
      </c>
      <c r="B419" s="1" t="s">
        <v>42</v>
      </c>
      <c r="C419" s="1" t="s">
        <v>29</v>
      </c>
      <c r="D419" s="1" t="s">
        <v>16</v>
      </c>
      <c r="E419" s="2">
        <v>4.65305E-4</v>
      </c>
      <c r="F419" s="2">
        <v>8.93435E-4</v>
      </c>
      <c r="G419" s="1">
        <v>0.00127436</v>
      </c>
      <c r="H419" s="1">
        <v>0.001799568</v>
      </c>
      <c r="I419" s="1">
        <v>0.001502364</v>
      </c>
      <c r="J419" s="1">
        <v>0.002430441</v>
      </c>
      <c r="K419" s="1">
        <v>0.002830195</v>
      </c>
      <c r="L419" s="1">
        <v>0.003191114</v>
      </c>
      <c r="M419" s="1">
        <v>0.003344288</v>
      </c>
      <c r="N419" s="1">
        <v>0.003606311</v>
      </c>
      <c r="O419" s="1">
        <v>0.00396442099999999</v>
      </c>
      <c r="P419" s="1">
        <v>0.00435065999999999</v>
      </c>
      <c r="Q419" s="1">
        <v>0.00482815899999999</v>
      </c>
      <c r="R419" s="1">
        <v>0.005346738</v>
      </c>
      <c r="S419" s="1">
        <v>0.0058324</v>
      </c>
    </row>
    <row r="420" ht="14.25" hidden="1" customHeight="1">
      <c r="A420" s="1" t="s">
        <v>5</v>
      </c>
      <c r="B420" s="1" t="s">
        <v>42</v>
      </c>
      <c r="C420" s="1" t="s">
        <v>29</v>
      </c>
      <c r="D420" s="1" t="s">
        <v>8</v>
      </c>
      <c r="E420" s="2">
        <v>4.23011E-5</v>
      </c>
      <c r="F420" s="2">
        <v>8.12022E-5</v>
      </c>
      <c r="G420" s="2">
        <v>1.15794E-4</v>
      </c>
      <c r="H420" s="2">
        <v>8.948592E-5</v>
      </c>
      <c r="I420" s="2">
        <v>2.714925435E-4</v>
      </c>
      <c r="J420" s="2">
        <v>2.716798749E-4</v>
      </c>
      <c r="K420" s="2">
        <v>2.588343598E-4</v>
      </c>
      <c r="L420" s="2">
        <v>2.38912544799999E-4</v>
      </c>
      <c r="M420" s="2">
        <v>2.027108761E-4</v>
      </c>
      <c r="N420" s="2">
        <v>2.082538E-4</v>
      </c>
      <c r="O420" s="2">
        <v>2.1371956E-4</v>
      </c>
      <c r="P420" s="2">
        <v>2.4297794E-4</v>
      </c>
      <c r="Q420" s="2">
        <v>2.7515583E-4</v>
      </c>
      <c r="R420" s="2">
        <v>3.0776315E-4</v>
      </c>
      <c r="S420" s="2">
        <v>3.3893014E-4</v>
      </c>
    </row>
    <row r="421" ht="14.25" hidden="1" customHeight="1">
      <c r="A421" s="1" t="s">
        <v>5</v>
      </c>
      <c r="B421" s="1" t="s">
        <v>42</v>
      </c>
      <c r="C421" s="1" t="s">
        <v>29</v>
      </c>
      <c r="D421" s="1" t="s">
        <v>10</v>
      </c>
      <c r="E421" s="2">
        <v>2.38045E-5</v>
      </c>
      <c r="F421" s="2">
        <v>4.56948E-5</v>
      </c>
      <c r="G421" s="2">
        <v>8.10075E-6</v>
      </c>
      <c r="H421" s="2">
        <v>6.0976587E-4</v>
      </c>
      <c r="I421" s="2">
        <v>5.2911629E-4</v>
      </c>
      <c r="J421" s="2">
        <v>4.384459035E-4</v>
      </c>
      <c r="K421" s="2">
        <v>3.24844629699999E-4</v>
      </c>
      <c r="L421" s="2">
        <v>1.984835138E-4</v>
      </c>
      <c r="M421" s="2">
        <v>1.094497717E-4</v>
      </c>
      <c r="N421" s="2">
        <v>2.84626797E-5</v>
      </c>
      <c r="O421" s="2">
        <v>2.49202138E-5</v>
      </c>
      <c r="P421" s="2">
        <v>2.102036E-5</v>
      </c>
      <c r="Q421" s="2">
        <v>1.718657E-5</v>
      </c>
      <c r="R421" s="2">
        <v>1.5578427E-5</v>
      </c>
      <c r="S421" s="2">
        <v>1.4679764E-5</v>
      </c>
    </row>
    <row r="422" ht="14.25" hidden="1" customHeight="1">
      <c r="A422" s="1" t="s">
        <v>5</v>
      </c>
      <c r="B422" s="1" t="s">
        <v>42</v>
      </c>
      <c r="C422" s="1" t="s">
        <v>29</v>
      </c>
      <c r="D422" s="1" t="s">
        <v>11</v>
      </c>
      <c r="E422" s="1">
        <v>0.0027501</v>
      </c>
      <c r="F422" s="1">
        <v>0.00528012</v>
      </c>
      <c r="G422" s="2">
        <v>9.41957E-4</v>
      </c>
      <c r="H422" s="2">
        <v>9.72734E-4</v>
      </c>
      <c r="I422" s="2">
        <v>8.23522E-4</v>
      </c>
      <c r="J422" s="1">
        <v>0.002129603</v>
      </c>
      <c r="K422" s="1">
        <v>0.003689157</v>
      </c>
      <c r="L422" s="1">
        <v>0.0045836863</v>
      </c>
      <c r="M422" s="1">
        <v>0.0049239884</v>
      </c>
      <c r="N422" s="1">
        <v>0.00502220599999999</v>
      </c>
      <c r="O422" s="1">
        <v>0.004970667</v>
      </c>
      <c r="P422" s="1">
        <v>0.004894609</v>
      </c>
      <c r="Q422" s="1">
        <v>0.00489304699999999</v>
      </c>
      <c r="R422" s="1">
        <v>0.004945841</v>
      </c>
      <c r="S422" s="1">
        <v>0.005006525</v>
      </c>
    </row>
    <row r="423" ht="14.25" hidden="1" customHeight="1">
      <c r="A423" s="1" t="s">
        <v>5</v>
      </c>
      <c r="B423" s="1" t="s">
        <v>42</v>
      </c>
      <c r="C423" s="1" t="s">
        <v>29</v>
      </c>
      <c r="D423" s="1" t="s">
        <v>13</v>
      </c>
      <c r="E423" s="2">
        <v>2.34034E-5</v>
      </c>
      <c r="F423" s="2">
        <v>4.49572E-5</v>
      </c>
      <c r="G423" s="2">
        <v>5.87989E-5</v>
      </c>
      <c r="H423" s="1">
        <v>0.0012582761</v>
      </c>
      <c r="I423" s="1">
        <v>0.0011284784</v>
      </c>
      <c r="J423" s="1">
        <v>0.0010849552</v>
      </c>
      <c r="K423" s="2">
        <v>9.69069E-4</v>
      </c>
      <c r="L423" s="2">
        <v>8.03752299999999E-4</v>
      </c>
      <c r="M423" s="2">
        <v>6.65730599999999E-4</v>
      </c>
      <c r="N423" s="2">
        <v>5.2212675E-4</v>
      </c>
      <c r="O423" s="2">
        <v>5.082969E-4</v>
      </c>
      <c r="P423" s="2">
        <v>4.862443E-4</v>
      </c>
      <c r="Q423" s="2">
        <v>4.79778E-4</v>
      </c>
      <c r="R423" s="2">
        <v>4.861379E-4</v>
      </c>
      <c r="S423" s="2">
        <v>4.976617E-4</v>
      </c>
    </row>
    <row r="424" ht="14.25" hidden="1" customHeight="1">
      <c r="A424" s="1" t="s">
        <v>5</v>
      </c>
      <c r="B424" s="1" t="s">
        <v>42</v>
      </c>
      <c r="C424" s="1" t="s">
        <v>29</v>
      </c>
      <c r="D424" s="1" t="s">
        <v>14</v>
      </c>
      <c r="E424" s="1">
        <v>0.00105882</v>
      </c>
      <c r="F424" s="1">
        <v>0.00203233</v>
      </c>
      <c r="G424" s="1">
        <v>0.00265895</v>
      </c>
      <c r="H424" s="1">
        <v>0.002385409</v>
      </c>
      <c r="I424" s="1">
        <v>0.002011683</v>
      </c>
      <c r="J424" s="1">
        <v>0.00175379999999999</v>
      </c>
      <c r="K424" s="1">
        <v>0.001441044</v>
      </c>
      <c r="L424" s="1">
        <v>0.00112518999999999</v>
      </c>
      <c r="M424" s="2">
        <v>5.7383E-4</v>
      </c>
      <c r="N424" s="2">
        <v>5.914891E-4</v>
      </c>
      <c r="O424" s="2">
        <v>6.66350999999999E-4</v>
      </c>
      <c r="P424" s="2">
        <v>7.466663E-4</v>
      </c>
      <c r="Q424" s="2">
        <v>8.365539E-4</v>
      </c>
      <c r="R424" s="2">
        <v>9.30061799999999E-4</v>
      </c>
      <c r="S424" s="1">
        <v>0.0010155223</v>
      </c>
    </row>
    <row r="425" ht="14.25" hidden="1" customHeight="1">
      <c r="A425" s="1" t="s">
        <v>5</v>
      </c>
      <c r="B425" s="1" t="s">
        <v>42</v>
      </c>
      <c r="C425" s="1" t="s">
        <v>31</v>
      </c>
      <c r="D425" s="1" t="s">
        <v>11</v>
      </c>
      <c r="E425" s="1">
        <v>0.010115</v>
      </c>
      <c r="F425" s="1">
        <v>0.011852</v>
      </c>
      <c r="G425" s="1">
        <v>0.0125975</v>
      </c>
      <c r="H425" s="1">
        <v>0.0</v>
      </c>
      <c r="I425" s="1">
        <v>0.0</v>
      </c>
      <c r="J425" s="1">
        <v>0.0</v>
      </c>
      <c r="K425" s="1">
        <v>0.0</v>
      </c>
      <c r="L425" s="1">
        <v>0.0</v>
      </c>
      <c r="M425" s="1">
        <v>0.0</v>
      </c>
      <c r="N425" s="1">
        <v>0.0</v>
      </c>
      <c r="O425" s="1">
        <v>0.0</v>
      </c>
      <c r="P425" s="1">
        <v>0.0</v>
      </c>
      <c r="Q425" s="1">
        <v>0.0</v>
      </c>
      <c r="R425" s="1">
        <v>0.0</v>
      </c>
      <c r="S425" s="1">
        <v>0.0</v>
      </c>
    </row>
    <row r="426" ht="14.25" hidden="1" customHeight="1">
      <c r="A426" s="1" t="s">
        <v>5</v>
      </c>
      <c r="B426" s="1" t="s">
        <v>43</v>
      </c>
      <c r="C426" s="1" t="s">
        <v>7</v>
      </c>
      <c r="D426" s="1" t="s">
        <v>8</v>
      </c>
      <c r="E426" s="1">
        <v>0.00249159</v>
      </c>
      <c r="F426" s="1">
        <v>0.00317211</v>
      </c>
      <c r="G426" s="1">
        <v>0.00339478</v>
      </c>
      <c r="H426" s="2">
        <v>2.26669E-4</v>
      </c>
      <c r="I426" s="2">
        <v>3.31875E-4</v>
      </c>
      <c r="J426" s="2">
        <v>2.30332E-5</v>
      </c>
      <c r="K426" s="2">
        <v>1.55769E-5</v>
      </c>
      <c r="L426" s="2">
        <v>1.29758E-5</v>
      </c>
      <c r="M426" s="2">
        <v>8.81071E-6</v>
      </c>
      <c r="N426" s="2">
        <v>4.93883E-6</v>
      </c>
      <c r="O426" s="1">
        <v>0.0</v>
      </c>
      <c r="P426" s="1">
        <v>0.0</v>
      </c>
      <c r="Q426" s="1">
        <v>0.0</v>
      </c>
      <c r="R426" s="1">
        <v>0.0</v>
      </c>
      <c r="S426" s="1">
        <v>0.0</v>
      </c>
    </row>
    <row r="427" ht="14.25" hidden="1" customHeight="1">
      <c r="A427" s="1" t="s">
        <v>5</v>
      </c>
      <c r="B427" s="1" t="s">
        <v>43</v>
      </c>
      <c r="C427" s="1" t="s">
        <v>9</v>
      </c>
      <c r="D427" s="1" t="s">
        <v>8</v>
      </c>
      <c r="E427" s="2">
        <v>3.45412E-4</v>
      </c>
      <c r="F427" s="2">
        <v>3.02911E-4</v>
      </c>
      <c r="G427" s="2">
        <v>4.45523E-4</v>
      </c>
      <c r="H427" s="2">
        <v>7.04217E-5</v>
      </c>
      <c r="I427" s="2">
        <v>9.99108E-4</v>
      </c>
      <c r="J427" s="2">
        <v>3.7287E-10</v>
      </c>
      <c r="K427" s="1">
        <v>0.0</v>
      </c>
      <c r="L427" s="1">
        <v>0.0</v>
      </c>
      <c r="M427" s="1">
        <v>0.0</v>
      </c>
      <c r="N427" s="1">
        <v>0.0</v>
      </c>
      <c r="O427" s="1">
        <v>0.0</v>
      </c>
      <c r="P427" s="1">
        <v>0.0</v>
      </c>
      <c r="Q427" s="1">
        <v>0.0</v>
      </c>
      <c r="R427" s="1">
        <v>0.0</v>
      </c>
      <c r="S427" s="1">
        <v>0.0</v>
      </c>
    </row>
    <row r="428" ht="14.25" hidden="1" customHeight="1">
      <c r="A428" s="1" t="s">
        <v>5</v>
      </c>
      <c r="B428" s="1" t="s">
        <v>43</v>
      </c>
      <c r="C428" s="1" t="s">
        <v>9</v>
      </c>
      <c r="D428" s="1" t="s">
        <v>10</v>
      </c>
      <c r="E428" s="1">
        <v>0.0</v>
      </c>
      <c r="F428" s="1">
        <v>0.0</v>
      </c>
      <c r="G428" s="2">
        <v>7.03983E-5</v>
      </c>
      <c r="H428" s="1">
        <v>0.0</v>
      </c>
      <c r="I428" s="2">
        <v>7.69467E-4</v>
      </c>
      <c r="J428" s="1">
        <v>0.0059703</v>
      </c>
      <c r="K428" s="1">
        <v>0.0</v>
      </c>
      <c r="L428" s="1">
        <v>0.0</v>
      </c>
      <c r="M428" s="1">
        <v>0.0</v>
      </c>
      <c r="N428" s="1">
        <v>0.0</v>
      </c>
      <c r="O428" s="1">
        <v>0.0</v>
      </c>
      <c r="P428" s="1">
        <v>0.0</v>
      </c>
      <c r="Q428" s="1">
        <v>0.0</v>
      </c>
      <c r="R428" s="1">
        <v>0.0</v>
      </c>
      <c r="S428" s="1">
        <v>0.0</v>
      </c>
    </row>
    <row r="429" ht="14.25" hidden="1" customHeight="1">
      <c r="A429" s="1" t="s">
        <v>5</v>
      </c>
      <c r="B429" s="1" t="s">
        <v>43</v>
      </c>
      <c r="C429" s="1" t="s">
        <v>9</v>
      </c>
      <c r="D429" s="1" t="s">
        <v>11</v>
      </c>
      <c r="E429" s="1">
        <v>0.0</v>
      </c>
      <c r="F429" s="1">
        <v>0.0</v>
      </c>
      <c r="G429" s="2">
        <v>7.03999E-5</v>
      </c>
      <c r="H429" s="1">
        <v>0.0</v>
      </c>
      <c r="I429" s="1">
        <v>0.0</v>
      </c>
      <c r="J429" s="1">
        <v>0.0</v>
      </c>
      <c r="K429" s="1">
        <v>0.0</v>
      </c>
      <c r="L429" s="1">
        <v>0.0</v>
      </c>
      <c r="M429" s="1">
        <v>0.0</v>
      </c>
      <c r="N429" s="1">
        <v>0.0</v>
      </c>
      <c r="O429" s="1">
        <v>0.0</v>
      </c>
      <c r="P429" s="1">
        <v>0.0</v>
      </c>
      <c r="Q429" s="1">
        <v>0.0</v>
      </c>
      <c r="R429" s="1">
        <v>0.0</v>
      </c>
      <c r="S429" s="1">
        <v>0.0</v>
      </c>
    </row>
    <row r="430" ht="14.25" hidden="1" customHeight="1">
      <c r="A430" s="1" t="s">
        <v>5</v>
      </c>
      <c r="B430" s="1" t="s">
        <v>43</v>
      </c>
      <c r="C430" s="1" t="s">
        <v>9</v>
      </c>
      <c r="D430" s="1" t="s">
        <v>12</v>
      </c>
      <c r="E430" s="1">
        <v>0.0</v>
      </c>
      <c r="F430" s="1">
        <v>0.0</v>
      </c>
      <c r="G430" s="2">
        <v>7.03582E-5</v>
      </c>
      <c r="H430" s="1">
        <v>0.0</v>
      </c>
      <c r="I430" s="1">
        <v>0.0</v>
      </c>
      <c r="J430" s="1">
        <v>0.0</v>
      </c>
      <c r="K430" s="1">
        <v>0.0</v>
      </c>
      <c r="L430" s="1">
        <v>0.0</v>
      </c>
      <c r="M430" s="1">
        <v>0.0</v>
      </c>
      <c r="N430" s="1">
        <v>0.0</v>
      </c>
      <c r="O430" s="1">
        <v>0.0</v>
      </c>
      <c r="P430" s="1">
        <v>0.0</v>
      </c>
      <c r="Q430" s="1">
        <v>0.0</v>
      </c>
      <c r="R430" s="1">
        <v>0.0</v>
      </c>
      <c r="S430" s="1">
        <v>0.0</v>
      </c>
    </row>
    <row r="431" ht="14.25" hidden="1" customHeight="1">
      <c r="A431" s="1" t="s">
        <v>5</v>
      </c>
      <c r="B431" s="1" t="s">
        <v>43</v>
      </c>
      <c r="C431" s="1" t="s">
        <v>9</v>
      </c>
      <c r="D431" s="1" t="s">
        <v>13</v>
      </c>
      <c r="E431" s="1">
        <v>0.0</v>
      </c>
      <c r="F431" s="1">
        <v>0.0</v>
      </c>
      <c r="G431" s="1">
        <v>0.0</v>
      </c>
      <c r="H431" s="2">
        <v>7.53569E-5</v>
      </c>
      <c r="I431" s="1">
        <v>0.0</v>
      </c>
      <c r="J431" s="1">
        <v>0.0</v>
      </c>
      <c r="K431" s="1">
        <v>0.0</v>
      </c>
      <c r="L431" s="1">
        <v>0.0</v>
      </c>
      <c r="M431" s="1">
        <v>0.0</v>
      </c>
      <c r="N431" s="1">
        <v>0.0</v>
      </c>
      <c r="O431" s="1">
        <v>0.0</v>
      </c>
      <c r="P431" s="1">
        <v>0.0</v>
      </c>
      <c r="Q431" s="1">
        <v>0.0</v>
      </c>
      <c r="R431" s="1">
        <v>0.0</v>
      </c>
      <c r="S431" s="1">
        <v>0.0</v>
      </c>
    </row>
    <row r="432" ht="14.25" hidden="1" customHeight="1">
      <c r="A432" s="1" t="s">
        <v>5</v>
      </c>
      <c r="B432" s="1" t="s">
        <v>43</v>
      </c>
      <c r="C432" s="1" t="s">
        <v>9</v>
      </c>
      <c r="D432" s="1" t="s">
        <v>14</v>
      </c>
      <c r="E432" s="1">
        <v>0.0</v>
      </c>
      <c r="F432" s="1">
        <v>0.0</v>
      </c>
      <c r="G432" s="1">
        <v>0.0</v>
      </c>
      <c r="H432" s="2">
        <v>2.01439E-4</v>
      </c>
      <c r="I432" s="1">
        <v>0.0</v>
      </c>
      <c r="J432" s="1">
        <v>0.0</v>
      </c>
      <c r="K432" s="1">
        <v>0.0</v>
      </c>
      <c r="L432" s="1">
        <v>0.0</v>
      </c>
      <c r="M432" s="1">
        <v>0.0</v>
      </c>
      <c r="N432" s="1">
        <v>0.0</v>
      </c>
      <c r="O432" s="1">
        <v>0.0</v>
      </c>
      <c r="P432" s="1">
        <v>0.0</v>
      </c>
      <c r="Q432" s="1">
        <v>0.0</v>
      </c>
      <c r="R432" s="1">
        <v>0.0</v>
      </c>
      <c r="S432" s="1">
        <v>0.0</v>
      </c>
    </row>
    <row r="433" ht="14.25" hidden="1" customHeight="1">
      <c r="A433" s="1" t="s">
        <v>5</v>
      </c>
      <c r="B433" s="1" t="s">
        <v>43</v>
      </c>
      <c r="C433" s="1" t="s">
        <v>15</v>
      </c>
      <c r="D433" s="1" t="s">
        <v>16</v>
      </c>
      <c r="E433" s="2">
        <v>5.00017E-7</v>
      </c>
      <c r="F433" s="2">
        <v>6.9999E-7</v>
      </c>
      <c r="G433" s="2">
        <v>3.00001E-7</v>
      </c>
      <c r="H433" s="2">
        <v>5.27758566999999E-4</v>
      </c>
      <c r="I433" s="2">
        <v>4.24435009E-4</v>
      </c>
      <c r="J433" s="1">
        <v>0.014159914001</v>
      </c>
      <c r="K433" s="1">
        <v>0.024184569652</v>
      </c>
      <c r="L433" s="1">
        <v>0.035819941434</v>
      </c>
      <c r="M433" s="1">
        <v>0.0505383559999999</v>
      </c>
      <c r="N433" s="1">
        <v>0.06357424</v>
      </c>
      <c r="O433" s="1">
        <v>0.07646907</v>
      </c>
      <c r="P433" s="1">
        <v>0.0897336599999999</v>
      </c>
      <c r="Q433" s="1">
        <v>0.102802549999999</v>
      </c>
      <c r="R433" s="1">
        <v>0.11573644</v>
      </c>
      <c r="S433" s="1">
        <v>0.1286719</v>
      </c>
    </row>
    <row r="434" ht="14.25" hidden="1" customHeight="1">
      <c r="A434" s="1" t="s">
        <v>5</v>
      </c>
      <c r="B434" s="1" t="s">
        <v>43</v>
      </c>
      <c r="C434" s="1" t="s">
        <v>15</v>
      </c>
      <c r="D434" s="1" t="s">
        <v>13</v>
      </c>
      <c r="E434" s="2">
        <v>5.00018E-7</v>
      </c>
      <c r="F434" s="2">
        <v>8.00014E-7</v>
      </c>
      <c r="G434" s="2">
        <v>3.00001E-7</v>
      </c>
      <c r="H434" s="2">
        <v>2.3348465E-7</v>
      </c>
      <c r="I434" s="2">
        <v>1.96180407999999E-7</v>
      </c>
      <c r="J434" s="2">
        <v>1.97853622E-7</v>
      </c>
      <c r="K434" s="2">
        <v>2.26435943E-7</v>
      </c>
      <c r="L434" s="2">
        <v>2.59260907E-7</v>
      </c>
      <c r="M434" s="2">
        <v>2.64492357E-7</v>
      </c>
      <c r="N434" s="2">
        <v>3.393352E-7</v>
      </c>
      <c r="O434" s="2">
        <v>3.9206168E-7</v>
      </c>
      <c r="P434" s="2">
        <v>4.228807E-7</v>
      </c>
      <c r="Q434" s="2">
        <v>4.469895E-7</v>
      </c>
      <c r="R434" s="2">
        <v>4.645446E-7</v>
      </c>
      <c r="S434" s="2">
        <v>4.826937E-7</v>
      </c>
    </row>
    <row r="435" ht="14.25" customHeight="1">
      <c r="A435" s="1" t="s">
        <v>5</v>
      </c>
      <c r="B435" s="1" t="s">
        <v>43</v>
      </c>
      <c r="C435" s="1" t="s">
        <v>15</v>
      </c>
      <c r="D435" s="1" t="s">
        <v>14</v>
      </c>
      <c r="E435" s="2">
        <v>5.00004E-7</v>
      </c>
      <c r="F435" s="2">
        <v>7.99996E-7</v>
      </c>
      <c r="G435" s="2">
        <v>3.00005E-7</v>
      </c>
      <c r="H435" s="2">
        <v>5.56395E-7</v>
      </c>
      <c r="I435" s="2">
        <v>1.10573396E-4</v>
      </c>
      <c r="J435" s="1">
        <v>0.00481592047999999</v>
      </c>
      <c r="K435" s="1">
        <v>0.008941495067</v>
      </c>
      <c r="L435" s="1">
        <v>0.0127965677816</v>
      </c>
      <c r="M435" s="1">
        <v>0.0175872922799</v>
      </c>
      <c r="N435" s="1">
        <v>0.0208945698</v>
      </c>
      <c r="O435" s="1">
        <v>0.024062202</v>
      </c>
      <c r="P435" s="1">
        <v>0.026613481</v>
      </c>
      <c r="Q435" s="1">
        <v>0.029262214</v>
      </c>
      <c r="R435" s="1">
        <v>0.03193762</v>
      </c>
      <c r="S435" s="1">
        <v>0.034711937</v>
      </c>
    </row>
    <row r="436" ht="14.25" hidden="1" customHeight="1">
      <c r="A436" s="1" t="s">
        <v>5</v>
      </c>
      <c r="B436" s="1" t="s">
        <v>43</v>
      </c>
      <c r="C436" s="1" t="s">
        <v>17</v>
      </c>
      <c r="D436" s="1" t="s">
        <v>16</v>
      </c>
      <c r="E436" s="2">
        <v>1.07004E-5</v>
      </c>
      <c r="F436" s="2">
        <v>3.32995E-5</v>
      </c>
      <c r="G436" s="2">
        <v>5.06002E-5</v>
      </c>
      <c r="H436" s="2">
        <v>3.536038E-4</v>
      </c>
      <c r="I436" s="2">
        <v>2.842626E-4</v>
      </c>
      <c r="J436" s="2">
        <v>7.014251E-4</v>
      </c>
      <c r="K436" s="2">
        <v>8.315084E-4</v>
      </c>
      <c r="L436" s="2">
        <v>9.4572391E-4</v>
      </c>
      <c r="M436" s="1">
        <v>0.0011233849</v>
      </c>
      <c r="N436" s="1">
        <v>0.001289408</v>
      </c>
      <c r="O436" s="1">
        <v>0.00152182429999999</v>
      </c>
      <c r="P436" s="1">
        <v>0.001792155</v>
      </c>
      <c r="Q436" s="1">
        <v>0.0020527138</v>
      </c>
      <c r="R436" s="1">
        <v>0.0023209633</v>
      </c>
      <c r="S436" s="1">
        <v>0.0025862691</v>
      </c>
    </row>
    <row r="437" ht="14.25" hidden="1" customHeight="1">
      <c r="A437" s="1" t="s">
        <v>5</v>
      </c>
      <c r="B437" s="1" t="s">
        <v>43</v>
      </c>
      <c r="C437" s="1" t="s">
        <v>17</v>
      </c>
      <c r="D437" s="1" t="s">
        <v>18</v>
      </c>
      <c r="E437" s="1">
        <v>0.00120362</v>
      </c>
      <c r="F437" s="1">
        <v>0.00374438</v>
      </c>
      <c r="G437" s="1">
        <v>0.00568819</v>
      </c>
      <c r="H437" s="1">
        <v>0.00601730199999999</v>
      </c>
      <c r="I437" s="1">
        <v>0.002921283</v>
      </c>
      <c r="J437" s="1">
        <v>0.012095789</v>
      </c>
      <c r="K437" s="1">
        <v>0.015693312</v>
      </c>
      <c r="L437" s="1">
        <v>0.019588238</v>
      </c>
      <c r="M437" s="1">
        <v>0.0236783764</v>
      </c>
      <c r="N437" s="1">
        <v>0.02768583</v>
      </c>
      <c r="O437" s="1">
        <v>0.03151123</v>
      </c>
      <c r="P437" s="1">
        <v>0.035208263</v>
      </c>
      <c r="Q437" s="1">
        <v>0.038797661</v>
      </c>
      <c r="R437" s="1">
        <v>0.04217175</v>
      </c>
      <c r="S437" s="1">
        <v>0.04524421</v>
      </c>
    </row>
    <row r="438" ht="14.25" hidden="1" customHeight="1">
      <c r="A438" s="1" t="s">
        <v>5</v>
      </c>
      <c r="B438" s="1" t="s">
        <v>43</v>
      </c>
      <c r="C438" s="1" t="s">
        <v>17</v>
      </c>
      <c r="D438" s="1" t="s">
        <v>19</v>
      </c>
      <c r="E438" s="2">
        <v>5.461E-4</v>
      </c>
      <c r="F438" s="1">
        <v>0.001699</v>
      </c>
      <c r="G438" s="1">
        <v>0.0025809</v>
      </c>
      <c r="H438" s="1">
        <v>0.002868435</v>
      </c>
      <c r="I438" s="2">
        <v>9.27074E-4</v>
      </c>
      <c r="J438" s="1">
        <v>0.004823116</v>
      </c>
      <c r="K438" s="1">
        <v>0.006187822</v>
      </c>
      <c r="L438" s="1">
        <v>0.00774561</v>
      </c>
      <c r="M438" s="1">
        <v>0.009373849</v>
      </c>
      <c r="N438" s="1">
        <v>0.011104201</v>
      </c>
      <c r="O438" s="1">
        <v>0.012928806</v>
      </c>
      <c r="P438" s="1">
        <v>0.0148093199999999</v>
      </c>
      <c r="Q438" s="1">
        <v>0.01671141</v>
      </c>
      <c r="R438" s="1">
        <v>0.01860115</v>
      </c>
      <c r="S438" s="1">
        <v>0.02045417</v>
      </c>
    </row>
    <row r="439" ht="14.25" hidden="1" customHeight="1">
      <c r="A439" s="1" t="s">
        <v>5</v>
      </c>
      <c r="B439" s="1" t="s">
        <v>43</v>
      </c>
      <c r="C439" s="1" t="s">
        <v>17</v>
      </c>
      <c r="D439" s="1" t="s">
        <v>8</v>
      </c>
      <c r="E439" s="2">
        <v>2.42008E-4</v>
      </c>
      <c r="F439" s="2">
        <v>7.52927E-4</v>
      </c>
      <c r="G439" s="1">
        <v>0.00114376</v>
      </c>
      <c r="H439" s="1">
        <v>0.001955039</v>
      </c>
      <c r="I439" s="1">
        <v>0.00138789266365</v>
      </c>
      <c r="J439" s="1">
        <v>0.00442820592934</v>
      </c>
      <c r="K439" s="1">
        <v>0.00595550733183</v>
      </c>
      <c r="L439" s="1">
        <v>0.00765442073431199</v>
      </c>
      <c r="M439" s="1">
        <v>0.009407429</v>
      </c>
      <c r="N439" s="1">
        <v>0.011148103</v>
      </c>
      <c r="O439" s="1">
        <v>0.01296164</v>
      </c>
      <c r="P439" s="1">
        <v>0.01475686</v>
      </c>
      <c r="Q439" s="1">
        <v>0.0165489</v>
      </c>
      <c r="R439" s="1">
        <v>0.01830343</v>
      </c>
      <c r="S439" s="1">
        <v>0.0200004599999999</v>
      </c>
    </row>
    <row r="440" ht="14.25" hidden="1" customHeight="1">
      <c r="A440" s="1" t="s">
        <v>5</v>
      </c>
      <c r="B440" s="1" t="s">
        <v>43</v>
      </c>
      <c r="C440" s="1" t="s">
        <v>17</v>
      </c>
      <c r="D440" s="1" t="s">
        <v>20</v>
      </c>
      <c r="E440" s="2">
        <v>1.82105E-4</v>
      </c>
      <c r="F440" s="2">
        <v>5.66316E-4</v>
      </c>
      <c r="G440" s="2">
        <v>8.60526E-4</v>
      </c>
      <c r="H440" s="2">
        <v>9.83498E-4</v>
      </c>
      <c r="I440" s="2">
        <v>6.579059E-4</v>
      </c>
      <c r="J440" s="1">
        <v>0.00170899699999999</v>
      </c>
      <c r="K440" s="1">
        <v>0.0022169208</v>
      </c>
      <c r="L440" s="1">
        <v>0.00272079999999999</v>
      </c>
      <c r="M440" s="1">
        <v>0.003261127</v>
      </c>
      <c r="N440" s="1">
        <v>0.003842207</v>
      </c>
      <c r="O440" s="1">
        <v>0.00444708899999999</v>
      </c>
      <c r="P440" s="1">
        <v>0.005058734</v>
      </c>
      <c r="Q440" s="1">
        <v>0.00567169599999999</v>
      </c>
      <c r="R440" s="1">
        <v>0.00627349</v>
      </c>
      <c r="S440" s="1">
        <v>0.00685357</v>
      </c>
    </row>
    <row r="441" ht="14.25" hidden="1" customHeight="1">
      <c r="A441" s="1" t="s">
        <v>5</v>
      </c>
      <c r="B441" s="1" t="s">
        <v>43</v>
      </c>
      <c r="C441" s="1" t="s">
        <v>21</v>
      </c>
      <c r="D441" s="1" t="s">
        <v>10</v>
      </c>
      <c r="E441" s="2">
        <v>5.30962E-4</v>
      </c>
      <c r="F441" s="1">
        <v>0.0016515</v>
      </c>
      <c r="G441" s="1">
        <v>0.00257364</v>
      </c>
      <c r="H441" s="1">
        <v>0.00290306</v>
      </c>
      <c r="I441" s="1">
        <v>0.002581701</v>
      </c>
      <c r="J441" s="1">
        <v>0.00173534815</v>
      </c>
      <c r="K441" s="1">
        <v>0.0040440226</v>
      </c>
      <c r="L441" s="1">
        <v>0.00441651126999999</v>
      </c>
      <c r="M441" s="1">
        <v>0.004526790935</v>
      </c>
      <c r="N441" s="1">
        <v>0.004639247</v>
      </c>
      <c r="O441" s="1">
        <v>0.004544985</v>
      </c>
      <c r="P441" s="1">
        <v>0.004509918</v>
      </c>
      <c r="Q441" s="1">
        <v>0.00442347</v>
      </c>
      <c r="R441" s="1">
        <v>0.004287961</v>
      </c>
      <c r="S441" s="1">
        <v>0.00410856599999999</v>
      </c>
    </row>
    <row r="442" ht="14.25" hidden="1" customHeight="1">
      <c r="A442" s="1" t="s">
        <v>5</v>
      </c>
      <c r="B442" s="1" t="s">
        <v>43</v>
      </c>
      <c r="C442" s="1" t="s">
        <v>21</v>
      </c>
      <c r="D442" s="1" t="s">
        <v>11</v>
      </c>
      <c r="E442" s="2">
        <v>1.06E-5</v>
      </c>
      <c r="F442" s="2">
        <v>3.3E-5</v>
      </c>
      <c r="G442" s="2">
        <v>5.14999E-5</v>
      </c>
      <c r="H442" s="2">
        <v>3.041397E-4</v>
      </c>
      <c r="I442" s="2">
        <v>1.22663898578E-4</v>
      </c>
      <c r="J442" s="1">
        <v>0.020216100391253</v>
      </c>
      <c r="K442" s="1">
        <v>0.02309853</v>
      </c>
      <c r="L442" s="1">
        <v>0.01819257</v>
      </c>
      <c r="M442" s="1">
        <v>0.01591452</v>
      </c>
      <c r="N442" s="1">
        <v>0.01668949</v>
      </c>
      <c r="O442" s="1">
        <v>0.01734658</v>
      </c>
      <c r="P442" s="1">
        <v>0.01779731</v>
      </c>
      <c r="Q442" s="1">
        <v>0.0172451</v>
      </c>
      <c r="R442" s="1">
        <v>0.0165487</v>
      </c>
      <c r="S442" s="1">
        <v>0.01595992</v>
      </c>
    </row>
    <row r="443" ht="14.25" hidden="1" customHeight="1">
      <c r="A443" s="1" t="s">
        <v>5</v>
      </c>
      <c r="B443" s="1" t="s">
        <v>43</v>
      </c>
      <c r="C443" s="1" t="s">
        <v>21</v>
      </c>
      <c r="D443" s="1" t="s">
        <v>22</v>
      </c>
      <c r="E443" s="2">
        <v>2.336E-4</v>
      </c>
      <c r="F443" s="2">
        <v>7.267E-4</v>
      </c>
      <c r="G443" s="1">
        <v>0.0011324</v>
      </c>
      <c r="H443" s="1">
        <v>0.001135122</v>
      </c>
      <c r="I443" s="1">
        <v>0.001512298</v>
      </c>
      <c r="J443" s="1">
        <v>0.004451282</v>
      </c>
      <c r="K443" s="1">
        <v>0.00603161</v>
      </c>
      <c r="L443" s="1">
        <v>0.00696499</v>
      </c>
      <c r="M443" s="1">
        <v>0.00730999</v>
      </c>
      <c r="N443" s="1">
        <v>0.00753909</v>
      </c>
      <c r="O443" s="1">
        <v>0.00750141</v>
      </c>
      <c r="P443" s="1">
        <v>0.00740255</v>
      </c>
      <c r="Q443" s="1">
        <v>0.0072916</v>
      </c>
      <c r="R443" s="1">
        <v>0.00713738</v>
      </c>
      <c r="S443" s="1">
        <v>0.0069298</v>
      </c>
    </row>
    <row r="444" ht="14.25" hidden="1" customHeight="1">
      <c r="A444" s="1" t="s">
        <v>5</v>
      </c>
      <c r="B444" s="1" t="s">
        <v>43</v>
      </c>
      <c r="C444" s="1" t="s">
        <v>21</v>
      </c>
      <c r="D444" s="1" t="s">
        <v>23</v>
      </c>
      <c r="E444" s="2">
        <v>6.36763E-5</v>
      </c>
      <c r="F444" s="2">
        <v>1.982088E-4</v>
      </c>
      <c r="G444" s="2">
        <v>3.088063E-4</v>
      </c>
      <c r="H444" s="2">
        <v>3.925823E-4</v>
      </c>
      <c r="I444" s="2">
        <v>8.52513299999999E-4</v>
      </c>
      <c r="J444" s="1">
        <v>0.0025828163</v>
      </c>
      <c r="K444" s="1">
        <v>0.004037718</v>
      </c>
      <c r="L444" s="1">
        <v>0.005361067</v>
      </c>
      <c r="M444" s="1">
        <v>0.00637629</v>
      </c>
      <c r="N444" s="1">
        <v>0.00679438</v>
      </c>
      <c r="O444" s="1">
        <v>0.00670703</v>
      </c>
      <c r="P444" s="1">
        <v>0.00719319</v>
      </c>
      <c r="Q444" s="1">
        <v>0.00758952</v>
      </c>
      <c r="R444" s="1">
        <v>0.00785955</v>
      </c>
      <c r="S444" s="1">
        <v>0.0079811</v>
      </c>
    </row>
    <row r="445" ht="14.25" hidden="1" customHeight="1">
      <c r="A445" s="1" t="s">
        <v>5</v>
      </c>
      <c r="B445" s="1" t="s">
        <v>43</v>
      </c>
      <c r="C445" s="1" t="s">
        <v>21</v>
      </c>
      <c r="D445" s="1" t="s">
        <v>24</v>
      </c>
      <c r="E445" s="2">
        <v>3.312987E-4</v>
      </c>
      <c r="F445" s="1">
        <v>0.001030602</v>
      </c>
      <c r="G445" s="1">
        <v>0.001605999</v>
      </c>
      <c r="H445" s="1">
        <v>0.002023281</v>
      </c>
      <c r="I445" s="1">
        <v>0.001700199</v>
      </c>
      <c r="J445" s="1">
        <v>0.001705116</v>
      </c>
      <c r="K445" s="1">
        <v>0.001593194</v>
      </c>
      <c r="L445" s="1">
        <v>0.001574165</v>
      </c>
      <c r="M445" s="1">
        <v>0.001509568</v>
      </c>
      <c r="N445" s="1">
        <v>0.00148289</v>
      </c>
      <c r="O445" s="1">
        <v>0.001432552</v>
      </c>
      <c r="P445" s="1">
        <v>0.001424287</v>
      </c>
      <c r="Q445" s="1">
        <v>0.0013975</v>
      </c>
      <c r="R445" s="1">
        <v>0.001358254</v>
      </c>
      <c r="S445" s="1">
        <v>0.001306109</v>
      </c>
    </row>
    <row r="446" ht="14.25" hidden="1" customHeight="1">
      <c r="A446" s="1" t="s">
        <v>5</v>
      </c>
      <c r="B446" s="1" t="s">
        <v>43</v>
      </c>
      <c r="C446" s="1" t="s">
        <v>21</v>
      </c>
      <c r="D446" s="1" t="s">
        <v>12</v>
      </c>
      <c r="E446" s="2">
        <v>1.06E-5</v>
      </c>
      <c r="F446" s="2">
        <v>3.3E-5</v>
      </c>
      <c r="G446" s="2">
        <v>5.14694E-5</v>
      </c>
      <c r="H446" s="2">
        <v>5.66128E-5</v>
      </c>
      <c r="I446" s="2">
        <v>9.28878E-5</v>
      </c>
      <c r="J446" s="2">
        <v>2.24819E-4</v>
      </c>
      <c r="K446" s="2">
        <v>2.9691E-4</v>
      </c>
      <c r="L446" s="2">
        <v>3.37197E-4</v>
      </c>
      <c r="M446" s="2">
        <v>3.50777E-4</v>
      </c>
      <c r="N446" s="2">
        <v>3.61073E-4</v>
      </c>
      <c r="O446" s="2">
        <v>3.59158E-4</v>
      </c>
      <c r="P446" s="2">
        <v>3.53281E-4</v>
      </c>
      <c r="Q446" s="2">
        <v>3.47395E-4</v>
      </c>
      <c r="R446" s="2">
        <v>3.39736E-4</v>
      </c>
      <c r="S446" s="2">
        <v>3.29694E-4</v>
      </c>
    </row>
    <row r="447" ht="14.25" hidden="1" customHeight="1">
      <c r="A447" s="1" t="s">
        <v>5</v>
      </c>
      <c r="B447" s="1" t="s">
        <v>43</v>
      </c>
      <c r="C447" s="1" t="s">
        <v>21</v>
      </c>
      <c r="D447" s="1" t="s">
        <v>13</v>
      </c>
      <c r="E447" s="2">
        <v>7.50227E-4</v>
      </c>
      <c r="F447" s="1">
        <v>0.00233394</v>
      </c>
      <c r="G447" s="1">
        <v>0.00346741</v>
      </c>
      <c r="H447" s="1">
        <v>0.00236372499999999</v>
      </c>
      <c r="I447" s="1">
        <v>0.0020466586</v>
      </c>
      <c r="J447" s="1">
        <v>0.0025524559</v>
      </c>
      <c r="K447" s="1">
        <v>0.00272285109999999</v>
      </c>
      <c r="L447" s="1">
        <v>0.003957895</v>
      </c>
      <c r="M447" s="1">
        <v>0.005739146</v>
      </c>
      <c r="N447" s="1">
        <v>0.00809967899999999</v>
      </c>
      <c r="O447" s="1">
        <v>0.010528527</v>
      </c>
      <c r="P447" s="1">
        <v>0.012786934</v>
      </c>
      <c r="Q447" s="1">
        <v>0.014867397</v>
      </c>
      <c r="R447" s="1">
        <v>0.01684736</v>
      </c>
      <c r="S447" s="1">
        <v>0.01883755</v>
      </c>
    </row>
    <row r="448" ht="14.25" hidden="1" customHeight="1">
      <c r="A448" s="1" t="s">
        <v>5</v>
      </c>
      <c r="B448" s="1" t="s">
        <v>43</v>
      </c>
      <c r="C448" s="1" t="s">
        <v>21</v>
      </c>
      <c r="D448" s="1" t="s">
        <v>14</v>
      </c>
      <c r="E448" s="2">
        <v>1.07001E-5</v>
      </c>
      <c r="F448" s="2">
        <v>3.32998E-5</v>
      </c>
      <c r="G448" s="2">
        <v>4.95007E-5</v>
      </c>
      <c r="H448" s="2">
        <v>1.436433E-4</v>
      </c>
      <c r="I448" s="1">
        <v>0.00127607969999999</v>
      </c>
      <c r="J448" s="2">
        <v>5.669057E-4</v>
      </c>
      <c r="K448" s="2">
        <v>3.85358E-5</v>
      </c>
      <c r="L448" s="2">
        <v>3.22643E-5</v>
      </c>
      <c r="M448" s="2">
        <v>4.12970099999999E-5</v>
      </c>
      <c r="N448" s="2">
        <v>4.67597E-5</v>
      </c>
      <c r="O448" s="2">
        <v>5.48532E-5</v>
      </c>
      <c r="P448" s="2">
        <v>6.40323E-5</v>
      </c>
      <c r="Q448" s="2">
        <v>6.94113E-5</v>
      </c>
      <c r="R448" s="2">
        <v>7.58698E-5</v>
      </c>
      <c r="S448" s="2">
        <v>8.29742E-5</v>
      </c>
    </row>
    <row r="449" ht="14.25" hidden="1" customHeight="1">
      <c r="A449" s="1" t="s">
        <v>5</v>
      </c>
      <c r="B449" s="1" t="s">
        <v>43</v>
      </c>
      <c r="C449" s="1" t="s">
        <v>21</v>
      </c>
      <c r="D449" s="1" t="s">
        <v>25</v>
      </c>
      <c r="E449" s="2">
        <v>4.93E-4</v>
      </c>
      <c r="F449" s="1">
        <v>0.0015337</v>
      </c>
      <c r="G449" s="1">
        <v>0.0022786</v>
      </c>
      <c r="H449" s="1">
        <v>0.00245271</v>
      </c>
      <c r="I449" s="1">
        <v>0.003361133</v>
      </c>
      <c r="J449" s="1">
        <v>0.00361938</v>
      </c>
      <c r="K449" s="1">
        <v>0.00338137</v>
      </c>
      <c r="L449" s="1">
        <v>0.00323148</v>
      </c>
      <c r="M449" s="1">
        <v>0.00284342</v>
      </c>
      <c r="N449" s="1">
        <v>0.003121457</v>
      </c>
      <c r="O449" s="1">
        <v>0.00348376999999999</v>
      </c>
      <c r="P449" s="1">
        <v>0.00392468</v>
      </c>
      <c r="Q449" s="1">
        <v>0.0044196</v>
      </c>
      <c r="R449" s="1">
        <v>0.00492566</v>
      </c>
      <c r="S449" s="1">
        <v>0.0053873</v>
      </c>
    </row>
    <row r="450" ht="14.25" hidden="1" customHeight="1">
      <c r="A450" s="1" t="s">
        <v>5</v>
      </c>
      <c r="B450" s="1" t="s">
        <v>43</v>
      </c>
      <c r="C450" s="1" t="s">
        <v>21</v>
      </c>
      <c r="D450" s="1" t="s">
        <v>26</v>
      </c>
      <c r="E450" s="2">
        <v>4.93006E-4</v>
      </c>
      <c r="F450" s="1">
        <v>0.001533713</v>
      </c>
      <c r="G450" s="1">
        <v>0.002278588</v>
      </c>
      <c r="H450" s="1">
        <v>0.002943464</v>
      </c>
      <c r="I450" s="1">
        <v>0.004943705</v>
      </c>
      <c r="J450" s="1">
        <v>0.00718808499999999</v>
      </c>
      <c r="K450" s="1">
        <v>0.00776408699999999</v>
      </c>
      <c r="L450" s="1">
        <v>0.00858146</v>
      </c>
      <c r="M450" s="1">
        <v>0.00865309</v>
      </c>
      <c r="N450" s="1">
        <v>0.01123074</v>
      </c>
      <c r="O450" s="1">
        <v>0.0144646499999999</v>
      </c>
      <c r="P450" s="1">
        <v>0.01817104</v>
      </c>
      <c r="Q450" s="1">
        <v>0.0224938799999999</v>
      </c>
      <c r="R450" s="1">
        <v>0.0273474499999999</v>
      </c>
      <c r="S450" s="1">
        <v>0.03241084</v>
      </c>
    </row>
    <row r="451" ht="14.25" hidden="1" customHeight="1">
      <c r="A451" s="1" t="s">
        <v>5</v>
      </c>
      <c r="B451" s="1" t="s">
        <v>43</v>
      </c>
      <c r="C451" s="1" t="s">
        <v>21</v>
      </c>
      <c r="D451" s="1" t="s">
        <v>27</v>
      </c>
      <c r="E451" s="2">
        <v>4.136987E-4</v>
      </c>
      <c r="F451" s="1">
        <v>0.00128700099999999</v>
      </c>
      <c r="G451" s="1">
        <v>0.001911999</v>
      </c>
      <c r="H451" s="1">
        <v>0.002899537</v>
      </c>
      <c r="I451" s="1">
        <v>0.00329437299999999</v>
      </c>
      <c r="J451" s="1">
        <v>0.00555730999999999</v>
      </c>
      <c r="K451" s="1">
        <v>0.006381161</v>
      </c>
      <c r="L451" s="1">
        <v>0.00743158</v>
      </c>
      <c r="M451" s="1">
        <v>0.008642011</v>
      </c>
      <c r="N451" s="1">
        <v>0.00983596</v>
      </c>
      <c r="O451" s="1">
        <v>0.0109852</v>
      </c>
      <c r="P451" s="1">
        <v>0.01232659</v>
      </c>
      <c r="Q451" s="1">
        <v>0.01373045</v>
      </c>
      <c r="R451" s="1">
        <v>0.01510249</v>
      </c>
      <c r="S451" s="1">
        <v>0.01646235</v>
      </c>
    </row>
    <row r="452" ht="14.25" hidden="1" customHeight="1">
      <c r="A452" s="1" t="s">
        <v>5</v>
      </c>
      <c r="B452" s="1" t="s">
        <v>43</v>
      </c>
      <c r="C452" s="1" t="s">
        <v>21</v>
      </c>
      <c r="D452" s="1" t="s">
        <v>28</v>
      </c>
      <c r="E452" s="2">
        <v>2.14E-5</v>
      </c>
      <c r="F452" s="2">
        <v>6.67E-5</v>
      </c>
      <c r="G452" s="2">
        <v>9.91E-5</v>
      </c>
      <c r="H452" s="2">
        <v>8.96045E-5</v>
      </c>
      <c r="I452" s="2">
        <v>1.15553E-4</v>
      </c>
      <c r="J452" s="2">
        <v>1.28419E-4</v>
      </c>
      <c r="K452" s="2">
        <v>1.18846E-4</v>
      </c>
      <c r="L452" s="2">
        <v>1.12952E-4</v>
      </c>
      <c r="M452" s="2">
        <v>9.9118E-5</v>
      </c>
      <c r="N452" s="2">
        <v>1.0866E-4</v>
      </c>
      <c r="O452" s="2">
        <v>1.21229E-4</v>
      </c>
      <c r="P452" s="2">
        <v>1.3656E-4</v>
      </c>
      <c r="Q452" s="2">
        <v>1.53778E-4</v>
      </c>
      <c r="R452" s="2">
        <v>1.71385E-4</v>
      </c>
      <c r="S452" s="2">
        <v>1.87447E-4</v>
      </c>
    </row>
    <row r="453" ht="14.25" hidden="1" customHeight="1">
      <c r="A453" s="1" t="s">
        <v>5</v>
      </c>
      <c r="B453" s="1" t="s">
        <v>43</v>
      </c>
      <c r="C453" s="1" t="s">
        <v>29</v>
      </c>
      <c r="D453" s="1" t="s">
        <v>16</v>
      </c>
      <c r="E453" s="1">
        <v>0.00193257</v>
      </c>
      <c r="F453" s="1">
        <v>0.00370994</v>
      </c>
      <c r="G453" s="1">
        <v>0.0145404</v>
      </c>
      <c r="H453" s="1">
        <v>0.01507983</v>
      </c>
      <c r="I453" s="1">
        <v>0.011826</v>
      </c>
      <c r="J453" s="1">
        <v>0.0161765499999999</v>
      </c>
      <c r="K453" s="1">
        <v>0.01596605</v>
      </c>
      <c r="L453" s="1">
        <v>0.0155352</v>
      </c>
      <c r="M453" s="1">
        <v>0.0135205329999999</v>
      </c>
      <c r="N453" s="1">
        <v>0.01368803</v>
      </c>
      <c r="O453" s="1">
        <v>0.014377534</v>
      </c>
      <c r="P453" s="1">
        <v>0.01518535</v>
      </c>
      <c r="Q453" s="1">
        <v>0.016438629</v>
      </c>
      <c r="R453" s="1">
        <v>0.01787279</v>
      </c>
      <c r="S453" s="1">
        <v>0.019213721</v>
      </c>
    </row>
    <row r="454" ht="14.25" hidden="1" customHeight="1">
      <c r="A454" s="1" t="s">
        <v>5</v>
      </c>
      <c r="B454" s="1" t="s">
        <v>43</v>
      </c>
      <c r="C454" s="1" t="s">
        <v>29</v>
      </c>
      <c r="D454" s="1" t="s">
        <v>8</v>
      </c>
      <c r="E454" s="2">
        <v>4.71016E-5</v>
      </c>
      <c r="F454" s="2">
        <v>9.05032E-5</v>
      </c>
      <c r="G454" s="2">
        <v>3.54618E-4</v>
      </c>
      <c r="H454" s="2">
        <v>2.73791649E-4</v>
      </c>
      <c r="I454" s="2">
        <v>8.776008713E-4</v>
      </c>
      <c r="J454" s="2">
        <v>7.627110677E-4</v>
      </c>
      <c r="K454" s="2">
        <v>6.303849245E-4</v>
      </c>
      <c r="L454" s="2">
        <v>4.602515814E-4</v>
      </c>
      <c r="M454" s="2">
        <v>2.5040767776E-4</v>
      </c>
      <c r="N454" s="2">
        <v>1.6711774E-4</v>
      </c>
      <c r="O454" s="2">
        <v>9.248582E-5</v>
      </c>
      <c r="P454" s="2">
        <v>1.0142415E-4</v>
      </c>
      <c r="Q454" s="2">
        <v>1.1174212E-4</v>
      </c>
      <c r="R454" s="2">
        <v>1.222354E-4</v>
      </c>
      <c r="S454" s="2">
        <v>1.3202302E-4</v>
      </c>
    </row>
    <row r="455" ht="14.25" hidden="1" customHeight="1">
      <c r="A455" s="1" t="s">
        <v>5</v>
      </c>
      <c r="B455" s="1" t="s">
        <v>43</v>
      </c>
      <c r="C455" s="1" t="s">
        <v>29</v>
      </c>
      <c r="D455" s="1" t="s">
        <v>10</v>
      </c>
      <c r="E455" s="2">
        <v>2.39028E-5</v>
      </c>
      <c r="F455" s="2">
        <v>4.58E-5</v>
      </c>
      <c r="G455" s="2">
        <v>2.36994E-5</v>
      </c>
      <c r="H455" s="1">
        <v>0.0012292733</v>
      </c>
      <c r="I455" s="1">
        <v>0.0010774401</v>
      </c>
      <c r="J455" s="2">
        <v>8.926168508E-4</v>
      </c>
      <c r="K455" s="2">
        <v>6.376616212E-4</v>
      </c>
      <c r="L455" s="2">
        <v>3.714673348E-4</v>
      </c>
      <c r="M455" s="2">
        <v>1.8473758542E-4</v>
      </c>
      <c r="N455" s="2">
        <v>2.157212609E-5</v>
      </c>
      <c r="O455" s="2">
        <v>1.682139967E-5</v>
      </c>
      <c r="P455" s="2">
        <v>1.340955E-5</v>
      </c>
      <c r="Q455" s="2">
        <v>1.0065512E-5</v>
      </c>
      <c r="R455" s="2">
        <v>8.556059E-6</v>
      </c>
      <c r="S455" s="2">
        <v>7.611685E-6</v>
      </c>
    </row>
    <row r="456" ht="14.25" hidden="1" customHeight="1">
      <c r="A456" s="1" t="s">
        <v>5</v>
      </c>
      <c r="B456" s="1" t="s">
        <v>43</v>
      </c>
      <c r="C456" s="1" t="s">
        <v>29</v>
      </c>
      <c r="D456" s="1" t="s">
        <v>11</v>
      </c>
      <c r="E456" s="1">
        <v>0.0053705</v>
      </c>
      <c r="F456" s="1">
        <v>0.0103105</v>
      </c>
      <c r="G456" s="1">
        <v>0.00532919</v>
      </c>
      <c r="H456" s="1">
        <v>0.00415226549999999</v>
      </c>
      <c r="I456" s="1">
        <v>0.00348601541307399</v>
      </c>
      <c r="J456" s="1">
        <v>0.058910571</v>
      </c>
      <c r="K456" s="1">
        <v>0.0939672628</v>
      </c>
      <c r="L456" s="1">
        <v>0.1185422146</v>
      </c>
      <c r="M456" s="1">
        <v>0.1286329002</v>
      </c>
      <c r="N456" s="1">
        <v>0.1342759</v>
      </c>
      <c r="O456" s="1">
        <v>0.1347825</v>
      </c>
      <c r="P456" s="1">
        <v>0.1317388</v>
      </c>
      <c r="Q456" s="1">
        <v>0.12981133</v>
      </c>
      <c r="R456" s="1">
        <v>0.127282039999999</v>
      </c>
      <c r="S456" s="1">
        <v>0.12365843</v>
      </c>
    </row>
    <row r="457" ht="14.25" hidden="1" customHeight="1">
      <c r="A457" s="1" t="s">
        <v>5</v>
      </c>
      <c r="B457" s="1" t="s">
        <v>43</v>
      </c>
      <c r="C457" s="1" t="s">
        <v>29</v>
      </c>
      <c r="D457" s="1" t="s">
        <v>13</v>
      </c>
      <c r="E457" s="2">
        <v>2.39009E-5</v>
      </c>
      <c r="F457" s="2">
        <v>4.59008E-5</v>
      </c>
      <c r="G457" s="2">
        <v>3.11001E-5</v>
      </c>
      <c r="H457" s="1">
        <v>0.0088118457</v>
      </c>
      <c r="I457" s="1">
        <v>0.0119706974</v>
      </c>
      <c r="J457" s="1">
        <v>0.0152074</v>
      </c>
      <c r="K457" s="1">
        <v>0.0197759226</v>
      </c>
      <c r="L457" s="1">
        <v>0.02304026431</v>
      </c>
      <c r="M457" s="1">
        <v>0.02623624</v>
      </c>
      <c r="N457" s="1">
        <v>0.02844145</v>
      </c>
      <c r="O457" s="1">
        <v>0.030769543</v>
      </c>
      <c r="P457" s="1">
        <v>0.0328758</v>
      </c>
      <c r="Q457" s="1">
        <v>0.03536467</v>
      </c>
      <c r="R457" s="1">
        <v>0.03802507</v>
      </c>
      <c r="S457" s="1">
        <v>0.04059964</v>
      </c>
    </row>
    <row r="458" ht="14.25" hidden="1" customHeight="1">
      <c r="A458" s="1" t="s">
        <v>5</v>
      </c>
      <c r="B458" s="1" t="s">
        <v>43</v>
      </c>
      <c r="C458" s="1" t="s">
        <v>29</v>
      </c>
      <c r="D458" s="1" t="s">
        <v>14</v>
      </c>
      <c r="E458" s="1">
        <v>0.0117588</v>
      </c>
      <c r="F458" s="1">
        <v>0.0225747</v>
      </c>
      <c r="G458" s="1">
        <v>0.0152825</v>
      </c>
      <c r="H458" s="1">
        <v>0.01288284</v>
      </c>
      <c r="I458" s="1">
        <v>0.013898733</v>
      </c>
      <c r="J458" s="1">
        <v>0.012556886</v>
      </c>
      <c r="K458" s="1">
        <v>0.010562009</v>
      </c>
      <c r="L458" s="1">
        <v>0.008571163</v>
      </c>
      <c r="M458" s="1">
        <v>0.005342375</v>
      </c>
      <c r="N458" s="1">
        <v>0.005533478</v>
      </c>
      <c r="O458" s="1">
        <v>0.006099702</v>
      </c>
      <c r="P458" s="1">
        <v>0.007078745</v>
      </c>
      <c r="Q458" s="1">
        <v>0.008132798</v>
      </c>
      <c r="R458" s="1">
        <v>0.009261745</v>
      </c>
      <c r="S458" s="1">
        <v>0.010357484</v>
      </c>
    </row>
    <row r="459" ht="14.25" hidden="1" customHeight="1">
      <c r="A459" s="1" t="s">
        <v>5</v>
      </c>
      <c r="B459" s="1" t="s">
        <v>43</v>
      </c>
      <c r="C459" s="1" t="s">
        <v>31</v>
      </c>
      <c r="D459" s="1" t="s">
        <v>11</v>
      </c>
      <c r="E459" s="1">
        <v>0.371457</v>
      </c>
      <c r="F459" s="1">
        <v>0.435217</v>
      </c>
      <c r="G459" s="1">
        <v>0.462575</v>
      </c>
      <c r="H459" s="1">
        <v>0.420953</v>
      </c>
      <c r="I459" s="1">
        <v>0.679148</v>
      </c>
      <c r="J459" s="1">
        <v>0.225392</v>
      </c>
      <c r="K459" s="1">
        <v>0.141715</v>
      </c>
      <c r="L459" s="1">
        <v>0.100437</v>
      </c>
      <c r="M459" s="1">
        <v>0.0678717</v>
      </c>
      <c r="N459" s="1">
        <v>0.0336018</v>
      </c>
      <c r="O459" s="1">
        <v>0.0</v>
      </c>
      <c r="P459" s="1">
        <v>0.0</v>
      </c>
      <c r="Q459" s="1">
        <v>0.0</v>
      </c>
      <c r="R459" s="1">
        <v>0.0</v>
      </c>
      <c r="S459" s="1">
        <v>0.0</v>
      </c>
    </row>
    <row r="460" ht="14.25" hidden="1" customHeight="1">
      <c r="A460" s="1" t="s">
        <v>5</v>
      </c>
      <c r="B460" s="1" t="s">
        <v>44</v>
      </c>
      <c r="C460" s="1" t="s">
        <v>7</v>
      </c>
      <c r="D460" s="1" t="s">
        <v>8</v>
      </c>
      <c r="E460" s="1">
        <v>0.0062618</v>
      </c>
      <c r="F460" s="1">
        <v>0.0079721</v>
      </c>
      <c r="G460" s="1">
        <v>0.00853159</v>
      </c>
      <c r="H460" s="1">
        <v>0.00212777</v>
      </c>
      <c r="I460" s="1">
        <v>0.0410736</v>
      </c>
      <c r="J460" s="1">
        <v>0.00531652</v>
      </c>
      <c r="K460" s="1">
        <v>0.00265497</v>
      </c>
      <c r="L460" s="1">
        <v>0.00230189</v>
      </c>
      <c r="M460" s="1">
        <v>0.00169106</v>
      </c>
      <c r="N460" s="2">
        <v>9.64264E-4</v>
      </c>
      <c r="O460" s="1">
        <v>0.0</v>
      </c>
      <c r="P460" s="1">
        <v>0.0</v>
      </c>
      <c r="Q460" s="1">
        <v>0.0</v>
      </c>
      <c r="R460" s="1">
        <v>0.0</v>
      </c>
      <c r="S460" s="1">
        <v>0.0</v>
      </c>
    </row>
    <row r="461" ht="14.25" hidden="1" customHeight="1">
      <c r="A461" s="1" t="s">
        <v>5</v>
      </c>
      <c r="B461" s="1" t="s">
        <v>44</v>
      </c>
      <c r="C461" s="1" t="s">
        <v>9</v>
      </c>
      <c r="D461" s="1" t="s">
        <v>8</v>
      </c>
      <c r="E461" s="1">
        <v>0.120157</v>
      </c>
      <c r="F461" s="1">
        <v>0.105384</v>
      </c>
      <c r="G461" s="1">
        <v>0.154996</v>
      </c>
      <c r="H461" s="1">
        <v>0.0875855</v>
      </c>
      <c r="I461" s="1">
        <v>0.100121</v>
      </c>
      <c r="J461" s="2">
        <v>1.02303E-8</v>
      </c>
      <c r="K461" s="1">
        <v>0.0</v>
      </c>
      <c r="L461" s="1">
        <v>0.0</v>
      </c>
      <c r="M461" s="1">
        <v>0.0</v>
      </c>
      <c r="N461" s="1">
        <v>0.0</v>
      </c>
      <c r="O461" s="1">
        <v>0.0</v>
      </c>
      <c r="P461" s="1">
        <v>0.0</v>
      </c>
      <c r="Q461" s="1">
        <v>0.0</v>
      </c>
      <c r="R461" s="1">
        <v>0.0</v>
      </c>
      <c r="S461" s="1">
        <v>0.0</v>
      </c>
    </row>
    <row r="462" ht="14.25" hidden="1" customHeight="1">
      <c r="A462" s="1" t="s">
        <v>5</v>
      </c>
      <c r="B462" s="1" t="s">
        <v>44</v>
      </c>
      <c r="C462" s="1" t="s">
        <v>9</v>
      </c>
      <c r="D462" s="1" t="s">
        <v>10</v>
      </c>
      <c r="E462" s="2">
        <v>1.68921E-4</v>
      </c>
      <c r="F462" s="2">
        <v>1.48209E-4</v>
      </c>
      <c r="G462" s="1">
        <v>0.018731</v>
      </c>
      <c r="H462" s="2">
        <v>1.19055E-6</v>
      </c>
      <c r="I462" s="1">
        <v>0.0133121</v>
      </c>
      <c r="J462" s="1">
        <v>0.0390712</v>
      </c>
      <c r="K462" s="1">
        <v>0.0</v>
      </c>
      <c r="L462" s="1">
        <v>0.0</v>
      </c>
      <c r="M462" s="1">
        <v>0.0</v>
      </c>
      <c r="N462" s="1">
        <v>0.0</v>
      </c>
      <c r="O462" s="1">
        <v>0.0</v>
      </c>
      <c r="P462" s="1">
        <v>0.0</v>
      </c>
      <c r="Q462" s="1">
        <v>0.0</v>
      </c>
      <c r="R462" s="1">
        <v>0.0</v>
      </c>
      <c r="S462" s="1">
        <v>0.0</v>
      </c>
    </row>
    <row r="463" ht="14.25" hidden="1" customHeight="1">
      <c r="A463" s="1" t="s">
        <v>5</v>
      </c>
      <c r="B463" s="1" t="s">
        <v>44</v>
      </c>
      <c r="C463" s="1" t="s">
        <v>9</v>
      </c>
      <c r="D463" s="1" t="s">
        <v>11</v>
      </c>
      <c r="E463" s="2">
        <v>1.689E-4</v>
      </c>
      <c r="F463" s="2">
        <v>1.482E-4</v>
      </c>
      <c r="G463" s="1">
        <v>0.018731</v>
      </c>
      <c r="H463" s="1">
        <v>0.0</v>
      </c>
      <c r="I463" s="1">
        <v>0.0</v>
      </c>
      <c r="J463" s="1">
        <v>0.0</v>
      </c>
      <c r="K463" s="1">
        <v>0.0</v>
      </c>
      <c r="L463" s="1">
        <v>0.0</v>
      </c>
      <c r="M463" s="1">
        <v>0.0</v>
      </c>
      <c r="N463" s="1">
        <v>0.0</v>
      </c>
      <c r="O463" s="1">
        <v>0.0</v>
      </c>
      <c r="P463" s="1">
        <v>0.0</v>
      </c>
      <c r="Q463" s="1">
        <v>0.0</v>
      </c>
      <c r="R463" s="1">
        <v>0.0</v>
      </c>
      <c r="S463" s="1">
        <v>0.0</v>
      </c>
    </row>
    <row r="464" ht="14.25" hidden="1" customHeight="1">
      <c r="A464" s="1" t="s">
        <v>5</v>
      </c>
      <c r="B464" s="1" t="s">
        <v>44</v>
      </c>
      <c r="C464" s="1" t="s">
        <v>9</v>
      </c>
      <c r="D464" s="1" t="s">
        <v>12</v>
      </c>
      <c r="E464" s="2">
        <v>1.68914E-5</v>
      </c>
      <c r="F464" s="2">
        <v>1.4733E-5</v>
      </c>
      <c r="G464" s="1">
        <v>0.00187289</v>
      </c>
      <c r="H464" s="1">
        <v>0.00368473</v>
      </c>
      <c r="I464" s="2">
        <v>3.99529E-4</v>
      </c>
      <c r="J464" s="2">
        <v>1.57597E-4</v>
      </c>
      <c r="K464" s="1">
        <v>0.0</v>
      </c>
      <c r="L464" s="1">
        <v>0.0</v>
      </c>
      <c r="M464" s="1">
        <v>0.0</v>
      </c>
      <c r="N464" s="1">
        <v>0.0</v>
      </c>
      <c r="O464" s="1">
        <v>0.0</v>
      </c>
      <c r="P464" s="1">
        <v>0.0</v>
      </c>
      <c r="Q464" s="1">
        <v>0.0</v>
      </c>
      <c r="R464" s="1">
        <v>0.0</v>
      </c>
      <c r="S464" s="1">
        <v>0.0</v>
      </c>
    </row>
    <row r="465" ht="14.25" hidden="1" customHeight="1">
      <c r="A465" s="1" t="s">
        <v>5</v>
      </c>
      <c r="B465" s="1" t="s">
        <v>44</v>
      </c>
      <c r="C465" s="1" t="s">
        <v>9</v>
      </c>
      <c r="D465" s="1" t="s">
        <v>13</v>
      </c>
      <c r="E465" s="1">
        <v>0.0</v>
      </c>
      <c r="F465" s="1">
        <v>0.0</v>
      </c>
      <c r="G465" s="1">
        <v>0.0</v>
      </c>
      <c r="H465" s="2">
        <v>1.54243E-4</v>
      </c>
      <c r="I465" s="1">
        <v>0.0</v>
      </c>
      <c r="J465" s="1">
        <v>0.0</v>
      </c>
      <c r="K465" s="1">
        <v>0.0</v>
      </c>
      <c r="L465" s="1">
        <v>0.0</v>
      </c>
      <c r="M465" s="1">
        <v>0.0</v>
      </c>
      <c r="N465" s="1">
        <v>0.0</v>
      </c>
      <c r="O465" s="1">
        <v>0.0</v>
      </c>
      <c r="P465" s="1">
        <v>0.0</v>
      </c>
      <c r="Q465" s="1">
        <v>0.0</v>
      </c>
      <c r="R465" s="1">
        <v>0.0</v>
      </c>
      <c r="S465" s="1">
        <v>0.0</v>
      </c>
    </row>
    <row r="466" ht="14.25" hidden="1" customHeight="1">
      <c r="A466" s="1" t="s">
        <v>5</v>
      </c>
      <c r="B466" s="1" t="s">
        <v>44</v>
      </c>
      <c r="C466" s="1" t="s">
        <v>15</v>
      </c>
      <c r="D466" s="1" t="s">
        <v>16</v>
      </c>
      <c r="E466" s="1">
        <v>0.0</v>
      </c>
      <c r="F466" s="1">
        <v>0.0</v>
      </c>
      <c r="G466" s="1">
        <v>0.0</v>
      </c>
      <c r="H466" s="1">
        <v>0.0</v>
      </c>
      <c r="I466" s="1">
        <v>0.0</v>
      </c>
      <c r="J466" s="2">
        <v>5.77159E-4</v>
      </c>
      <c r="K466" s="1">
        <v>0.001038812</v>
      </c>
      <c r="L466" s="1">
        <v>0.001554643</v>
      </c>
      <c r="M466" s="1">
        <v>0.00222062799999999</v>
      </c>
      <c r="N466" s="1">
        <v>0.002701447</v>
      </c>
      <c r="O466" s="1">
        <v>0.0031497486</v>
      </c>
      <c r="P466" s="1">
        <v>0.00360454109999999</v>
      </c>
      <c r="Q466" s="1">
        <v>0.0040526054</v>
      </c>
      <c r="R466" s="1">
        <v>0.00449758299999999</v>
      </c>
      <c r="S466" s="1">
        <v>0.00494950899999999</v>
      </c>
    </row>
    <row r="467" ht="14.25" customHeight="1">
      <c r="A467" s="1" t="s">
        <v>5</v>
      </c>
      <c r="B467" s="1" t="s">
        <v>44</v>
      </c>
      <c r="C467" s="1" t="s">
        <v>15</v>
      </c>
      <c r="D467" s="1" t="s">
        <v>14</v>
      </c>
      <c r="E467" s="1">
        <v>0.0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  <c r="K467" s="2">
        <v>1.03115E-10</v>
      </c>
      <c r="L467" s="2">
        <v>1.11477E-10</v>
      </c>
      <c r="M467" s="2">
        <v>1.65898E-10</v>
      </c>
      <c r="N467" s="2">
        <v>3.14242999999999E-10</v>
      </c>
      <c r="O467" s="2">
        <v>8.073777177E-6</v>
      </c>
      <c r="P467" s="2">
        <v>5.834734249E-5</v>
      </c>
      <c r="Q467" s="2">
        <v>3.5457345E-4</v>
      </c>
      <c r="R467" s="1">
        <v>0.00116457125</v>
      </c>
      <c r="S467" s="1">
        <v>0.00268167546</v>
      </c>
    </row>
    <row r="468" ht="14.25" hidden="1" customHeight="1">
      <c r="A468" s="1" t="s">
        <v>5</v>
      </c>
      <c r="B468" s="1" t="s">
        <v>44</v>
      </c>
      <c r="C468" s="1" t="s">
        <v>17</v>
      </c>
      <c r="D468" s="1" t="s">
        <v>16</v>
      </c>
      <c r="E468" s="2">
        <v>1.03997E-5</v>
      </c>
      <c r="F468" s="2">
        <v>3.24992E-5</v>
      </c>
      <c r="G468" s="2">
        <v>4.88005E-5</v>
      </c>
      <c r="H468" s="2">
        <v>2.472998E-4</v>
      </c>
      <c r="I468" s="2">
        <v>2.044336E-4</v>
      </c>
      <c r="J468" s="2">
        <v>3.287872E-4</v>
      </c>
      <c r="K468" s="2">
        <v>3.43832299999999E-4</v>
      </c>
      <c r="L468" s="2">
        <v>3.5540469E-4</v>
      </c>
      <c r="M468" s="2">
        <v>3.988676E-4</v>
      </c>
      <c r="N468" s="2">
        <v>4.266023E-4</v>
      </c>
      <c r="O468" s="2">
        <v>4.789786E-4</v>
      </c>
      <c r="P468" s="2">
        <v>5.416183E-4</v>
      </c>
      <c r="Q468" s="2">
        <v>6.025038E-4</v>
      </c>
      <c r="R468" s="2">
        <v>6.664068E-4</v>
      </c>
      <c r="S468" s="2">
        <v>7.341686E-4</v>
      </c>
    </row>
    <row r="469" ht="14.25" hidden="1" customHeight="1">
      <c r="A469" s="1" t="s">
        <v>5</v>
      </c>
      <c r="B469" s="1" t="s">
        <v>44</v>
      </c>
      <c r="C469" s="1" t="s">
        <v>17</v>
      </c>
      <c r="D469" s="1" t="s">
        <v>18</v>
      </c>
      <c r="E469" s="2">
        <v>1.94115E-4</v>
      </c>
      <c r="F469" s="2">
        <v>6.03808E-4</v>
      </c>
      <c r="G469" s="2">
        <v>9.07E-4</v>
      </c>
      <c r="H469" s="2">
        <v>5.86329E-4</v>
      </c>
      <c r="I469" s="2">
        <v>4.0952E-4</v>
      </c>
      <c r="J469" s="2">
        <v>4.47908E-4</v>
      </c>
      <c r="K469" s="2">
        <v>5.58366E-4</v>
      </c>
      <c r="L469" s="2">
        <v>6.74667E-4</v>
      </c>
      <c r="M469" s="2">
        <v>7.92461E-4</v>
      </c>
      <c r="N469" s="2">
        <v>9.21152999999999E-4</v>
      </c>
      <c r="O469" s="1">
        <v>0.00103348779999999</v>
      </c>
      <c r="P469" s="1">
        <v>0.0011322659</v>
      </c>
      <c r="Q469" s="1">
        <v>0.0012148299</v>
      </c>
      <c r="R469" s="1">
        <v>0.0012964967</v>
      </c>
      <c r="S469" s="1">
        <v>0.0013681555</v>
      </c>
    </row>
    <row r="470" ht="14.25" hidden="1" customHeight="1">
      <c r="A470" s="1" t="s">
        <v>5</v>
      </c>
      <c r="B470" s="1" t="s">
        <v>44</v>
      </c>
      <c r="C470" s="1" t="s">
        <v>17</v>
      </c>
      <c r="D470" s="1" t="s">
        <v>19</v>
      </c>
      <c r="E470" s="2">
        <v>8.77016E-5</v>
      </c>
      <c r="F470" s="2">
        <v>2.72699E-4</v>
      </c>
      <c r="G470" s="2">
        <v>4.096E-4</v>
      </c>
      <c r="H470" s="2">
        <v>4.24212E-4</v>
      </c>
      <c r="I470" s="2">
        <v>9.48566E-5</v>
      </c>
      <c r="J470" s="2">
        <v>5.707418E-4</v>
      </c>
      <c r="K470" s="2">
        <v>6.692711E-4</v>
      </c>
      <c r="L470" s="2">
        <v>7.80165E-4</v>
      </c>
      <c r="M470" s="2">
        <v>8.85729E-4</v>
      </c>
      <c r="N470" s="2">
        <v>9.976629E-4</v>
      </c>
      <c r="O470" s="1">
        <v>0.00111775399999999</v>
      </c>
      <c r="P470" s="1">
        <v>0.001243223</v>
      </c>
      <c r="Q470" s="1">
        <v>0.001372631</v>
      </c>
      <c r="R470" s="1">
        <v>0.001504011</v>
      </c>
      <c r="S470" s="1">
        <v>0.001636017</v>
      </c>
    </row>
    <row r="471" ht="14.25" hidden="1" customHeight="1">
      <c r="A471" s="1" t="s">
        <v>5</v>
      </c>
      <c r="B471" s="1" t="s">
        <v>44</v>
      </c>
      <c r="C471" s="1" t="s">
        <v>17</v>
      </c>
      <c r="D471" s="1" t="s">
        <v>8</v>
      </c>
      <c r="E471" s="2">
        <v>3.97E-5</v>
      </c>
      <c r="F471" s="2">
        <v>1.234E-4</v>
      </c>
      <c r="G471" s="2">
        <v>1.853E-4</v>
      </c>
      <c r="H471" s="1">
        <v>0.001015786</v>
      </c>
      <c r="I471" s="2">
        <v>7.312852697E-4</v>
      </c>
      <c r="J471" s="1">
        <v>0.0592521380026999</v>
      </c>
      <c r="K471" s="1">
        <v>0.0796158781849</v>
      </c>
      <c r="L471" s="1">
        <v>0.1018366265671</v>
      </c>
      <c r="M471" s="1">
        <v>0.1252246</v>
      </c>
      <c r="N471" s="1">
        <v>0.1486039</v>
      </c>
      <c r="O471" s="1">
        <v>0.1720768</v>
      </c>
      <c r="P471" s="1">
        <v>0.194808099999999</v>
      </c>
      <c r="Q471" s="1">
        <v>0.2166372</v>
      </c>
      <c r="R471" s="1">
        <v>0.237619199999999</v>
      </c>
      <c r="S471" s="1">
        <v>0.2578423</v>
      </c>
    </row>
    <row r="472" ht="14.25" hidden="1" customHeight="1">
      <c r="A472" s="1" t="s">
        <v>5</v>
      </c>
      <c r="B472" s="1" t="s">
        <v>44</v>
      </c>
      <c r="C472" s="1" t="s">
        <v>17</v>
      </c>
      <c r="D472" s="1" t="s">
        <v>20</v>
      </c>
      <c r="E472" s="2">
        <v>2.89474E-5</v>
      </c>
      <c r="F472" s="2">
        <v>9.10526E-5</v>
      </c>
      <c r="G472" s="2">
        <v>1.36316E-4</v>
      </c>
      <c r="H472" s="2">
        <v>1.454295E-4</v>
      </c>
      <c r="I472" s="2">
        <v>6.53669E-5</v>
      </c>
      <c r="J472" s="2">
        <v>2.008099E-4</v>
      </c>
      <c r="K472" s="2">
        <v>2.39906E-4</v>
      </c>
      <c r="L472" s="2">
        <v>2.737072E-4</v>
      </c>
      <c r="M472" s="2">
        <v>3.074869E-4</v>
      </c>
      <c r="N472" s="2">
        <v>3.445545E-4</v>
      </c>
      <c r="O472" s="2">
        <v>3.838518E-4</v>
      </c>
      <c r="P472" s="2">
        <v>4.23887899999999E-4</v>
      </c>
      <c r="Q472" s="2">
        <v>4.649877E-4</v>
      </c>
      <c r="R472" s="2">
        <v>5.063365E-4</v>
      </c>
      <c r="S472" s="2">
        <v>5.471753E-4</v>
      </c>
    </row>
    <row r="473" ht="14.25" hidden="1" customHeight="1">
      <c r="A473" s="1" t="s">
        <v>5</v>
      </c>
      <c r="B473" s="1" t="s">
        <v>44</v>
      </c>
      <c r="C473" s="1" t="s">
        <v>21</v>
      </c>
      <c r="D473" s="1" t="s">
        <v>10</v>
      </c>
      <c r="E473" s="2">
        <v>4.85559E-4</v>
      </c>
      <c r="F473" s="1">
        <v>0.00151039</v>
      </c>
      <c r="G473" s="1">
        <v>0.001629</v>
      </c>
      <c r="H473" s="1">
        <v>0.00432981</v>
      </c>
      <c r="I473" s="1">
        <v>0.003520863</v>
      </c>
      <c r="J473" s="1">
        <v>0.0023247844</v>
      </c>
      <c r="K473" s="1">
        <v>0.00788342</v>
      </c>
      <c r="L473" s="1">
        <v>0.0100125159</v>
      </c>
      <c r="M473" s="1">
        <v>0.01195034348</v>
      </c>
      <c r="N473" s="1">
        <v>0.01351576</v>
      </c>
      <c r="O473" s="1">
        <v>0.01472148</v>
      </c>
      <c r="P473" s="1">
        <v>0.01617218</v>
      </c>
      <c r="Q473" s="1">
        <v>0.01739859</v>
      </c>
      <c r="R473" s="1">
        <v>0.01838796</v>
      </c>
      <c r="S473" s="1">
        <v>0.0191327</v>
      </c>
    </row>
    <row r="474" ht="14.25" hidden="1" customHeight="1">
      <c r="A474" s="1" t="s">
        <v>5</v>
      </c>
      <c r="B474" s="1" t="s">
        <v>44</v>
      </c>
      <c r="C474" s="1" t="s">
        <v>21</v>
      </c>
      <c r="D474" s="1" t="s">
        <v>11</v>
      </c>
      <c r="E474" s="2">
        <v>1.06E-5</v>
      </c>
      <c r="F474" s="2">
        <v>3.28E-5</v>
      </c>
      <c r="G474" s="2">
        <v>3.54E-5</v>
      </c>
      <c r="H474" s="1">
        <v>0.0695617136</v>
      </c>
      <c r="I474" s="1">
        <v>0.0302814</v>
      </c>
      <c r="J474" s="1">
        <v>0.076387</v>
      </c>
      <c r="K474" s="1">
        <v>0.0628315</v>
      </c>
      <c r="L474" s="1">
        <v>0.0628433</v>
      </c>
      <c r="M474" s="1">
        <v>0.063865</v>
      </c>
      <c r="N474" s="1">
        <v>0.0623503</v>
      </c>
      <c r="O474" s="1">
        <v>0.058869</v>
      </c>
      <c r="P474" s="1">
        <v>0.059872</v>
      </c>
      <c r="Q474" s="1">
        <v>0.0606282</v>
      </c>
      <c r="R474" s="1">
        <v>0.0611429</v>
      </c>
      <c r="S474" s="1">
        <v>0.061409</v>
      </c>
    </row>
    <row r="475" ht="14.25" hidden="1" customHeight="1">
      <c r="A475" s="1" t="s">
        <v>5</v>
      </c>
      <c r="B475" s="1" t="s">
        <v>44</v>
      </c>
      <c r="C475" s="1" t="s">
        <v>21</v>
      </c>
      <c r="D475" s="1" t="s">
        <v>22</v>
      </c>
      <c r="E475" s="2">
        <v>2.11E-5</v>
      </c>
      <c r="F475" s="2">
        <v>6.57E-5</v>
      </c>
      <c r="G475" s="2">
        <v>7.08E-5</v>
      </c>
      <c r="H475" s="2">
        <v>1.891922E-4</v>
      </c>
      <c r="I475" s="2">
        <v>7.72573E-5</v>
      </c>
      <c r="J475" s="2">
        <v>3.06772E-4</v>
      </c>
      <c r="K475" s="2">
        <v>2.184863E-4</v>
      </c>
      <c r="L475" s="2">
        <v>2.254252E-4</v>
      </c>
      <c r="M475" s="2">
        <v>2.30474E-4</v>
      </c>
      <c r="N475" s="2">
        <v>2.274503E-4</v>
      </c>
      <c r="O475" s="2">
        <v>2.161643E-4</v>
      </c>
      <c r="P475" s="2">
        <v>2.205386E-4</v>
      </c>
      <c r="Q475" s="2">
        <v>2.23611999999999E-4</v>
      </c>
      <c r="R475" s="2">
        <v>2.25741699999999E-4</v>
      </c>
      <c r="S475" s="2">
        <v>2.26848E-4</v>
      </c>
    </row>
    <row r="476" ht="14.25" hidden="1" customHeight="1">
      <c r="A476" s="1" t="s">
        <v>5</v>
      </c>
      <c r="B476" s="1" t="s">
        <v>44</v>
      </c>
      <c r="C476" s="1" t="s">
        <v>21</v>
      </c>
      <c r="D476" s="1" t="s">
        <v>23</v>
      </c>
      <c r="E476" s="2">
        <v>1.058247E-5</v>
      </c>
      <c r="F476" s="2">
        <v>3.281988E-5</v>
      </c>
      <c r="G476" s="2">
        <v>3.538783E-5</v>
      </c>
      <c r="H476" s="2">
        <v>2.4138609E-4</v>
      </c>
      <c r="I476" s="2">
        <v>1.138E-4</v>
      </c>
      <c r="J476" s="2">
        <v>3.630395E-4</v>
      </c>
      <c r="K476" s="2">
        <v>2.5192175E-4</v>
      </c>
      <c r="L476" s="2">
        <v>2.746885E-4</v>
      </c>
      <c r="M476" s="2">
        <v>3.171678E-4</v>
      </c>
      <c r="N476" s="2">
        <v>3.332279E-4</v>
      </c>
      <c r="O476" s="2">
        <v>3.320347E-4</v>
      </c>
      <c r="P476" s="2">
        <v>3.730791E-4</v>
      </c>
      <c r="Q476" s="2">
        <v>4.14298E-4</v>
      </c>
      <c r="R476" s="2">
        <v>4.523051E-4</v>
      </c>
      <c r="S476" s="2">
        <v>4.889121E-4</v>
      </c>
    </row>
    <row r="477" ht="14.25" hidden="1" customHeight="1">
      <c r="A477" s="1" t="s">
        <v>5</v>
      </c>
      <c r="B477" s="1" t="s">
        <v>44</v>
      </c>
      <c r="C477" s="1" t="s">
        <v>21</v>
      </c>
      <c r="D477" s="1" t="s">
        <v>24</v>
      </c>
      <c r="E477" s="2">
        <v>3.609025E-4</v>
      </c>
      <c r="F477" s="1">
        <v>0.001122803</v>
      </c>
      <c r="G477" s="1">
        <v>0.001211094</v>
      </c>
      <c r="H477" s="1">
        <v>0.001788147</v>
      </c>
      <c r="I477" s="1">
        <v>0.001307131</v>
      </c>
      <c r="J477" s="1">
        <v>0.0019887123</v>
      </c>
      <c r="K477" s="1">
        <v>0.001876071</v>
      </c>
      <c r="L477" s="1">
        <v>0.001881892</v>
      </c>
      <c r="M477" s="1">
        <v>0.001862449</v>
      </c>
      <c r="N477" s="1">
        <v>0.001823324</v>
      </c>
      <c r="O477" s="1">
        <v>0.001772132</v>
      </c>
      <c r="P477" s="1">
        <v>0.001788193</v>
      </c>
      <c r="Q477" s="1">
        <v>0.00179415699999999</v>
      </c>
      <c r="R477" s="1">
        <v>0.001789097</v>
      </c>
      <c r="S477" s="1">
        <v>0.001777735</v>
      </c>
    </row>
    <row r="478" ht="14.25" hidden="1" customHeight="1">
      <c r="A478" s="1" t="s">
        <v>5</v>
      </c>
      <c r="B478" s="1" t="s">
        <v>44</v>
      </c>
      <c r="C478" s="1" t="s">
        <v>21</v>
      </c>
      <c r="D478" s="1" t="s">
        <v>12</v>
      </c>
      <c r="E478" s="2">
        <v>1.09944E-6</v>
      </c>
      <c r="F478" s="2">
        <v>3.28507E-6</v>
      </c>
      <c r="G478" s="2">
        <v>3.49961E-6</v>
      </c>
      <c r="H478" s="2">
        <v>1.92813E-4</v>
      </c>
      <c r="I478" s="2">
        <v>4.04324E-4</v>
      </c>
      <c r="J478" s="1">
        <v>0.00147079</v>
      </c>
      <c r="K478" s="1">
        <v>0.00105965</v>
      </c>
      <c r="L478" s="1">
        <v>0.00108866</v>
      </c>
      <c r="M478" s="1">
        <v>0.00111012</v>
      </c>
      <c r="N478" s="1">
        <v>0.00109388</v>
      </c>
      <c r="O478" s="1">
        <v>0.00103865</v>
      </c>
      <c r="P478" s="1">
        <v>0.00105915</v>
      </c>
      <c r="Q478" s="1">
        <v>0.00107368</v>
      </c>
      <c r="R478" s="1">
        <v>0.00108382</v>
      </c>
      <c r="S478" s="1">
        <v>0.00108911</v>
      </c>
    </row>
    <row r="479" ht="14.25" hidden="1" customHeight="1">
      <c r="A479" s="1" t="s">
        <v>5</v>
      </c>
      <c r="B479" s="1" t="s">
        <v>44</v>
      </c>
      <c r="C479" s="1" t="s">
        <v>21</v>
      </c>
      <c r="D479" s="1" t="s">
        <v>13</v>
      </c>
      <c r="E479" s="2">
        <v>6.30453E-4</v>
      </c>
      <c r="F479" s="1">
        <v>0.00196122</v>
      </c>
      <c r="G479" s="1">
        <v>0.00229206</v>
      </c>
      <c r="H479" s="1">
        <v>0.00263876</v>
      </c>
      <c r="I479" s="1">
        <v>0.00188767121</v>
      </c>
      <c r="J479" s="1">
        <v>0.00212684618</v>
      </c>
      <c r="K479" s="1">
        <v>0.00360176879</v>
      </c>
      <c r="L479" s="1">
        <v>0.00536121040999999</v>
      </c>
      <c r="M479" s="1">
        <v>0.00714029199999999</v>
      </c>
      <c r="N479" s="1">
        <v>0.00895536699999999</v>
      </c>
      <c r="O479" s="1">
        <v>0.010590584</v>
      </c>
      <c r="P479" s="1">
        <v>0.011835364</v>
      </c>
      <c r="Q479" s="1">
        <v>0.013031886</v>
      </c>
      <c r="R479" s="1">
        <v>0.01416057</v>
      </c>
      <c r="S479" s="1">
        <v>0.01523447</v>
      </c>
    </row>
    <row r="480" ht="14.25" hidden="1" customHeight="1">
      <c r="A480" s="1" t="s">
        <v>5</v>
      </c>
      <c r="B480" s="1" t="s">
        <v>44</v>
      </c>
      <c r="C480" s="1" t="s">
        <v>21</v>
      </c>
      <c r="D480" s="1" t="s">
        <v>14</v>
      </c>
      <c r="E480" s="2">
        <v>1.09006E-5</v>
      </c>
      <c r="F480" s="2">
        <v>3.38001E-5</v>
      </c>
      <c r="G480" s="2">
        <v>3.94998E-5</v>
      </c>
      <c r="H480" s="1">
        <v>0.0060525687</v>
      </c>
      <c r="I480" s="1">
        <v>0.0187064799999999</v>
      </c>
      <c r="J480" s="1">
        <v>0.00903394999999999</v>
      </c>
      <c r="K480" s="1">
        <v>0.00847573</v>
      </c>
      <c r="L480" s="1">
        <v>0.00987925</v>
      </c>
      <c r="M480" s="1">
        <v>0.01208842</v>
      </c>
      <c r="N480" s="1">
        <v>0.01306177</v>
      </c>
      <c r="O480" s="1">
        <v>0.01366211</v>
      </c>
      <c r="P480" s="1">
        <v>0.01507793</v>
      </c>
      <c r="Q480" s="1">
        <v>0.01629023</v>
      </c>
      <c r="R480" s="1">
        <v>0.01700564</v>
      </c>
      <c r="S480" s="1">
        <v>0.01701174</v>
      </c>
    </row>
    <row r="481" ht="14.25" hidden="1" customHeight="1">
      <c r="A481" s="1" t="s">
        <v>5</v>
      </c>
      <c r="B481" s="1" t="s">
        <v>44</v>
      </c>
      <c r="C481" s="1" t="s">
        <v>21</v>
      </c>
      <c r="D481" s="1" t="s">
        <v>25</v>
      </c>
      <c r="E481" s="2">
        <v>1.739E-4</v>
      </c>
      <c r="F481" s="2">
        <v>5.41E-4</v>
      </c>
      <c r="G481" s="2">
        <v>6.323E-4</v>
      </c>
      <c r="H481" s="1">
        <v>0.001026405</v>
      </c>
      <c r="I481" s="1">
        <v>0.001647257</v>
      </c>
      <c r="J481" s="1">
        <v>0.001103993</v>
      </c>
      <c r="K481" s="2">
        <v>9.55614E-4</v>
      </c>
      <c r="L481" s="2">
        <v>9.50843E-4</v>
      </c>
      <c r="M481" s="2">
        <v>8.96167999999999E-4</v>
      </c>
      <c r="N481" s="2">
        <v>9.74295999999999E-4</v>
      </c>
      <c r="O481" s="1">
        <v>0.001033011</v>
      </c>
      <c r="P481" s="1">
        <v>0.001137739</v>
      </c>
      <c r="Q481" s="1">
        <v>0.001240964</v>
      </c>
      <c r="R481" s="1">
        <v>0.001325732</v>
      </c>
      <c r="S481" s="1">
        <v>0.001381696</v>
      </c>
    </row>
    <row r="482" ht="14.25" hidden="1" customHeight="1">
      <c r="A482" s="1" t="s">
        <v>5</v>
      </c>
      <c r="B482" s="1" t="s">
        <v>44</v>
      </c>
      <c r="C482" s="1" t="s">
        <v>21</v>
      </c>
      <c r="D482" s="1" t="s">
        <v>26</v>
      </c>
      <c r="E482" s="2">
        <v>3.043026E-4</v>
      </c>
      <c r="F482" s="2">
        <v>9.46781E-4</v>
      </c>
      <c r="G482" s="1">
        <v>0.001106504</v>
      </c>
      <c r="H482" s="1">
        <v>0.003659798</v>
      </c>
      <c r="I482" s="1">
        <v>0.00102526</v>
      </c>
      <c r="J482" s="1">
        <v>0.004019099</v>
      </c>
      <c r="K482" s="1">
        <v>0.003552894</v>
      </c>
      <c r="L482" s="1">
        <v>0.0039213218</v>
      </c>
      <c r="M482" s="1">
        <v>0.004326111</v>
      </c>
      <c r="N482" s="1">
        <v>0.00536699</v>
      </c>
      <c r="O482" s="1">
        <v>0.006338262</v>
      </c>
      <c r="P482" s="1">
        <v>0.007703606</v>
      </c>
      <c r="Q482" s="1">
        <v>0.009181675</v>
      </c>
      <c r="R482" s="1">
        <v>0.01061292</v>
      </c>
      <c r="S482" s="1">
        <v>0.0119098</v>
      </c>
    </row>
    <row r="483" ht="14.25" hidden="1" customHeight="1">
      <c r="A483" s="1" t="s">
        <v>5</v>
      </c>
      <c r="B483" s="1" t="s">
        <v>44</v>
      </c>
      <c r="C483" s="1" t="s">
        <v>21</v>
      </c>
      <c r="D483" s="1" t="s">
        <v>27</v>
      </c>
      <c r="E483" s="2">
        <v>3.26103799999999E-4</v>
      </c>
      <c r="F483" s="1">
        <v>0.001014399</v>
      </c>
      <c r="G483" s="1">
        <v>0.001185499</v>
      </c>
      <c r="H483" s="1">
        <v>0.001930685</v>
      </c>
      <c r="I483" s="2">
        <v>4.9844823E-4</v>
      </c>
      <c r="J483" s="1">
        <v>0.00296761357</v>
      </c>
      <c r="K483" s="1">
        <v>0.003253958</v>
      </c>
      <c r="L483" s="1">
        <v>0.003693477</v>
      </c>
      <c r="M483" s="1">
        <v>0.004133177</v>
      </c>
      <c r="N483" s="1">
        <v>0.004592389</v>
      </c>
      <c r="O483" s="1">
        <v>0.005010706</v>
      </c>
      <c r="P483" s="1">
        <v>0.005520149</v>
      </c>
      <c r="Q483" s="1">
        <v>0.006057621</v>
      </c>
      <c r="R483" s="1">
        <v>0.006570327</v>
      </c>
      <c r="S483" s="1">
        <v>0.007071462</v>
      </c>
    </row>
    <row r="484" ht="14.25" hidden="1" customHeight="1">
      <c r="A484" s="1" t="s">
        <v>5</v>
      </c>
      <c r="B484" s="1" t="s">
        <v>44</v>
      </c>
      <c r="C484" s="1" t="s">
        <v>21</v>
      </c>
      <c r="D484" s="1" t="s">
        <v>28</v>
      </c>
      <c r="E484" s="2">
        <v>1.1E-6</v>
      </c>
      <c r="F484" s="2">
        <v>3.4E-6</v>
      </c>
      <c r="G484" s="2">
        <v>4.0E-6</v>
      </c>
      <c r="H484" s="2">
        <v>4.66253E-6</v>
      </c>
      <c r="I484" s="2">
        <v>6.27664E-6</v>
      </c>
      <c r="J484" s="2">
        <v>5.44682E-6</v>
      </c>
      <c r="K484" s="2">
        <v>4.80957E-6</v>
      </c>
      <c r="L484" s="2">
        <v>4.80549E-6</v>
      </c>
      <c r="M484" s="2">
        <v>4.53464E-6</v>
      </c>
      <c r="N484" s="2">
        <v>4.93183E-6</v>
      </c>
      <c r="O484" s="2">
        <v>5.22942E-6</v>
      </c>
      <c r="P484" s="2">
        <v>5.75941E-6</v>
      </c>
      <c r="Q484" s="2">
        <v>6.28189E-6</v>
      </c>
      <c r="R484" s="2">
        <v>6.71097E-6</v>
      </c>
      <c r="S484" s="2">
        <v>6.99426E-6</v>
      </c>
    </row>
    <row r="485" ht="14.25" hidden="1" customHeight="1">
      <c r="A485" s="1" t="s">
        <v>5</v>
      </c>
      <c r="B485" s="1" t="s">
        <v>44</v>
      </c>
      <c r="C485" s="1" t="s">
        <v>29</v>
      </c>
      <c r="D485" s="1" t="s">
        <v>16</v>
      </c>
      <c r="E485" s="2">
        <v>4.42288E-4</v>
      </c>
      <c r="F485" s="2">
        <v>8.49179E-4</v>
      </c>
      <c r="G485" s="1">
        <v>0.00129091</v>
      </c>
      <c r="H485" s="1">
        <v>0.001123367</v>
      </c>
      <c r="I485" s="2">
        <v>9.03665E-4</v>
      </c>
      <c r="J485" s="1">
        <v>0.0010954096</v>
      </c>
      <c r="K485" s="1">
        <v>0.0010531179</v>
      </c>
      <c r="L485" s="1">
        <v>0.0010003552</v>
      </c>
      <c r="M485" s="2">
        <v>8.07686499999999E-4</v>
      </c>
      <c r="N485" s="2">
        <v>8.13763E-4</v>
      </c>
      <c r="O485" s="2">
        <v>8.338056E-4</v>
      </c>
      <c r="P485" s="2">
        <v>8.60143E-4</v>
      </c>
      <c r="Q485" s="2">
        <v>9.136611E-4</v>
      </c>
      <c r="R485" s="2">
        <v>9.80028E-4</v>
      </c>
      <c r="S485" s="1">
        <v>0.0010438649</v>
      </c>
    </row>
    <row r="486" ht="14.25" hidden="1" customHeight="1">
      <c r="A486" s="1" t="s">
        <v>5</v>
      </c>
      <c r="B486" s="1" t="s">
        <v>44</v>
      </c>
      <c r="C486" s="1" t="s">
        <v>29</v>
      </c>
      <c r="D486" s="1" t="s">
        <v>8</v>
      </c>
      <c r="E486" s="2">
        <v>4.42E-5</v>
      </c>
      <c r="F486" s="2">
        <v>8.49E-5</v>
      </c>
      <c r="G486" s="2">
        <v>1.291E-4</v>
      </c>
      <c r="H486" s="2">
        <v>9.9683527E-5</v>
      </c>
      <c r="I486" s="1">
        <v>0.0014131529904</v>
      </c>
      <c r="J486" s="1">
        <v>0.0014913825977</v>
      </c>
      <c r="K486" s="1">
        <v>0.00140942496349999</v>
      </c>
      <c r="L486" s="1">
        <v>0.00124128352926</v>
      </c>
      <c r="M486" s="1">
        <v>0.00104777033652</v>
      </c>
      <c r="N486" s="2">
        <v>9.80999199999999E-4</v>
      </c>
      <c r="O486" s="2">
        <v>9.066545E-4</v>
      </c>
      <c r="P486" s="2">
        <v>9.903079E-4</v>
      </c>
      <c r="Q486" s="1">
        <v>0.00109216029999999</v>
      </c>
      <c r="R486" s="1">
        <v>0.0011912811</v>
      </c>
      <c r="S486" s="1">
        <v>0.0012780496</v>
      </c>
    </row>
    <row r="487" ht="14.25" hidden="1" customHeight="1">
      <c r="A487" s="1" t="s">
        <v>5</v>
      </c>
      <c r="B487" s="1" t="s">
        <v>44</v>
      </c>
      <c r="C487" s="1" t="s">
        <v>29</v>
      </c>
      <c r="D487" s="1" t="s">
        <v>10</v>
      </c>
      <c r="E487" s="2">
        <v>2.27028E-5</v>
      </c>
      <c r="F487" s="2">
        <v>4.36025E-5</v>
      </c>
      <c r="G487" s="2">
        <v>2.51899E-4</v>
      </c>
      <c r="H487" s="1">
        <v>0.001214128</v>
      </c>
      <c r="I487" s="1">
        <v>0.0010967527</v>
      </c>
      <c r="J487" s="2">
        <v>9.01752628999999E-4</v>
      </c>
      <c r="K487" s="2">
        <v>6.615273631E-4</v>
      </c>
      <c r="L487" s="2">
        <v>4.105279954E-4</v>
      </c>
      <c r="M487" s="2">
        <v>1.981909646E-4</v>
      </c>
      <c r="N487" s="2">
        <v>5.68643739E-5</v>
      </c>
      <c r="O487" s="2">
        <v>4.78121462E-5</v>
      </c>
      <c r="P487" s="2">
        <v>4.469974E-5</v>
      </c>
      <c r="Q487" s="2">
        <v>4.169075E-5</v>
      </c>
      <c r="R487" s="2">
        <v>4.134139E-5</v>
      </c>
      <c r="S487" s="2">
        <v>4.186963E-5</v>
      </c>
    </row>
    <row r="488" ht="14.25" hidden="1" customHeight="1">
      <c r="A488" s="1" t="s">
        <v>5</v>
      </c>
      <c r="B488" s="1" t="s">
        <v>44</v>
      </c>
      <c r="C488" s="1" t="s">
        <v>29</v>
      </c>
      <c r="D488" s="1" t="s">
        <v>11</v>
      </c>
      <c r="E488" s="2">
        <v>4.22801E-4</v>
      </c>
      <c r="F488" s="2">
        <v>8.117E-4</v>
      </c>
      <c r="G488" s="1">
        <v>0.0046852</v>
      </c>
      <c r="H488" s="1">
        <v>0.00361645</v>
      </c>
      <c r="I488" s="1">
        <v>0.0030352</v>
      </c>
      <c r="J488" s="1">
        <v>0.0023426</v>
      </c>
      <c r="K488" s="1">
        <v>0.00165</v>
      </c>
      <c r="L488" s="1">
        <v>0.00106875</v>
      </c>
      <c r="M488" s="1">
        <v>0.0</v>
      </c>
      <c r="N488" s="1">
        <v>0.0</v>
      </c>
      <c r="O488" s="2">
        <v>2.83417E-7</v>
      </c>
      <c r="P488" s="2">
        <v>2.11906099999999E-6</v>
      </c>
      <c r="Q488" s="2">
        <v>1.2309777E-5</v>
      </c>
      <c r="R488" s="2">
        <v>4.1002969E-5</v>
      </c>
      <c r="S488" s="2">
        <v>9.60581054E-5</v>
      </c>
    </row>
    <row r="489" ht="14.25" hidden="1" customHeight="1">
      <c r="A489" s="1" t="s">
        <v>5</v>
      </c>
      <c r="B489" s="1" t="s">
        <v>44</v>
      </c>
      <c r="C489" s="1" t="s">
        <v>29</v>
      </c>
      <c r="D489" s="1" t="s">
        <v>13</v>
      </c>
      <c r="E489" s="2">
        <v>2.3902E-5</v>
      </c>
      <c r="F489" s="2">
        <v>4.58004E-5</v>
      </c>
      <c r="G489" s="2">
        <v>7.7602E-5</v>
      </c>
      <c r="H489" s="1">
        <v>0.00249603999999999</v>
      </c>
      <c r="I489" s="1">
        <v>0.0053640827</v>
      </c>
      <c r="J489" s="1">
        <v>0.004804171</v>
      </c>
      <c r="K489" s="1">
        <v>0.00456911739999999</v>
      </c>
      <c r="L489" s="1">
        <v>0.004016313</v>
      </c>
      <c r="M489" s="1">
        <v>0.003435369</v>
      </c>
      <c r="N489" s="1">
        <v>0.00294735009999999</v>
      </c>
      <c r="O489" s="1">
        <v>0.0027226418</v>
      </c>
      <c r="P489" s="1">
        <v>0.00282357899999999</v>
      </c>
      <c r="Q489" s="1">
        <v>0.002945859</v>
      </c>
      <c r="R489" s="1">
        <v>0.003118386</v>
      </c>
      <c r="S489" s="1">
        <v>0.003315391</v>
      </c>
    </row>
    <row r="490" ht="14.25" hidden="1" customHeight="1">
      <c r="A490" s="1" t="s">
        <v>5</v>
      </c>
      <c r="B490" s="1" t="s">
        <v>44</v>
      </c>
      <c r="C490" s="1" t="s">
        <v>29</v>
      </c>
      <c r="D490" s="1" t="s">
        <v>14</v>
      </c>
      <c r="E490" s="1">
        <v>0.00431806</v>
      </c>
      <c r="F490" s="1">
        <v>0.00828953</v>
      </c>
      <c r="G490" s="1">
        <v>0.0140461</v>
      </c>
      <c r="H490" s="1">
        <v>0.010842</v>
      </c>
      <c r="I490" s="1">
        <v>0.00909946</v>
      </c>
      <c r="J490" s="1">
        <v>0.00702306</v>
      </c>
      <c r="K490" s="1">
        <v>0.00494667</v>
      </c>
      <c r="L490" s="1">
        <v>0.0032041</v>
      </c>
      <c r="M490" s="1">
        <v>0.0</v>
      </c>
      <c r="N490" s="1">
        <v>0.0</v>
      </c>
      <c r="O490" s="2">
        <v>2.23281E-6</v>
      </c>
      <c r="P490" s="2">
        <v>1.720524E-5</v>
      </c>
      <c r="Q490" s="2">
        <v>1.0645796E-4</v>
      </c>
      <c r="R490" s="2">
        <v>3.611437E-4</v>
      </c>
      <c r="S490" s="2">
        <v>8.39966585E-4</v>
      </c>
    </row>
    <row r="491" ht="14.25" hidden="1" customHeight="1">
      <c r="A491" s="1" t="s">
        <v>5</v>
      </c>
      <c r="B491" s="1" t="s">
        <v>44</v>
      </c>
      <c r="C491" s="1" t="s">
        <v>31</v>
      </c>
      <c r="D491" s="1" t="s">
        <v>11</v>
      </c>
      <c r="E491" s="1">
        <v>0.0999102</v>
      </c>
      <c r="F491" s="1">
        <v>0.117059</v>
      </c>
      <c r="G491" s="1">
        <v>0.124418</v>
      </c>
      <c r="H491" s="2">
        <v>1.33785E-9</v>
      </c>
      <c r="I491" s="1">
        <v>0.101506</v>
      </c>
      <c r="J491" s="1">
        <v>0.0</v>
      </c>
      <c r="K491" s="1">
        <v>0.0</v>
      </c>
      <c r="L491" s="1">
        <v>0.0</v>
      </c>
      <c r="M491" s="1">
        <v>0.0</v>
      </c>
      <c r="N491" s="1">
        <v>0.0</v>
      </c>
      <c r="O491" s="1">
        <v>0.0</v>
      </c>
      <c r="P491" s="1">
        <v>0.0</v>
      </c>
      <c r="Q491" s="1">
        <v>0.0</v>
      </c>
      <c r="R491" s="1">
        <v>0.0</v>
      </c>
      <c r="S491" s="1">
        <v>0.0</v>
      </c>
    </row>
    <row r="492" ht="14.25" hidden="1" customHeight="1">
      <c r="A492" s="1" t="s">
        <v>5</v>
      </c>
      <c r="B492" s="1" t="s">
        <v>45</v>
      </c>
      <c r="C492" s="1" t="s">
        <v>7</v>
      </c>
      <c r="D492" s="1" t="s">
        <v>8</v>
      </c>
      <c r="E492" s="1">
        <v>0.00268672</v>
      </c>
      <c r="F492" s="1">
        <v>0.00342075</v>
      </c>
      <c r="G492" s="1">
        <v>0.00366062</v>
      </c>
      <c r="H492" s="1">
        <v>0.00105383</v>
      </c>
      <c r="I492" s="2">
        <v>5.08037E-4</v>
      </c>
      <c r="J492" s="2">
        <v>1.04446E-4</v>
      </c>
      <c r="K492" s="2">
        <v>6.0551E-5</v>
      </c>
      <c r="L492" s="2">
        <v>5.39053E-5</v>
      </c>
      <c r="M492" s="2">
        <v>3.90401E-5</v>
      </c>
      <c r="N492" s="2">
        <v>2.21877E-5</v>
      </c>
      <c r="O492" s="1">
        <v>0.0</v>
      </c>
      <c r="P492" s="1">
        <v>0.0</v>
      </c>
      <c r="Q492" s="1">
        <v>0.0</v>
      </c>
      <c r="R492" s="1">
        <v>0.0</v>
      </c>
      <c r="S492" s="1">
        <v>0.0</v>
      </c>
    </row>
    <row r="493" ht="14.25" hidden="1" customHeight="1">
      <c r="A493" s="1" t="s">
        <v>5</v>
      </c>
      <c r="B493" s="1" t="s">
        <v>45</v>
      </c>
      <c r="C493" s="1" t="s">
        <v>9</v>
      </c>
      <c r="D493" s="1" t="s">
        <v>8</v>
      </c>
      <c r="E493" s="1">
        <v>0.00296022</v>
      </c>
      <c r="F493" s="1">
        <v>0.00259631</v>
      </c>
      <c r="G493" s="1">
        <v>0.00381843</v>
      </c>
      <c r="H493" s="1">
        <v>0.00162259</v>
      </c>
      <c r="I493" s="2">
        <v>8.60448E-6</v>
      </c>
      <c r="J493" s="1">
        <v>0.0</v>
      </c>
      <c r="K493" s="1">
        <v>0.0</v>
      </c>
      <c r="L493" s="1">
        <v>0.0</v>
      </c>
      <c r="M493" s="1">
        <v>0.0</v>
      </c>
      <c r="N493" s="1">
        <v>0.0</v>
      </c>
      <c r="O493" s="1">
        <v>0.0</v>
      </c>
      <c r="P493" s="1">
        <v>0.0</v>
      </c>
      <c r="Q493" s="1">
        <v>0.0</v>
      </c>
      <c r="R493" s="1">
        <v>0.0</v>
      </c>
      <c r="S493" s="1">
        <v>0.0</v>
      </c>
    </row>
    <row r="494" ht="14.25" hidden="1" customHeight="1">
      <c r="A494" s="1" t="s">
        <v>5</v>
      </c>
      <c r="B494" s="1" t="s">
        <v>45</v>
      </c>
      <c r="C494" s="1" t="s">
        <v>9</v>
      </c>
      <c r="D494" s="1" t="s">
        <v>10</v>
      </c>
      <c r="E494" s="2">
        <v>3.8407E-5</v>
      </c>
      <c r="F494" s="2">
        <v>3.36965E-5</v>
      </c>
      <c r="G494" s="2">
        <v>3.30001E-6</v>
      </c>
      <c r="H494" s="2">
        <v>4.00931E-5</v>
      </c>
      <c r="I494" s="2">
        <v>3.07939E-4</v>
      </c>
      <c r="J494" s="1">
        <v>0.00816109</v>
      </c>
      <c r="K494" s="1">
        <v>0.0</v>
      </c>
      <c r="L494" s="1">
        <v>0.0</v>
      </c>
      <c r="M494" s="1">
        <v>0.0</v>
      </c>
      <c r="N494" s="1">
        <v>0.0</v>
      </c>
      <c r="O494" s="1">
        <v>0.0</v>
      </c>
      <c r="P494" s="1">
        <v>0.0</v>
      </c>
      <c r="Q494" s="1">
        <v>0.0</v>
      </c>
      <c r="R494" s="1">
        <v>0.0</v>
      </c>
      <c r="S494" s="1">
        <v>0.0</v>
      </c>
    </row>
    <row r="495" ht="14.25" hidden="1" customHeight="1">
      <c r="A495" s="1" t="s">
        <v>5</v>
      </c>
      <c r="B495" s="1" t="s">
        <v>45</v>
      </c>
      <c r="C495" s="1" t="s">
        <v>9</v>
      </c>
      <c r="D495" s="1" t="s">
        <v>11</v>
      </c>
      <c r="E495" s="2">
        <v>3.84E-5</v>
      </c>
      <c r="F495" s="2">
        <v>3.36999E-5</v>
      </c>
      <c r="G495" s="2">
        <v>3.3E-6</v>
      </c>
      <c r="H495" s="2">
        <v>1.5487E-4</v>
      </c>
      <c r="I495" s="1">
        <v>0.0</v>
      </c>
      <c r="J495" s="2">
        <v>1.01999E-5</v>
      </c>
      <c r="K495" s="1">
        <v>0.0</v>
      </c>
      <c r="L495" s="1">
        <v>0.0</v>
      </c>
      <c r="M495" s="1">
        <v>0.0</v>
      </c>
      <c r="N495" s="1">
        <v>0.0</v>
      </c>
      <c r="O495" s="1">
        <v>0.0</v>
      </c>
      <c r="P495" s="1">
        <v>0.0</v>
      </c>
      <c r="Q495" s="1">
        <v>0.0</v>
      </c>
      <c r="R495" s="1">
        <v>0.0</v>
      </c>
      <c r="S495" s="1">
        <v>0.0</v>
      </c>
    </row>
    <row r="496" ht="14.25" hidden="1" customHeight="1">
      <c r="A496" s="1" t="s">
        <v>5</v>
      </c>
      <c r="B496" s="1" t="s">
        <v>45</v>
      </c>
      <c r="C496" s="1" t="s">
        <v>9</v>
      </c>
      <c r="D496" s="1" t="s">
        <v>12</v>
      </c>
      <c r="E496" s="1">
        <v>0.012212</v>
      </c>
      <c r="F496" s="1">
        <v>0.0107107</v>
      </c>
      <c r="G496" s="1">
        <v>0.00103503</v>
      </c>
      <c r="H496" s="1">
        <v>0.00412307</v>
      </c>
      <c r="I496" s="1">
        <v>0.0047721</v>
      </c>
      <c r="J496" s="1">
        <v>0.00697833</v>
      </c>
      <c r="K496" s="1">
        <v>0.0</v>
      </c>
      <c r="L496" s="1">
        <v>0.0</v>
      </c>
      <c r="M496" s="1">
        <v>0.0</v>
      </c>
      <c r="N496" s="1">
        <v>0.0</v>
      </c>
      <c r="O496" s="1">
        <v>0.0</v>
      </c>
      <c r="P496" s="1">
        <v>0.0</v>
      </c>
      <c r="Q496" s="1">
        <v>0.0</v>
      </c>
      <c r="R496" s="1">
        <v>0.0</v>
      </c>
      <c r="S496" s="1">
        <v>0.0</v>
      </c>
    </row>
    <row r="497" ht="14.25" hidden="1" customHeight="1">
      <c r="A497" s="1" t="s">
        <v>5</v>
      </c>
      <c r="B497" s="1" t="s">
        <v>45</v>
      </c>
      <c r="C497" s="1" t="s">
        <v>9</v>
      </c>
      <c r="D497" s="1" t="s">
        <v>13</v>
      </c>
      <c r="E497" s="1">
        <v>0.0</v>
      </c>
      <c r="F497" s="1">
        <v>0.0</v>
      </c>
      <c r="G497" s="1">
        <v>0.0</v>
      </c>
      <c r="H497" s="2">
        <v>8.04394E-5</v>
      </c>
      <c r="I497" s="1">
        <v>0.0</v>
      </c>
      <c r="J497" s="1">
        <v>0.0</v>
      </c>
      <c r="K497" s="1">
        <v>0.0</v>
      </c>
      <c r="L497" s="1">
        <v>0.0</v>
      </c>
      <c r="M497" s="1">
        <v>0.0</v>
      </c>
      <c r="N497" s="1">
        <v>0.0</v>
      </c>
      <c r="O497" s="1">
        <v>0.0</v>
      </c>
      <c r="P497" s="1">
        <v>0.0</v>
      </c>
      <c r="Q497" s="1">
        <v>0.0</v>
      </c>
      <c r="R497" s="1">
        <v>0.0</v>
      </c>
      <c r="S497" s="1">
        <v>0.0</v>
      </c>
    </row>
    <row r="498" ht="14.25" hidden="1" customHeight="1">
      <c r="A498" s="1" t="s">
        <v>5</v>
      </c>
      <c r="B498" s="1" t="s">
        <v>45</v>
      </c>
      <c r="C498" s="1" t="s">
        <v>9</v>
      </c>
      <c r="D498" s="1" t="s">
        <v>14</v>
      </c>
      <c r="E498" s="1">
        <v>0.0</v>
      </c>
      <c r="F498" s="1">
        <v>0.0</v>
      </c>
      <c r="G498" s="1">
        <v>0.0</v>
      </c>
      <c r="H498" s="2">
        <v>3.90886E-4</v>
      </c>
      <c r="I498" s="1">
        <v>0.0</v>
      </c>
      <c r="J498" s="1">
        <v>0.0</v>
      </c>
      <c r="K498" s="1">
        <v>0.0</v>
      </c>
      <c r="L498" s="1">
        <v>0.0</v>
      </c>
      <c r="M498" s="1">
        <v>0.0</v>
      </c>
      <c r="N498" s="1">
        <v>0.0</v>
      </c>
      <c r="O498" s="1">
        <v>0.0</v>
      </c>
      <c r="P498" s="1">
        <v>0.0</v>
      </c>
      <c r="Q498" s="1">
        <v>0.0</v>
      </c>
      <c r="R498" s="1">
        <v>0.0</v>
      </c>
      <c r="S498" s="1">
        <v>0.0</v>
      </c>
    </row>
    <row r="499" ht="14.25" hidden="1" customHeight="1">
      <c r="A499" s="1" t="s">
        <v>5</v>
      </c>
      <c r="B499" s="1" t="s">
        <v>45</v>
      </c>
      <c r="C499" s="1" t="s">
        <v>15</v>
      </c>
      <c r="D499" s="1" t="s">
        <v>16</v>
      </c>
      <c r="E499" s="1">
        <v>0.0</v>
      </c>
      <c r="F499" s="1">
        <v>0.0</v>
      </c>
      <c r="G499" s="1">
        <v>0.0</v>
      </c>
      <c r="H499" s="1">
        <v>0.0</v>
      </c>
      <c r="I499" s="2">
        <v>4.10328E-5</v>
      </c>
      <c r="J499" s="2">
        <v>7.186677E-4</v>
      </c>
      <c r="K499" s="1">
        <v>0.0019998335</v>
      </c>
      <c r="L499" s="1">
        <v>0.0038286934</v>
      </c>
      <c r="M499" s="1">
        <v>0.0061286923</v>
      </c>
      <c r="N499" s="1">
        <v>0.00807346507</v>
      </c>
      <c r="O499" s="1">
        <v>0.0099029241</v>
      </c>
      <c r="P499" s="1">
        <v>0.011629037</v>
      </c>
      <c r="Q499" s="1">
        <v>0.013493701</v>
      </c>
      <c r="R499" s="1">
        <v>0.015386506</v>
      </c>
      <c r="S499" s="1">
        <v>0.017442357</v>
      </c>
    </row>
    <row r="500" ht="14.25" customHeight="1">
      <c r="A500" s="1" t="s">
        <v>5</v>
      </c>
      <c r="B500" s="1" t="s">
        <v>45</v>
      </c>
      <c r="C500" s="1" t="s">
        <v>15</v>
      </c>
      <c r="D500" s="1" t="s">
        <v>14</v>
      </c>
      <c r="E500" s="1">
        <v>0.0</v>
      </c>
      <c r="F500" s="1">
        <v>0.0</v>
      </c>
      <c r="G500" s="1">
        <v>0.0</v>
      </c>
      <c r="H500" s="1">
        <v>0.0</v>
      </c>
      <c r="I500" s="1">
        <v>0.0</v>
      </c>
      <c r="J500" s="2">
        <v>5.68889E-4</v>
      </c>
      <c r="K500" s="1">
        <v>0.003412675</v>
      </c>
      <c r="L500" s="1">
        <v>0.00496939199999999</v>
      </c>
      <c r="M500" s="1">
        <v>0.006591334</v>
      </c>
      <c r="N500" s="1">
        <v>0.00754623699999999</v>
      </c>
      <c r="O500" s="1">
        <v>0.0083032014</v>
      </c>
      <c r="P500" s="1">
        <v>0.008932826</v>
      </c>
      <c r="Q500" s="1">
        <v>0.009584298</v>
      </c>
      <c r="R500" s="1">
        <v>0.010250101</v>
      </c>
      <c r="S500" s="1">
        <v>0.01093489</v>
      </c>
    </row>
    <row r="501" ht="14.25" hidden="1" customHeight="1">
      <c r="A501" s="1" t="s">
        <v>5</v>
      </c>
      <c r="B501" s="1" t="s">
        <v>45</v>
      </c>
      <c r="C501" s="1" t="s">
        <v>17</v>
      </c>
      <c r="D501" s="1" t="s">
        <v>16</v>
      </c>
      <c r="E501" s="2">
        <v>1.059E-5</v>
      </c>
      <c r="F501" s="2">
        <v>3.30947E-5</v>
      </c>
      <c r="G501" s="2">
        <v>5.13999E-5</v>
      </c>
      <c r="H501" s="1">
        <v>0.0010325013</v>
      </c>
      <c r="I501" s="1">
        <v>0.00300366399999999</v>
      </c>
      <c r="J501" s="1">
        <v>0.0052345229</v>
      </c>
      <c r="K501" s="1">
        <v>0.0073482118</v>
      </c>
      <c r="L501" s="1">
        <v>0.00926100459</v>
      </c>
      <c r="M501" s="1">
        <v>0.01164188</v>
      </c>
      <c r="N501" s="1">
        <v>0.01352612</v>
      </c>
      <c r="O501" s="1">
        <v>0.015560322</v>
      </c>
      <c r="P501" s="1">
        <v>0.017850718</v>
      </c>
      <c r="Q501" s="1">
        <v>0.020125524</v>
      </c>
      <c r="R501" s="1">
        <v>0.022426018</v>
      </c>
      <c r="S501" s="1">
        <v>0.024622693</v>
      </c>
    </row>
    <row r="502" ht="14.25" hidden="1" customHeight="1">
      <c r="A502" s="1" t="s">
        <v>5</v>
      </c>
      <c r="B502" s="1" t="s">
        <v>45</v>
      </c>
      <c r="C502" s="1" t="s">
        <v>17</v>
      </c>
      <c r="D502" s="1" t="s">
        <v>18</v>
      </c>
      <c r="E502" s="2">
        <v>4.91115E-4</v>
      </c>
      <c r="F502" s="1">
        <v>0.00152781</v>
      </c>
      <c r="G502" s="1">
        <v>0.00237481</v>
      </c>
      <c r="H502" s="1">
        <v>0.00219753</v>
      </c>
      <c r="I502" s="2">
        <v>9.23286E-4</v>
      </c>
      <c r="J502" s="1">
        <v>0.0034157</v>
      </c>
      <c r="K502" s="1">
        <v>0.004213784</v>
      </c>
      <c r="L502" s="1">
        <v>0.005094358</v>
      </c>
      <c r="M502" s="1">
        <v>0.00599048</v>
      </c>
      <c r="N502" s="1">
        <v>0.006939847</v>
      </c>
      <c r="O502" s="1">
        <v>0.007844086</v>
      </c>
      <c r="P502" s="1">
        <v>0.00871146</v>
      </c>
      <c r="Q502" s="1">
        <v>0.009561841</v>
      </c>
      <c r="R502" s="1">
        <v>0.0103884799999999</v>
      </c>
      <c r="S502" s="1">
        <v>0.011149612</v>
      </c>
    </row>
    <row r="503" ht="14.25" hidden="1" customHeight="1">
      <c r="A503" s="1" t="s">
        <v>5</v>
      </c>
      <c r="B503" s="1" t="s">
        <v>45</v>
      </c>
      <c r="C503" s="1" t="s">
        <v>17</v>
      </c>
      <c r="D503" s="1" t="s">
        <v>19</v>
      </c>
      <c r="E503" s="2">
        <v>2.23198E-4</v>
      </c>
      <c r="F503" s="2">
        <v>6.94497E-4</v>
      </c>
      <c r="G503" s="1">
        <v>0.0010794</v>
      </c>
      <c r="H503" s="1">
        <v>0.001185232</v>
      </c>
      <c r="I503" s="2">
        <v>3.13636999999999E-4</v>
      </c>
      <c r="J503" s="1">
        <v>0.00188163699999999</v>
      </c>
      <c r="K503" s="1">
        <v>0.00236899799999999</v>
      </c>
      <c r="L503" s="1">
        <v>0.002926795</v>
      </c>
      <c r="M503" s="1">
        <v>0.003514408</v>
      </c>
      <c r="N503" s="1">
        <v>0.00414215899999999</v>
      </c>
      <c r="O503" s="1">
        <v>0.00480941799999999</v>
      </c>
      <c r="P503" s="1">
        <v>0.005504257</v>
      </c>
      <c r="Q503" s="1">
        <v>0.006214547</v>
      </c>
      <c r="R503" s="1">
        <v>0.00692921</v>
      </c>
      <c r="S503" s="1">
        <v>0.00764040199999999</v>
      </c>
    </row>
    <row r="504" ht="14.25" hidden="1" customHeight="1">
      <c r="A504" s="1" t="s">
        <v>5</v>
      </c>
      <c r="B504" s="1" t="s">
        <v>45</v>
      </c>
      <c r="C504" s="1" t="s">
        <v>17</v>
      </c>
      <c r="D504" s="1" t="s">
        <v>8</v>
      </c>
      <c r="E504" s="2">
        <v>9.99007E-5</v>
      </c>
      <c r="F504" s="2">
        <v>3.10914E-4</v>
      </c>
      <c r="G504" s="2">
        <v>4.83203E-4</v>
      </c>
      <c r="H504" s="1">
        <v>0.00165434399999999</v>
      </c>
      <c r="I504" s="1">
        <v>0.00118637344852</v>
      </c>
      <c r="J504" s="1">
        <v>0.00688641549784</v>
      </c>
      <c r="K504" s="1">
        <v>0.00915099272426</v>
      </c>
      <c r="L504" s="1">
        <v>0.0115811909506839</v>
      </c>
      <c r="M504" s="1">
        <v>0.01422432</v>
      </c>
      <c r="N504" s="1">
        <v>0.01669654</v>
      </c>
      <c r="O504" s="1">
        <v>0.0193132</v>
      </c>
      <c r="P504" s="1">
        <v>0.02196796</v>
      </c>
      <c r="Q504" s="1">
        <v>0.02464491</v>
      </c>
      <c r="R504" s="1">
        <v>0.02730274</v>
      </c>
      <c r="S504" s="1">
        <v>0.02991558</v>
      </c>
    </row>
    <row r="505" ht="14.25" hidden="1" customHeight="1">
      <c r="A505" s="1" t="s">
        <v>5</v>
      </c>
      <c r="B505" s="1" t="s">
        <v>45</v>
      </c>
      <c r="C505" s="1" t="s">
        <v>17</v>
      </c>
      <c r="D505" s="1" t="s">
        <v>20</v>
      </c>
      <c r="E505" s="2">
        <v>7.42105E-5</v>
      </c>
      <c r="F505" s="2">
        <v>2.31579E-4</v>
      </c>
      <c r="G505" s="2">
        <v>3.6E-4</v>
      </c>
      <c r="H505" s="2">
        <v>4.07284E-4</v>
      </c>
      <c r="I505" s="2">
        <v>2.143149E-4</v>
      </c>
      <c r="J505" s="2">
        <v>6.667353E-4</v>
      </c>
      <c r="K505" s="2">
        <v>8.49699E-4</v>
      </c>
      <c r="L505" s="1">
        <v>0.001028592</v>
      </c>
      <c r="M505" s="1">
        <v>0.001222927</v>
      </c>
      <c r="N505" s="1">
        <v>0.001433632</v>
      </c>
      <c r="O505" s="1">
        <v>0.001654839</v>
      </c>
      <c r="P505" s="1">
        <v>0.00188073999999999</v>
      </c>
      <c r="Q505" s="1">
        <v>0.00210976</v>
      </c>
      <c r="R505" s="1">
        <v>0.002337661</v>
      </c>
      <c r="S505" s="1">
        <v>0.002560809</v>
      </c>
    </row>
    <row r="506" ht="14.25" hidden="1" customHeight="1">
      <c r="A506" s="1" t="s">
        <v>5</v>
      </c>
      <c r="B506" s="1" t="s">
        <v>45</v>
      </c>
      <c r="C506" s="1" t="s">
        <v>21</v>
      </c>
      <c r="D506" s="1" t="s">
        <v>10</v>
      </c>
      <c r="E506" s="2">
        <v>7.19131E-5</v>
      </c>
      <c r="F506" s="2">
        <v>2.23477E-4</v>
      </c>
      <c r="G506" s="1">
        <v>0.00430801</v>
      </c>
      <c r="H506" s="1">
        <v>0.00394829</v>
      </c>
      <c r="I506" s="1">
        <v>0.0029868438</v>
      </c>
      <c r="J506" s="1">
        <v>0.0020750565</v>
      </c>
      <c r="K506" s="1">
        <v>0.0059323546</v>
      </c>
      <c r="L506" s="1">
        <v>0.00692289169999999</v>
      </c>
      <c r="M506" s="1">
        <v>0.00764440475</v>
      </c>
      <c r="N506" s="1">
        <v>0.00829341</v>
      </c>
      <c r="O506" s="1">
        <v>0.00842448</v>
      </c>
      <c r="P506" s="1">
        <v>0.008550321</v>
      </c>
      <c r="Q506" s="1">
        <v>0.008629414</v>
      </c>
      <c r="R506" s="1">
        <v>0.008649984</v>
      </c>
      <c r="S506" s="1">
        <v>0.008625329</v>
      </c>
    </row>
    <row r="507" ht="14.25" hidden="1" customHeight="1">
      <c r="A507" s="1" t="s">
        <v>5</v>
      </c>
      <c r="B507" s="1" t="s">
        <v>45</v>
      </c>
      <c r="C507" s="1" t="s">
        <v>21</v>
      </c>
      <c r="D507" s="1" t="s">
        <v>11</v>
      </c>
      <c r="E507" s="2">
        <v>9.00001E-6</v>
      </c>
      <c r="F507" s="2">
        <v>2.78999E-5</v>
      </c>
      <c r="G507" s="2">
        <v>5.38499E-4</v>
      </c>
      <c r="H507" s="2">
        <v>3.285157E-4</v>
      </c>
      <c r="I507" s="2">
        <v>4.09487E-5</v>
      </c>
      <c r="J507" s="1">
        <v>0.0234223</v>
      </c>
      <c r="K507" s="1">
        <v>0.0235482</v>
      </c>
      <c r="L507" s="1">
        <v>0.02258546</v>
      </c>
      <c r="M507" s="1">
        <v>0.0226227</v>
      </c>
      <c r="N507" s="1">
        <v>0.02291633</v>
      </c>
      <c r="O507" s="1">
        <v>0.0233372</v>
      </c>
      <c r="P507" s="1">
        <v>0.02357496</v>
      </c>
      <c r="Q507" s="1">
        <v>0.0237600499999999</v>
      </c>
      <c r="R507" s="1">
        <v>0.02388831</v>
      </c>
      <c r="S507" s="1">
        <v>0.02380235</v>
      </c>
    </row>
    <row r="508" ht="14.25" hidden="1" customHeight="1">
      <c r="A508" s="1" t="s">
        <v>5</v>
      </c>
      <c r="B508" s="1" t="s">
        <v>45</v>
      </c>
      <c r="C508" s="1" t="s">
        <v>21</v>
      </c>
      <c r="D508" s="1" t="s">
        <v>22</v>
      </c>
      <c r="E508" s="2">
        <v>9.0E-6</v>
      </c>
      <c r="F508" s="2">
        <v>2.79E-5</v>
      </c>
      <c r="G508" s="2">
        <v>5.385E-4</v>
      </c>
      <c r="H508" s="2">
        <v>6.92558E-4</v>
      </c>
      <c r="I508" s="2">
        <v>6.83919E-4</v>
      </c>
      <c r="J508" s="1">
        <v>0.002166881</v>
      </c>
      <c r="K508" s="1">
        <v>0.001976047</v>
      </c>
      <c r="L508" s="1">
        <v>0.001978127</v>
      </c>
      <c r="M508" s="1">
        <v>0.002002569</v>
      </c>
      <c r="N508" s="1">
        <v>0.00205939</v>
      </c>
      <c r="O508" s="1">
        <v>0.002102479</v>
      </c>
      <c r="P508" s="1">
        <v>0.002135296</v>
      </c>
      <c r="Q508" s="1">
        <v>0.002163223</v>
      </c>
      <c r="R508" s="1">
        <v>0.002188878</v>
      </c>
      <c r="S508" s="1">
        <v>0.002194658</v>
      </c>
    </row>
    <row r="509" ht="14.25" hidden="1" customHeight="1">
      <c r="A509" s="1" t="s">
        <v>5</v>
      </c>
      <c r="B509" s="1" t="s">
        <v>45</v>
      </c>
      <c r="C509" s="1" t="s">
        <v>21</v>
      </c>
      <c r="D509" s="1" t="s">
        <v>23</v>
      </c>
      <c r="E509" s="2">
        <v>9.00282E-6</v>
      </c>
      <c r="F509" s="2">
        <v>2.79035499999999E-5</v>
      </c>
      <c r="G509" s="2">
        <v>5.38523E-4</v>
      </c>
      <c r="H509" s="2">
        <v>9.775602E-4</v>
      </c>
      <c r="I509" s="1">
        <v>0.0025632248</v>
      </c>
      <c r="J509" s="1">
        <v>0.0083025327</v>
      </c>
      <c r="K509" s="1">
        <v>0.008359192</v>
      </c>
      <c r="L509" s="1">
        <v>0.009091482</v>
      </c>
      <c r="M509" s="1">
        <v>0.0101871299999999</v>
      </c>
      <c r="N509" s="1">
        <v>0.01102765</v>
      </c>
      <c r="O509" s="1">
        <v>0.01173184</v>
      </c>
      <c r="P509" s="1">
        <v>0.01274608</v>
      </c>
      <c r="Q509" s="1">
        <v>0.01367554</v>
      </c>
      <c r="R509" s="1">
        <v>0.0144892</v>
      </c>
      <c r="S509" s="1">
        <v>0.01505287</v>
      </c>
    </row>
    <row r="510" ht="14.25" hidden="1" customHeight="1">
      <c r="A510" s="1" t="s">
        <v>5</v>
      </c>
      <c r="B510" s="1" t="s">
        <v>45</v>
      </c>
      <c r="C510" s="1" t="s">
        <v>21</v>
      </c>
      <c r="D510" s="1" t="s">
        <v>24</v>
      </c>
      <c r="E510" s="2">
        <v>1.41896199999999E-4</v>
      </c>
      <c r="F510" s="2">
        <v>4.414974E-4</v>
      </c>
      <c r="G510" s="1">
        <v>0.0085082</v>
      </c>
      <c r="H510" s="1">
        <v>0.0115982039999999</v>
      </c>
      <c r="I510" s="1">
        <v>0.0108476399999999</v>
      </c>
      <c r="J510" s="1">
        <v>0.012852011</v>
      </c>
      <c r="K510" s="1">
        <v>0.01141588</v>
      </c>
      <c r="L510" s="1">
        <v>0.01082499</v>
      </c>
      <c r="M510" s="1">
        <v>0.01046423</v>
      </c>
      <c r="N510" s="1">
        <v>0.0102729</v>
      </c>
      <c r="O510" s="1">
        <v>0.0100722</v>
      </c>
      <c r="P510" s="1">
        <v>0.01020207</v>
      </c>
      <c r="Q510" s="1">
        <v>0.01028592</v>
      </c>
      <c r="R510" s="1">
        <v>0.0103155</v>
      </c>
      <c r="S510" s="1">
        <v>0.01029191</v>
      </c>
    </row>
    <row r="511" ht="14.25" hidden="1" customHeight="1">
      <c r="A511" s="1" t="s">
        <v>5</v>
      </c>
      <c r="B511" s="1" t="s">
        <v>45</v>
      </c>
      <c r="C511" s="1" t="s">
        <v>21</v>
      </c>
      <c r="D511" s="1" t="s">
        <v>12</v>
      </c>
      <c r="E511" s="2">
        <v>9.0E-6</v>
      </c>
      <c r="F511" s="2">
        <v>2.79004E-5</v>
      </c>
      <c r="G511" s="2">
        <v>5.38517E-4</v>
      </c>
      <c r="H511" s="2">
        <v>1.01142E-6</v>
      </c>
      <c r="I511" s="2">
        <v>7.42372E-5</v>
      </c>
      <c r="J511" s="1">
        <v>0.00101604</v>
      </c>
      <c r="K511" s="1">
        <v>0.00230401</v>
      </c>
      <c r="L511" s="1">
        <v>0.0022825</v>
      </c>
      <c r="M511" s="1">
        <v>0.00230086</v>
      </c>
      <c r="N511" s="1">
        <v>0.00236283</v>
      </c>
      <c r="O511" s="1">
        <v>0.00241076</v>
      </c>
      <c r="P511" s="1">
        <v>0.00244747</v>
      </c>
      <c r="Q511" s="1">
        <v>0.00247918</v>
      </c>
      <c r="R511" s="1">
        <v>0.00250849</v>
      </c>
      <c r="S511" s="1">
        <v>0.00251509</v>
      </c>
    </row>
    <row r="512" ht="14.25" hidden="1" customHeight="1">
      <c r="A512" s="1" t="s">
        <v>5</v>
      </c>
      <c r="B512" s="1" t="s">
        <v>45</v>
      </c>
      <c r="C512" s="1" t="s">
        <v>21</v>
      </c>
      <c r="D512" s="1" t="s">
        <v>13</v>
      </c>
      <c r="E512" s="2">
        <v>7.23452E-5</v>
      </c>
      <c r="F512" s="2">
        <v>2.25341E-4</v>
      </c>
      <c r="G512" s="1">
        <v>0.00894109</v>
      </c>
      <c r="H512" s="1">
        <v>0.006182396</v>
      </c>
      <c r="I512" s="1">
        <v>0.00472083199</v>
      </c>
      <c r="J512" s="1">
        <v>0.005911582823</v>
      </c>
      <c r="K512" s="1">
        <v>0.006154911607</v>
      </c>
      <c r="L512" s="1">
        <v>0.008449640272</v>
      </c>
      <c r="M512" s="1">
        <v>0.011339501</v>
      </c>
      <c r="N512" s="1">
        <v>0.014733676</v>
      </c>
      <c r="O512" s="1">
        <v>0.017765456</v>
      </c>
      <c r="P512" s="1">
        <v>0.02041956</v>
      </c>
      <c r="Q512" s="1">
        <v>0.02272618</v>
      </c>
      <c r="R512" s="1">
        <v>0.02469983</v>
      </c>
      <c r="S512" s="1">
        <v>0.02651332</v>
      </c>
    </row>
    <row r="513" ht="14.25" hidden="1" customHeight="1">
      <c r="A513" s="1" t="s">
        <v>5</v>
      </c>
      <c r="B513" s="1" t="s">
        <v>45</v>
      </c>
      <c r="C513" s="1" t="s">
        <v>21</v>
      </c>
      <c r="D513" s="1" t="s">
        <v>14</v>
      </c>
      <c r="E513" s="2">
        <v>9.09926E-6</v>
      </c>
      <c r="F513" s="2">
        <v>2.82002E-5</v>
      </c>
      <c r="G513" s="1">
        <v>0.0011176</v>
      </c>
      <c r="H513" s="2">
        <v>4.86617E-4</v>
      </c>
      <c r="I513" s="1">
        <v>0.00424113</v>
      </c>
      <c r="J513" s="1">
        <v>0.002255207</v>
      </c>
      <c r="K513" s="2">
        <v>7.92900999999999E-4</v>
      </c>
      <c r="L513" s="2">
        <v>4.83068E-4</v>
      </c>
      <c r="M513" s="2">
        <v>3.280622E-4</v>
      </c>
      <c r="N513" s="2">
        <v>3.11049E-4</v>
      </c>
      <c r="O513" s="2">
        <v>3.258356E-4</v>
      </c>
      <c r="P513" s="2">
        <v>3.49062E-4</v>
      </c>
      <c r="Q513" s="2">
        <v>3.51173E-4</v>
      </c>
      <c r="R513" s="2">
        <v>3.36174E-4</v>
      </c>
      <c r="S513" s="2">
        <v>3.10908E-4</v>
      </c>
    </row>
    <row r="514" ht="14.25" hidden="1" customHeight="1">
      <c r="A514" s="1" t="s">
        <v>5</v>
      </c>
      <c r="B514" s="1" t="s">
        <v>45</v>
      </c>
      <c r="C514" s="1" t="s">
        <v>21</v>
      </c>
      <c r="D514" s="1" t="s">
        <v>25</v>
      </c>
      <c r="E514" s="2">
        <v>9.1E-6</v>
      </c>
      <c r="F514" s="2">
        <v>2.82E-5</v>
      </c>
      <c r="G514" s="1">
        <v>0.0011176</v>
      </c>
      <c r="H514" s="1">
        <v>0.001881622</v>
      </c>
      <c r="I514" s="1">
        <v>0.001197505</v>
      </c>
      <c r="J514" s="1">
        <v>0.003802504</v>
      </c>
      <c r="K514" s="1">
        <v>0.00378159</v>
      </c>
      <c r="L514" s="1">
        <v>0.00397035</v>
      </c>
      <c r="M514" s="1">
        <v>0.00417527</v>
      </c>
      <c r="N514" s="1">
        <v>0.00443766999999999</v>
      </c>
      <c r="O514" s="1">
        <v>0.00476559</v>
      </c>
      <c r="P514" s="1">
        <v>0.00511559</v>
      </c>
      <c r="Q514" s="1">
        <v>0.00554183</v>
      </c>
      <c r="R514" s="1">
        <v>0.00593614</v>
      </c>
      <c r="S514" s="1">
        <v>0.00624961</v>
      </c>
    </row>
    <row r="515" ht="14.25" hidden="1" customHeight="1">
      <c r="A515" s="1" t="s">
        <v>5</v>
      </c>
      <c r="B515" s="1" t="s">
        <v>45</v>
      </c>
      <c r="C515" s="1" t="s">
        <v>21</v>
      </c>
      <c r="D515" s="1" t="s">
        <v>26</v>
      </c>
      <c r="E515" s="2">
        <v>9.12008E-6</v>
      </c>
      <c r="F515" s="2">
        <v>2.819924E-5</v>
      </c>
      <c r="G515" s="1">
        <v>0.001117592</v>
      </c>
      <c r="H515" s="1">
        <v>0.002478991</v>
      </c>
      <c r="I515" s="1">
        <v>0.00110213</v>
      </c>
      <c r="J515" s="1">
        <v>0.0140609</v>
      </c>
      <c r="K515" s="1">
        <v>0.01597226</v>
      </c>
      <c r="L515" s="1">
        <v>0.018423644</v>
      </c>
      <c r="M515" s="1">
        <v>0.0218342</v>
      </c>
      <c r="N515" s="1">
        <v>0.02661295</v>
      </c>
      <c r="O515" s="1">
        <v>0.03233353</v>
      </c>
      <c r="P515" s="1">
        <v>0.03795218</v>
      </c>
      <c r="Q515" s="1">
        <v>0.0444371</v>
      </c>
      <c r="R515" s="1">
        <v>0.05092255</v>
      </c>
      <c r="S515" s="1">
        <v>0.05671434</v>
      </c>
    </row>
    <row r="516" ht="14.25" hidden="1" customHeight="1">
      <c r="A516" s="1" t="s">
        <v>5</v>
      </c>
      <c r="B516" s="1" t="s">
        <v>45</v>
      </c>
      <c r="C516" s="1" t="s">
        <v>21</v>
      </c>
      <c r="D516" s="1" t="s">
        <v>27</v>
      </c>
      <c r="E516" s="2">
        <v>1.050035E-4</v>
      </c>
      <c r="F516" s="2">
        <v>3.267001E-4</v>
      </c>
      <c r="G516" s="1">
        <v>0.0129646</v>
      </c>
      <c r="H516" s="1">
        <v>0.0197658</v>
      </c>
      <c r="I516" s="1">
        <v>0.0037592383</v>
      </c>
      <c r="J516" s="1">
        <v>0.036484575</v>
      </c>
      <c r="K516" s="1">
        <v>0.03820126</v>
      </c>
      <c r="L516" s="1">
        <v>0.0415372</v>
      </c>
      <c r="M516" s="1">
        <v>0.04529025</v>
      </c>
      <c r="N516" s="1">
        <v>0.04852044</v>
      </c>
      <c r="O516" s="1">
        <v>0.05159009</v>
      </c>
      <c r="P516" s="1">
        <v>0.05576952</v>
      </c>
      <c r="Q516" s="1">
        <v>0.06017176</v>
      </c>
      <c r="R516" s="1">
        <v>0.06428048</v>
      </c>
      <c r="S516" s="1">
        <v>0.0681708</v>
      </c>
    </row>
    <row r="517" ht="14.25" hidden="1" customHeight="1">
      <c r="A517" s="1" t="s">
        <v>5</v>
      </c>
      <c r="B517" s="1" t="s">
        <v>45</v>
      </c>
      <c r="C517" s="1" t="s">
        <v>21</v>
      </c>
      <c r="D517" s="1" t="s">
        <v>28</v>
      </c>
      <c r="E517" s="2">
        <v>9.1E-6</v>
      </c>
      <c r="F517" s="2">
        <v>2.82E-5</v>
      </c>
      <c r="G517" s="1">
        <v>0.0011176</v>
      </c>
      <c r="H517" s="1">
        <v>0.0015661</v>
      </c>
      <c r="I517" s="2">
        <v>9.62085E-4</v>
      </c>
      <c r="J517" s="1">
        <v>0.00303494</v>
      </c>
      <c r="K517" s="1">
        <v>0.00302348</v>
      </c>
      <c r="L517" s="1">
        <v>0.00317587</v>
      </c>
      <c r="M517" s="1">
        <v>0.00334013</v>
      </c>
      <c r="N517" s="1">
        <v>0.00355013</v>
      </c>
      <c r="O517" s="1">
        <v>0.00381248</v>
      </c>
      <c r="P517" s="1">
        <v>0.00409248</v>
      </c>
      <c r="Q517" s="1">
        <v>0.00443346</v>
      </c>
      <c r="R517" s="1">
        <v>0.00474891</v>
      </c>
      <c r="S517" s="1">
        <v>0.00499969</v>
      </c>
    </row>
    <row r="518" ht="14.25" hidden="1" customHeight="1">
      <c r="A518" s="1" t="s">
        <v>5</v>
      </c>
      <c r="B518" s="1" t="s">
        <v>45</v>
      </c>
      <c r="C518" s="1" t="s">
        <v>29</v>
      </c>
      <c r="D518" s="1" t="s">
        <v>16</v>
      </c>
      <c r="E518" s="2">
        <v>1.09497E-4</v>
      </c>
      <c r="F518" s="2">
        <v>2.10367E-4</v>
      </c>
      <c r="G518" s="1">
        <v>0.00569589</v>
      </c>
      <c r="H518" s="1">
        <v>0.005304579</v>
      </c>
      <c r="I518" s="1">
        <v>0.004583165</v>
      </c>
      <c r="J518" s="1">
        <v>0.0039241128</v>
      </c>
      <c r="K518" s="1">
        <v>0.0032724822</v>
      </c>
      <c r="L518" s="1">
        <v>0.0027770791</v>
      </c>
      <c r="M518" s="1">
        <v>0.0017461159</v>
      </c>
      <c r="N518" s="1">
        <v>0.0018460424</v>
      </c>
      <c r="O518" s="1">
        <v>0.0020352891</v>
      </c>
      <c r="P518" s="1">
        <v>0.0022223923</v>
      </c>
      <c r="Q518" s="1">
        <v>0.0024532631</v>
      </c>
      <c r="R518" s="1">
        <v>0.0027128431</v>
      </c>
      <c r="S518" s="1">
        <v>0.0029824544</v>
      </c>
    </row>
    <row r="519" ht="14.25" hidden="1" customHeight="1">
      <c r="A519" s="1" t="s">
        <v>5</v>
      </c>
      <c r="B519" s="1" t="s">
        <v>45</v>
      </c>
      <c r="C519" s="1" t="s">
        <v>29</v>
      </c>
      <c r="D519" s="1" t="s">
        <v>8</v>
      </c>
      <c r="E519" s="2">
        <v>3.65003E-5</v>
      </c>
      <c r="F519" s="2">
        <v>7.0103E-5</v>
      </c>
      <c r="G519" s="1">
        <v>0.00189861</v>
      </c>
      <c r="H519" s="1">
        <v>0.001465626778</v>
      </c>
      <c r="I519" s="1">
        <v>0.0015734277152</v>
      </c>
      <c r="J519" s="1">
        <v>0.0012854244487</v>
      </c>
      <c r="K519" s="2">
        <v>9.76274189E-4</v>
      </c>
      <c r="L519" s="2">
        <v>6.896740293E-4</v>
      </c>
      <c r="M519" s="2">
        <v>2.035369628E-4</v>
      </c>
      <c r="N519" s="2">
        <v>1.752577E-4</v>
      </c>
      <c r="O519" s="2">
        <v>1.48856019999999E-4</v>
      </c>
      <c r="P519" s="2">
        <v>1.6612817E-4</v>
      </c>
      <c r="Q519" s="2">
        <v>1.86577E-4</v>
      </c>
      <c r="R519" s="2">
        <v>2.0771977E-4</v>
      </c>
      <c r="S519" s="2">
        <v>2.28466949999999E-4</v>
      </c>
    </row>
    <row r="520" ht="14.25" hidden="1" customHeight="1">
      <c r="A520" s="1" t="s">
        <v>5</v>
      </c>
      <c r="B520" s="1" t="s">
        <v>45</v>
      </c>
      <c r="C520" s="1" t="s">
        <v>29</v>
      </c>
      <c r="D520" s="1" t="s">
        <v>10</v>
      </c>
      <c r="E520" s="2">
        <v>2.37043E-5</v>
      </c>
      <c r="F520" s="2">
        <v>4.54953E-5</v>
      </c>
      <c r="G520" s="2">
        <v>1.96001E-5</v>
      </c>
      <c r="H520" s="1">
        <v>0.004806539</v>
      </c>
      <c r="I520" s="1">
        <v>0.0044413044</v>
      </c>
      <c r="J520" s="1">
        <v>0.00369210142699999</v>
      </c>
      <c r="K520" s="1">
        <v>0.00279641458</v>
      </c>
      <c r="L520" s="1">
        <v>0.00175652581399999</v>
      </c>
      <c r="M520" s="1">
        <v>0.00101008419799999</v>
      </c>
      <c r="N520" s="2">
        <v>3.29249003E-4</v>
      </c>
      <c r="O520" s="2">
        <v>2.63723436E-4</v>
      </c>
      <c r="P520" s="2">
        <v>2.28252299999999E-4</v>
      </c>
      <c r="Q520" s="2">
        <v>1.926311E-4</v>
      </c>
      <c r="R520" s="2">
        <v>1.7817241E-4</v>
      </c>
      <c r="S520" s="2">
        <v>1.7027936E-4</v>
      </c>
    </row>
    <row r="521" ht="14.25" hidden="1" customHeight="1">
      <c r="A521" s="1" t="s">
        <v>5</v>
      </c>
      <c r="B521" s="1" t="s">
        <v>45</v>
      </c>
      <c r="C521" s="1" t="s">
        <v>29</v>
      </c>
      <c r="D521" s="1" t="s">
        <v>11</v>
      </c>
      <c r="E521" s="1">
        <v>0.0021279</v>
      </c>
      <c r="F521" s="1">
        <v>0.00408508</v>
      </c>
      <c r="G521" s="1">
        <v>0.0017615</v>
      </c>
      <c r="H521" s="1">
        <v>0.0013795562</v>
      </c>
      <c r="I521" s="1">
        <v>0.0011584085</v>
      </c>
      <c r="J521" s="1">
        <v>0.001554289</v>
      </c>
      <c r="K521" s="1">
        <v>0.0020124811</v>
      </c>
      <c r="L521" s="1">
        <v>0.00324967519</v>
      </c>
      <c r="M521" s="1">
        <v>0.00396353571999999</v>
      </c>
      <c r="N521" s="1">
        <v>0.004890139</v>
      </c>
      <c r="O521" s="1">
        <v>0.00546876999999999</v>
      </c>
      <c r="P521" s="1">
        <v>0.005792738</v>
      </c>
      <c r="Q521" s="1">
        <v>0.006071371</v>
      </c>
      <c r="R521" s="1">
        <v>0.00630482099999999</v>
      </c>
      <c r="S521" s="1">
        <v>0.006670693</v>
      </c>
    </row>
    <row r="522" ht="14.25" hidden="1" customHeight="1">
      <c r="A522" s="1" t="s">
        <v>5</v>
      </c>
      <c r="B522" s="1" t="s">
        <v>45</v>
      </c>
      <c r="C522" s="1" t="s">
        <v>29</v>
      </c>
      <c r="D522" s="1" t="s">
        <v>13</v>
      </c>
      <c r="E522" s="2">
        <v>2.3782E-5</v>
      </c>
      <c r="F522" s="2">
        <v>4.57084E-5</v>
      </c>
      <c r="G522" s="2">
        <v>3.79999E-5</v>
      </c>
      <c r="H522" s="1">
        <v>0.0201708317</v>
      </c>
      <c r="I522" s="1">
        <v>0.0258195174</v>
      </c>
      <c r="J522" s="1">
        <v>0.02969945</v>
      </c>
      <c r="K522" s="1">
        <v>0.0363799426</v>
      </c>
      <c r="L522" s="1">
        <v>0.03992307826</v>
      </c>
      <c r="M522" s="1">
        <v>0.04334345</v>
      </c>
      <c r="N522" s="1">
        <v>0.04537657</v>
      </c>
      <c r="O522" s="1">
        <v>0.0479096799999999</v>
      </c>
      <c r="P522" s="1">
        <v>0.05025203</v>
      </c>
      <c r="Q522" s="1">
        <v>0.053081</v>
      </c>
      <c r="R522" s="1">
        <v>0.05628965</v>
      </c>
      <c r="S522" s="1">
        <v>0.05950031</v>
      </c>
    </row>
    <row r="523" ht="14.25" hidden="1" customHeight="1">
      <c r="A523" s="1" t="s">
        <v>5</v>
      </c>
      <c r="B523" s="1" t="s">
        <v>45</v>
      </c>
      <c r="C523" s="1" t="s">
        <v>29</v>
      </c>
      <c r="D523" s="1" t="s">
        <v>14</v>
      </c>
      <c r="E523" s="1">
        <v>0.00316694</v>
      </c>
      <c r="F523" s="1">
        <v>0.00608055</v>
      </c>
      <c r="G523" s="1">
        <v>0.0050574</v>
      </c>
      <c r="H523" s="1">
        <v>0.00625286</v>
      </c>
      <c r="I523" s="1">
        <v>0.00531606</v>
      </c>
      <c r="J523" s="1">
        <v>0.004375813</v>
      </c>
      <c r="K523" s="1">
        <v>0.00368087499999999</v>
      </c>
      <c r="L523" s="1">
        <v>0.00281324099999999</v>
      </c>
      <c r="M523" s="1">
        <v>0.0016166047</v>
      </c>
      <c r="N523" s="1">
        <v>0.0014962454</v>
      </c>
      <c r="O523" s="1">
        <v>0.00170373049999999</v>
      </c>
      <c r="P523" s="1">
        <v>0.0019327333</v>
      </c>
      <c r="Q523" s="1">
        <v>0.0021773939</v>
      </c>
      <c r="R523" s="1">
        <v>0.0024371184</v>
      </c>
      <c r="S523" s="1">
        <v>0.0026806793</v>
      </c>
    </row>
    <row r="524" ht="14.25" hidden="1" customHeight="1">
      <c r="A524" s="1" t="s">
        <v>5</v>
      </c>
      <c r="B524" s="1" t="s">
        <v>45</v>
      </c>
      <c r="C524" s="1" t="s">
        <v>31</v>
      </c>
      <c r="D524" s="1" t="s">
        <v>11</v>
      </c>
      <c r="E524" s="1">
        <v>0.0645457</v>
      </c>
      <c r="F524" s="1">
        <v>0.0756244</v>
      </c>
      <c r="G524" s="1">
        <v>0.0803785</v>
      </c>
      <c r="H524" s="1">
        <v>0.0740902</v>
      </c>
      <c r="I524" s="1">
        <v>0.12129</v>
      </c>
      <c r="J524" s="1">
        <v>0.00149123</v>
      </c>
      <c r="K524" s="1">
        <v>0.00166701</v>
      </c>
      <c r="L524" s="1">
        <v>0.00295407</v>
      </c>
      <c r="M524" s="1">
        <v>0.00233738</v>
      </c>
      <c r="N524" s="1">
        <v>0.00123686</v>
      </c>
      <c r="O524" s="1">
        <v>0.0</v>
      </c>
      <c r="P524" s="1">
        <v>0.0</v>
      </c>
      <c r="Q524" s="1">
        <v>0.0</v>
      </c>
      <c r="R524" s="1">
        <v>0.0</v>
      </c>
      <c r="S524" s="1">
        <v>0.0</v>
      </c>
    </row>
    <row r="525" ht="14.25" hidden="1" customHeight="1">
      <c r="A525" s="1" t="s">
        <v>5</v>
      </c>
      <c r="B525" s="1" t="s">
        <v>46</v>
      </c>
      <c r="C525" s="1" t="s">
        <v>7</v>
      </c>
      <c r="D525" s="1" t="s">
        <v>8</v>
      </c>
      <c r="E525" s="1">
        <v>0.0154628</v>
      </c>
      <c r="F525" s="1">
        <v>0.0196867</v>
      </c>
      <c r="G525" s="1">
        <v>0.0210687</v>
      </c>
      <c r="H525" s="1">
        <v>0.00240095</v>
      </c>
      <c r="I525" s="2">
        <v>2.58216E-4</v>
      </c>
      <c r="J525" s="2">
        <v>2.09236E-4</v>
      </c>
      <c r="K525" s="2">
        <v>1.42356E-4</v>
      </c>
      <c r="L525" s="2">
        <v>1.19787E-4</v>
      </c>
      <c r="M525" s="2">
        <v>7.68438E-5</v>
      </c>
      <c r="N525" s="2">
        <v>4.32692E-5</v>
      </c>
      <c r="O525" s="1">
        <v>0.0</v>
      </c>
      <c r="P525" s="1">
        <v>0.0</v>
      </c>
      <c r="Q525" s="1">
        <v>0.0</v>
      </c>
      <c r="R525" s="1">
        <v>0.0</v>
      </c>
      <c r="S525" s="1">
        <v>0.0</v>
      </c>
    </row>
    <row r="526" ht="14.25" hidden="1" customHeight="1">
      <c r="A526" s="1" t="s">
        <v>5</v>
      </c>
      <c r="B526" s="1" t="s">
        <v>46</v>
      </c>
      <c r="C526" s="1" t="s">
        <v>9</v>
      </c>
      <c r="D526" s="1" t="s">
        <v>8</v>
      </c>
      <c r="E526" s="2">
        <v>3.21591E-4</v>
      </c>
      <c r="F526" s="2">
        <v>2.81998E-4</v>
      </c>
      <c r="G526" s="2">
        <v>4.14805E-4</v>
      </c>
      <c r="H526" s="2">
        <v>3.9178E-5</v>
      </c>
      <c r="I526" s="1">
        <v>0.0191499</v>
      </c>
      <c r="J526" s="1">
        <v>0.0</v>
      </c>
      <c r="K526" s="1">
        <v>0.0</v>
      </c>
      <c r="L526" s="1">
        <v>0.0</v>
      </c>
      <c r="M526" s="1">
        <v>0.0</v>
      </c>
      <c r="N526" s="1">
        <v>0.0</v>
      </c>
      <c r="O526" s="1">
        <v>0.0</v>
      </c>
      <c r="P526" s="1">
        <v>0.0</v>
      </c>
      <c r="Q526" s="1">
        <v>0.0</v>
      </c>
      <c r="R526" s="1">
        <v>0.0</v>
      </c>
      <c r="S526" s="1">
        <v>0.0</v>
      </c>
    </row>
    <row r="527" ht="14.25" hidden="1" customHeight="1">
      <c r="A527" s="1" t="s">
        <v>5</v>
      </c>
      <c r="B527" s="1" t="s">
        <v>46</v>
      </c>
      <c r="C527" s="1" t="s">
        <v>9</v>
      </c>
      <c r="D527" s="1" t="s">
        <v>10</v>
      </c>
      <c r="E527" s="2">
        <v>5.70705E-4</v>
      </c>
      <c r="F527" s="2">
        <v>5.00504E-4</v>
      </c>
      <c r="G527" s="2">
        <v>5.76E-5</v>
      </c>
      <c r="H527" s="2">
        <v>1.22048E-6</v>
      </c>
      <c r="I527" s="1">
        <v>0.00239635</v>
      </c>
      <c r="J527" s="1">
        <v>0.0141257</v>
      </c>
      <c r="K527" s="1">
        <v>0.0</v>
      </c>
      <c r="L527" s="1">
        <v>0.0</v>
      </c>
      <c r="M527" s="1">
        <v>0.0</v>
      </c>
      <c r="N527" s="1">
        <v>0.0</v>
      </c>
      <c r="O527" s="1">
        <v>0.0</v>
      </c>
      <c r="P527" s="1">
        <v>0.0</v>
      </c>
      <c r="Q527" s="1">
        <v>0.0</v>
      </c>
      <c r="R527" s="1">
        <v>0.0</v>
      </c>
      <c r="S527" s="1">
        <v>0.0</v>
      </c>
    </row>
    <row r="528" ht="14.25" hidden="1" customHeight="1">
      <c r="A528" s="1" t="s">
        <v>5</v>
      </c>
      <c r="B528" s="1" t="s">
        <v>46</v>
      </c>
      <c r="C528" s="1" t="s">
        <v>9</v>
      </c>
      <c r="D528" s="1" t="s">
        <v>11</v>
      </c>
      <c r="E528" s="2">
        <v>5.70695E-4</v>
      </c>
      <c r="F528" s="2">
        <v>5.00499E-4</v>
      </c>
      <c r="G528" s="2">
        <v>5.76003E-5</v>
      </c>
      <c r="H528" s="2">
        <v>3.91755E-4</v>
      </c>
      <c r="I528" s="2">
        <v>1.46609E-6</v>
      </c>
      <c r="J528" s="2">
        <v>7.67651E-6</v>
      </c>
      <c r="K528" s="1">
        <v>0.0</v>
      </c>
      <c r="L528" s="1">
        <v>0.0</v>
      </c>
      <c r="M528" s="1">
        <v>0.0</v>
      </c>
      <c r="N528" s="1">
        <v>0.0</v>
      </c>
      <c r="O528" s="1">
        <v>0.0</v>
      </c>
      <c r="P528" s="1">
        <v>0.0</v>
      </c>
      <c r="Q528" s="1">
        <v>0.0</v>
      </c>
      <c r="R528" s="1">
        <v>0.0</v>
      </c>
      <c r="S528" s="1">
        <v>0.0</v>
      </c>
    </row>
    <row r="529" ht="14.25" hidden="1" customHeight="1">
      <c r="A529" s="1" t="s">
        <v>5</v>
      </c>
      <c r="B529" s="1" t="s">
        <v>46</v>
      </c>
      <c r="C529" s="1" t="s">
        <v>9</v>
      </c>
      <c r="D529" s="1" t="s">
        <v>12</v>
      </c>
      <c r="E529" s="2">
        <v>5.69055E-5</v>
      </c>
      <c r="F529" s="2">
        <v>5.01945E-5</v>
      </c>
      <c r="G529" s="2">
        <v>5.79473E-6</v>
      </c>
      <c r="H529" s="2">
        <v>2.30972E-5</v>
      </c>
      <c r="I529" s="2">
        <v>3.7207E-6</v>
      </c>
      <c r="J529" s="2">
        <v>6.28442E-7</v>
      </c>
      <c r="K529" s="1">
        <v>0.0</v>
      </c>
      <c r="L529" s="1">
        <v>0.0</v>
      </c>
      <c r="M529" s="1">
        <v>0.0</v>
      </c>
      <c r="N529" s="1">
        <v>0.0</v>
      </c>
      <c r="O529" s="1">
        <v>0.0</v>
      </c>
      <c r="P529" s="1">
        <v>0.0</v>
      </c>
      <c r="Q529" s="1">
        <v>0.0</v>
      </c>
      <c r="R529" s="1">
        <v>0.0</v>
      </c>
      <c r="S529" s="1">
        <v>0.0</v>
      </c>
    </row>
    <row r="530" ht="14.25" hidden="1" customHeight="1">
      <c r="A530" s="1" t="s">
        <v>5</v>
      </c>
      <c r="B530" s="1" t="s">
        <v>46</v>
      </c>
      <c r="C530" s="1" t="s">
        <v>9</v>
      </c>
      <c r="D530" s="1" t="s">
        <v>13</v>
      </c>
      <c r="E530" s="1">
        <v>0.0</v>
      </c>
      <c r="F530" s="1">
        <v>0.0</v>
      </c>
      <c r="G530" s="1">
        <v>0.0</v>
      </c>
      <c r="H530" s="1">
        <v>0.00362543</v>
      </c>
      <c r="I530" s="1">
        <v>0.0</v>
      </c>
      <c r="J530" s="1">
        <v>0.0</v>
      </c>
      <c r="K530" s="1">
        <v>0.0</v>
      </c>
      <c r="L530" s="1">
        <v>0.0</v>
      </c>
      <c r="M530" s="1">
        <v>0.0</v>
      </c>
      <c r="N530" s="1">
        <v>0.0</v>
      </c>
      <c r="O530" s="1">
        <v>0.0</v>
      </c>
      <c r="P530" s="1">
        <v>0.0</v>
      </c>
      <c r="Q530" s="1">
        <v>0.0</v>
      </c>
      <c r="R530" s="1">
        <v>0.0</v>
      </c>
      <c r="S530" s="1">
        <v>0.0</v>
      </c>
    </row>
    <row r="531" ht="14.25" hidden="1" customHeight="1">
      <c r="A531" s="1" t="s">
        <v>5</v>
      </c>
      <c r="B531" s="1" t="s">
        <v>46</v>
      </c>
      <c r="C531" s="1" t="s">
        <v>9</v>
      </c>
      <c r="D531" s="1" t="s">
        <v>14</v>
      </c>
      <c r="E531" s="1">
        <v>0.0</v>
      </c>
      <c r="F531" s="1">
        <v>0.0</v>
      </c>
      <c r="G531" s="1">
        <v>0.0</v>
      </c>
      <c r="H531" s="1">
        <v>0.00129317</v>
      </c>
      <c r="I531" s="1">
        <v>0.0</v>
      </c>
      <c r="J531" s="1">
        <v>0.0</v>
      </c>
      <c r="K531" s="1">
        <v>0.0</v>
      </c>
      <c r="L531" s="1">
        <v>0.0</v>
      </c>
      <c r="M531" s="1">
        <v>0.0</v>
      </c>
      <c r="N531" s="1">
        <v>0.0</v>
      </c>
      <c r="O531" s="1">
        <v>0.0</v>
      </c>
      <c r="P531" s="1">
        <v>0.0</v>
      </c>
      <c r="Q531" s="1">
        <v>0.0</v>
      </c>
      <c r="R531" s="1">
        <v>0.0</v>
      </c>
      <c r="S531" s="1">
        <v>0.0</v>
      </c>
    </row>
    <row r="532" ht="14.25" hidden="1" customHeight="1">
      <c r="A532" s="1" t="s">
        <v>5</v>
      </c>
      <c r="B532" s="1" t="s">
        <v>46</v>
      </c>
      <c r="C532" s="1" t="s">
        <v>15</v>
      </c>
      <c r="D532" s="1" t="s">
        <v>16</v>
      </c>
      <c r="E532" s="1">
        <v>0.0</v>
      </c>
      <c r="F532" s="1">
        <v>0.0</v>
      </c>
      <c r="G532" s="1">
        <v>0.0</v>
      </c>
      <c r="H532" s="1">
        <v>0.0</v>
      </c>
      <c r="I532" s="2">
        <v>7.38162E-4</v>
      </c>
      <c r="J532" s="1">
        <v>0.004184165</v>
      </c>
      <c r="K532" s="1">
        <v>0.008418559</v>
      </c>
      <c r="L532" s="1">
        <v>0.013460471</v>
      </c>
      <c r="M532" s="1">
        <v>0.019667823</v>
      </c>
      <c r="N532" s="1">
        <v>0.0249771238</v>
      </c>
      <c r="O532" s="1">
        <v>0.029895437</v>
      </c>
      <c r="P532" s="1">
        <v>0.034598358</v>
      </c>
      <c r="Q532" s="1">
        <v>0.039093228</v>
      </c>
      <c r="R532" s="1">
        <v>0.04333471</v>
      </c>
      <c r="S532" s="1">
        <v>0.04740497</v>
      </c>
    </row>
    <row r="533" ht="14.25" customHeight="1">
      <c r="A533" s="1" t="s">
        <v>5</v>
      </c>
      <c r="B533" s="1" t="s">
        <v>46</v>
      </c>
      <c r="C533" s="1" t="s">
        <v>15</v>
      </c>
      <c r="D533" s="1" t="s">
        <v>14</v>
      </c>
      <c r="E533" s="1">
        <v>0.0</v>
      </c>
      <c r="F533" s="1">
        <v>0.0</v>
      </c>
      <c r="G533" s="1">
        <v>0.0</v>
      </c>
      <c r="H533" s="1">
        <v>0.0</v>
      </c>
      <c r="I533" s="2">
        <v>2.23583E-4</v>
      </c>
      <c r="J533" s="1">
        <v>0.007367817</v>
      </c>
      <c r="K533" s="1">
        <v>0.014124754</v>
      </c>
      <c r="L533" s="1">
        <v>0.021491661</v>
      </c>
      <c r="M533" s="1">
        <v>0.0304022391</v>
      </c>
      <c r="N533" s="1">
        <v>0.0363511661</v>
      </c>
      <c r="O533" s="1">
        <v>0.041670392</v>
      </c>
      <c r="P533" s="1">
        <v>0.0454230299999999</v>
      </c>
      <c r="Q533" s="1">
        <v>0.0490653099999999</v>
      </c>
      <c r="R533" s="1">
        <v>0.05254739</v>
      </c>
      <c r="S533" s="1">
        <v>0.05602293</v>
      </c>
    </row>
    <row r="534" ht="14.25" hidden="1" customHeight="1">
      <c r="A534" s="1" t="s">
        <v>5</v>
      </c>
      <c r="B534" s="1" t="s">
        <v>46</v>
      </c>
      <c r="C534" s="1" t="s">
        <v>17</v>
      </c>
      <c r="D534" s="1" t="s">
        <v>16</v>
      </c>
      <c r="E534" s="2">
        <v>1.06999E-5</v>
      </c>
      <c r="F534" s="2">
        <v>3.34E-5</v>
      </c>
      <c r="G534" s="2">
        <v>5.01998E-5</v>
      </c>
      <c r="H534" s="2">
        <v>1.877261E-4</v>
      </c>
      <c r="I534" s="2">
        <v>1.62498523E-4</v>
      </c>
      <c r="J534" s="2">
        <v>1.89773822E-4</v>
      </c>
      <c r="K534" s="2">
        <v>1.76028609E-4</v>
      </c>
      <c r="L534" s="2">
        <v>1.64962810999999E-4</v>
      </c>
      <c r="M534" s="2">
        <v>1.68944913999999E-4</v>
      </c>
      <c r="N534" s="2">
        <v>1.760270011E-4</v>
      </c>
      <c r="O534" s="2">
        <v>2.0151349E-4</v>
      </c>
      <c r="P534" s="2">
        <v>2.2946253E-4</v>
      </c>
      <c r="Q534" s="2">
        <v>2.5753884E-4</v>
      </c>
      <c r="R534" s="2">
        <v>2.8566925E-4</v>
      </c>
      <c r="S534" s="2">
        <v>3.136319E-4</v>
      </c>
    </row>
    <row r="535" ht="14.25" hidden="1" customHeight="1">
      <c r="A535" s="1" t="s">
        <v>5</v>
      </c>
      <c r="B535" s="1" t="s">
        <v>46</v>
      </c>
      <c r="C535" s="1" t="s">
        <v>17</v>
      </c>
      <c r="D535" s="1" t="s">
        <v>18</v>
      </c>
      <c r="E535" s="1">
        <v>0.00276462</v>
      </c>
      <c r="F535" s="1">
        <v>0.00860038</v>
      </c>
      <c r="G535" s="1">
        <v>0.0129357</v>
      </c>
      <c r="H535" s="1">
        <v>0.0106449</v>
      </c>
      <c r="I535" s="1">
        <v>0.00964609</v>
      </c>
      <c r="J535" s="1">
        <v>0.01901097</v>
      </c>
      <c r="K535" s="1">
        <v>0.02350541</v>
      </c>
      <c r="L535" s="1">
        <v>0.02822365</v>
      </c>
      <c r="M535" s="1">
        <v>0.03274175</v>
      </c>
      <c r="N535" s="1">
        <v>0.03719264</v>
      </c>
      <c r="O535" s="1">
        <v>0.04124568</v>
      </c>
      <c r="P535" s="1">
        <v>0.04498047</v>
      </c>
      <c r="Q535" s="1">
        <v>0.0484309</v>
      </c>
      <c r="R535" s="1">
        <v>0.05154971</v>
      </c>
      <c r="S535" s="1">
        <v>0.0541083</v>
      </c>
    </row>
    <row r="536" ht="14.25" hidden="1" customHeight="1">
      <c r="A536" s="1" t="s">
        <v>5</v>
      </c>
      <c r="B536" s="1" t="s">
        <v>46</v>
      </c>
      <c r="C536" s="1" t="s">
        <v>17</v>
      </c>
      <c r="D536" s="1" t="s">
        <v>19</v>
      </c>
      <c r="E536" s="1">
        <v>0.0012556</v>
      </c>
      <c r="F536" s="1">
        <v>0.0039062</v>
      </c>
      <c r="G536" s="1">
        <v>0.0058753</v>
      </c>
      <c r="H536" s="1">
        <v>0.0071357</v>
      </c>
      <c r="I536" s="1">
        <v>0.00268722999999999</v>
      </c>
      <c r="J536" s="1">
        <v>0.01132802</v>
      </c>
      <c r="K536" s="1">
        <v>0.01406247</v>
      </c>
      <c r="L536" s="1">
        <v>0.01714381</v>
      </c>
      <c r="M536" s="1">
        <v>0.02021362</v>
      </c>
      <c r="N536" s="1">
        <v>0.02340204</v>
      </c>
      <c r="O536" s="1">
        <v>0.02669169</v>
      </c>
      <c r="P536" s="1">
        <v>0.03000954</v>
      </c>
      <c r="Q536" s="1">
        <v>0.03326256</v>
      </c>
      <c r="R536" s="1">
        <v>0.0363656299999999</v>
      </c>
      <c r="S536" s="1">
        <v>0.03926303</v>
      </c>
    </row>
    <row r="537" ht="14.25" hidden="1" customHeight="1">
      <c r="A537" s="1" t="s">
        <v>5</v>
      </c>
      <c r="B537" s="1" t="s">
        <v>46</v>
      </c>
      <c r="C537" s="1" t="s">
        <v>17</v>
      </c>
      <c r="D537" s="1" t="s">
        <v>8</v>
      </c>
      <c r="E537" s="2">
        <v>5.58084E-4</v>
      </c>
      <c r="F537" s="1">
        <v>0.00173609</v>
      </c>
      <c r="G537" s="1">
        <v>0.00261123</v>
      </c>
      <c r="H537" s="1">
        <v>0.00750611</v>
      </c>
      <c r="I537" s="1">
        <v>0.005372500429374</v>
      </c>
      <c r="J537" s="1">
        <v>0.017118631311005</v>
      </c>
      <c r="K537" s="1">
        <v>0.021889840214687</v>
      </c>
      <c r="L537" s="1">
        <v>0.027118030118369</v>
      </c>
      <c r="M537" s="1">
        <v>0.03214648</v>
      </c>
      <c r="N537" s="1">
        <v>0.03714861</v>
      </c>
      <c r="O537" s="1">
        <v>0.0422671899999999</v>
      </c>
      <c r="P537" s="1">
        <v>0.04722451</v>
      </c>
      <c r="Q537" s="1">
        <v>0.05201661</v>
      </c>
      <c r="R537" s="1">
        <v>0.0565046</v>
      </c>
      <c r="S537" s="1">
        <v>0.0606218299999999</v>
      </c>
    </row>
    <row r="538" ht="14.25" hidden="1" customHeight="1">
      <c r="A538" s="1" t="s">
        <v>5</v>
      </c>
      <c r="B538" s="1" t="s">
        <v>46</v>
      </c>
      <c r="C538" s="1" t="s">
        <v>17</v>
      </c>
      <c r="D538" s="1" t="s">
        <v>20</v>
      </c>
      <c r="E538" s="2">
        <v>4.18421E-4</v>
      </c>
      <c r="F538" s="1">
        <v>0.00130211</v>
      </c>
      <c r="G538" s="1">
        <v>0.00195842</v>
      </c>
      <c r="H538" s="1">
        <v>0.00245268</v>
      </c>
      <c r="I538" s="1">
        <v>0.001698961</v>
      </c>
      <c r="J538" s="1">
        <v>0.0040215758</v>
      </c>
      <c r="K538" s="1">
        <v>0.0050572085</v>
      </c>
      <c r="L538" s="1">
        <v>0.00602144</v>
      </c>
      <c r="M538" s="1">
        <v>0.00703035999999999</v>
      </c>
      <c r="N538" s="1">
        <v>0.00809526</v>
      </c>
      <c r="O538" s="1">
        <v>0.00917921</v>
      </c>
      <c r="P538" s="1">
        <v>0.01024853</v>
      </c>
      <c r="Q538" s="1">
        <v>0.0112860499999999</v>
      </c>
      <c r="R538" s="1">
        <v>0.01226201</v>
      </c>
      <c r="S538" s="1">
        <v>0.01315269</v>
      </c>
    </row>
    <row r="539" ht="14.25" hidden="1" customHeight="1">
      <c r="A539" s="1" t="s">
        <v>5</v>
      </c>
      <c r="B539" s="1" t="s">
        <v>46</v>
      </c>
      <c r="C539" s="1" t="s">
        <v>21</v>
      </c>
      <c r="D539" s="1" t="s">
        <v>10</v>
      </c>
      <c r="E539" s="1">
        <v>0.00154271</v>
      </c>
      <c r="F539" s="1">
        <v>0.00479924</v>
      </c>
      <c r="G539" s="1">
        <v>0.006014</v>
      </c>
      <c r="H539" s="1">
        <v>0.00727175</v>
      </c>
      <c r="I539" s="1">
        <v>0.0064963</v>
      </c>
      <c r="J539" s="1">
        <v>0.00434635552999999</v>
      </c>
      <c r="K539" s="1">
        <v>0.00991747043</v>
      </c>
      <c r="L539" s="1">
        <v>0.01064705267</v>
      </c>
      <c r="M539" s="1">
        <v>0.0108042229569999</v>
      </c>
      <c r="N539" s="1">
        <v>0.01082969</v>
      </c>
      <c r="O539" s="1">
        <v>0.01049721</v>
      </c>
      <c r="P539" s="1">
        <v>0.0103924539999999</v>
      </c>
      <c r="Q539" s="1">
        <v>0.010250674</v>
      </c>
      <c r="R539" s="1">
        <v>0.01001273</v>
      </c>
      <c r="S539" s="1">
        <v>0.009685845</v>
      </c>
    </row>
    <row r="540" ht="14.25" hidden="1" customHeight="1">
      <c r="A540" s="1" t="s">
        <v>5</v>
      </c>
      <c r="B540" s="1" t="s">
        <v>46</v>
      </c>
      <c r="C540" s="1" t="s">
        <v>21</v>
      </c>
      <c r="D540" s="1" t="s">
        <v>11</v>
      </c>
      <c r="E540" s="2">
        <v>1.06999E-5</v>
      </c>
      <c r="F540" s="2">
        <v>3.33E-5</v>
      </c>
      <c r="G540" s="2">
        <v>4.18002E-5</v>
      </c>
      <c r="H540" s="1">
        <v>0.0029896104</v>
      </c>
      <c r="I540" s="1">
        <v>0.00274984</v>
      </c>
      <c r="J540" s="1">
        <v>0.001604686</v>
      </c>
      <c r="K540" s="2">
        <v>6.72338E-4</v>
      </c>
      <c r="L540" s="2">
        <v>2.82058E-4</v>
      </c>
      <c r="M540" s="2">
        <v>2.402489E-4</v>
      </c>
      <c r="N540" s="2">
        <v>1.899973E-4</v>
      </c>
      <c r="O540" s="2">
        <v>1.602207E-4</v>
      </c>
      <c r="P540" s="2">
        <v>1.580322E-4</v>
      </c>
      <c r="Q540" s="2">
        <v>1.494113E-4</v>
      </c>
      <c r="R540" s="2">
        <v>1.370156E-4</v>
      </c>
      <c r="S540" s="2">
        <v>1.290835E-4</v>
      </c>
    </row>
    <row r="541" ht="14.25" hidden="1" customHeight="1">
      <c r="A541" s="1" t="s">
        <v>5</v>
      </c>
      <c r="B541" s="1" t="s">
        <v>46</v>
      </c>
      <c r="C541" s="1" t="s">
        <v>21</v>
      </c>
      <c r="D541" s="1" t="s">
        <v>22</v>
      </c>
      <c r="E541" s="2">
        <v>1.07E-5</v>
      </c>
      <c r="F541" s="2">
        <v>3.33E-5</v>
      </c>
      <c r="G541" s="2">
        <v>4.18E-5</v>
      </c>
      <c r="H541" s="2">
        <v>5.41289999999999E-5</v>
      </c>
      <c r="I541" s="2">
        <v>5.25608999999999E-5</v>
      </c>
      <c r="J541" s="2">
        <v>9.79803E-5</v>
      </c>
      <c r="K541" s="2">
        <v>6.76428E-5</v>
      </c>
      <c r="L541" s="2">
        <v>6.47727E-5</v>
      </c>
      <c r="M541" s="2">
        <v>5.66055E-5</v>
      </c>
      <c r="N541" s="2">
        <v>5.4283E-5</v>
      </c>
      <c r="O541" s="2">
        <v>5.11409E-5</v>
      </c>
      <c r="P541" s="2">
        <v>4.95213999999999E-5</v>
      </c>
      <c r="Q541" s="2">
        <v>4.83678E-5</v>
      </c>
      <c r="R541" s="2">
        <v>4.73586E-5</v>
      </c>
      <c r="S541" s="2">
        <v>4.58982999999999E-5</v>
      </c>
    </row>
    <row r="542" ht="14.25" hidden="1" customHeight="1">
      <c r="A542" s="1" t="s">
        <v>5</v>
      </c>
      <c r="B542" s="1" t="s">
        <v>46</v>
      </c>
      <c r="C542" s="1" t="s">
        <v>21</v>
      </c>
      <c r="D542" s="1" t="s">
        <v>23</v>
      </c>
      <c r="E542" s="2">
        <v>2.140354E-5</v>
      </c>
      <c r="F542" s="2">
        <v>6.67133E-5</v>
      </c>
      <c r="G542" s="2">
        <v>8.35001E-5</v>
      </c>
      <c r="H542" s="2">
        <v>1.229989E-4</v>
      </c>
      <c r="I542" s="2">
        <v>1.586307E-4</v>
      </c>
      <c r="J542" s="2">
        <v>3.96594689999999E-4</v>
      </c>
      <c r="K542" s="2">
        <v>2.81326E-4</v>
      </c>
      <c r="L542" s="2">
        <v>3.10458E-4</v>
      </c>
      <c r="M542" s="2">
        <v>3.13736E-4</v>
      </c>
      <c r="N542" s="2">
        <v>3.101401E-4</v>
      </c>
      <c r="O542" s="2">
        <v>2.961246E-4</v>
      </c>
      <c r="P542" s="2">
        <v>3.132991E-4</v>
      </c>
      <c r="Q542" s="2">
        <v>3.35810299999999E-4</v>
      </c>
      <c r="R542" s="2">
        <v>3.55489999999999E-4</v>
      </c>
      <c r="S542" s="2">
        <v>3.698855E-4</v>
      </c>
    </row>
    <row r="543" ht="14.25" hidden="1" customHeight="1">
      <c r="A543" s="1" t="s">
        <v>5</v>
      </c>
      <c r="B543" s="1" t="s">
        <v>46</v>
      </c>
      <c r="C543" s="1" t="s">
        <v>21</v>
      </c>
      <c r="D543" s="1" t="s">
        <v>24</v>
      </c>
      <c r="E543" s="2">
        <v>8.84901999999999E-4</v>
      </c>
      <c r="F543" s="1">
        <v>0.0027529</v>
      </c>
      <c r="G543" s="1">
        <v>0.003449701</v>
      </c>
      <c r="H543" s="1">
        <v>0.005089562</v>
      </c>
      <c r="I543" s="1">
        <v>0.004053515</v>
      </c>
      <c r="J543" s="1">
        <v>0.004308989</v>
      </c>
      <c r="K543" s="1">
        <v>0.003683695</v>
      </c>
      <c r="L543" s="1">
        <v>0.003570143</v>
      </c>
      <c r="M543" s="1">
        <v>0.003400232</v>
      </c>
      <c r="N543" s="1">
        <v>0.003271155</v>
      </c>
      <c r="O543" s="1">
        <v>0.00311406399999999</v>
      </c>
      <c r="P543" s="1">
        <v>0.003091503</v>
      </c>
      <c r="Q543" s="1">
        <v>0.003052137</v>
      </c>
      <c r="R543" s="1">
        <v>0.002988471</v>
      </c>
      <c r="S543" s="1">
        <v>0.002902497</v>
      </c>
    </row>
    <row r="544" ht="14.25" hidden="1" customHeight="1">
      <c r="A544" s="1" t="s">
        <v>5</v>
      </c>
      <c r="B544" s="1" t="s">
        <v>46</v>
      </c>
      <c r="C544" s="1" t="s">
        <v>21</v>
      </c>
      <c r="D544" s="1" t="s">
        <v>12</v>
      </c>
      <c r="E544" s="2">
        <v>1.09625E-6</v>
      </c>
      <c r="F544" s="2">
        <v>3.30623E-6</v>
      </c>
      <c r="G544" s="2">
        <v>4.19619E-6</v>
      </c>
      <c r="H544" s="2">
        <v>1.26193E-6</v>
      </c>
      <c r="I544" s="2">
        <v>6.31093E-6</v>
      </c>
      <c r="J544" s="2">
        <v>1.05389E-5</v>
      </c>
      <c r="K544" s="2">
        <v>7.26449E-6</v>
      </c>
      <c r="L544" s="2">
        <v>6.88402E-6</v>
      </c>
      <c r="M544" s="2">
        <v>5.99053E-6</v>
      </c>
      <c r="N544" s="2">
        <v>5.73922E-6</v>
      </c>
      <c r="O544" s="2">
        <v>5.40459E-6</v>
      </c>
      <c r="P544" s="2">
        <v>5.22815E-6</v>
      </c>
      <c r="Q544" s="2">
        <v>5.10382E-6</v>
      </c>
      <c r="R544" s="2">
        <v>4.99634E-6</v>
      </c>
      <c r="S544" s="2">
        <v>4.8419E-6</v>
      </c>
    </row>
    <row r="545" ht="14.25" hidden="1" customHeight="1">
      <c r="A545" s="1" t="s">
        <v>5</v>
      </c>
      <c r="B545" s="1" t="s">
        <v>46</v>
      </c>
      <c r="C545" s="1" t="s">
        <v>21</v>
      </c>
      <c r="D545" s="1" t="s">
        <v>13</v>
      </c>
      <c r="E545" s="1">
        <v>0.00288349</v>
      </c>
      <c r="F545" s="1">
        <v>0.00897045</v>
      </c>
      <c r="G545" s="1">
        <v>0.0114065</v>
      </c>
      <c r="H545" s="1">
        <v>0.01099938</v>
      </c>
      <c r="I545" s="1">
        <v>0.0157088599999999</v>
      </c>
      <c r="J545" s="1">
        <v>0.02210216</v>
      </c>
      <c r="K545" s="1">
        <v>0.029672424</v>
      </c>
      <c r="L545" s="1">
        <v>0.03895824</v>
      </c>
      <c r="M545" s="1">
        <v>0.04911885</v>
      </c>
      <c r="N545" s="1">
        <v>0.06026772</v>
      </c>
      <c r="O545" s="1">
        <v>0.07004429</v>
      </c>
      <c r="P545" s="1">
        <v>0.07888067</v>
      </c>
      <c r="Q545" s="1">
        <v>0.08699306</v>
      </c>
      <c r="R545" s="1">
        <v>0.09439992</v>
      </c>
      <c r="S545" s="1">
        <v>0.10115037</v>
      </c>
    </row>
    <row r="546" ht="14.25" hidden="1" customHeight="1">
      <c r="A546" s="1" t="s">
        <v>5</v>
      </c>
      <c r="B546" s="1" t="s">
        <v>46</v>
      </c>
      <c r="C546" s="1" t="s">
        <v>21</v>
      </c>
      <c r="D546" s="1" t="s">
        <v>14</v>
      </c>
      <c r="E546" s="2">
        <v>1.09001E-5</v>
      </c>
      <c r="F546" s="2">
        <v>3.40002E-5</v>
      </c>
      <c r="G546" s="2">
        <v>4.32E-5</v>
      </c>
      <c r="H546" s="1">
        <v>0.0029612498</v>
      </c>
      <c r="I546" s="1">
        <v>0.00159064</v>
      </c>
      <c r="J546" s="2">
        <v>2.310021E-4</v>
      </c>
      <c r="K546" s="2">
        <v>6.82424E-5</v>
      </c>
      <c r="L546" s="2">
        <v>3.89185E-5</v>
      </c>
      <c r="M546" s="2">
        <v>4.88671E-5</v>
      </c>
      <c r="N546" s="2">
        <v>5.1775E-5</v>
      </c>
      <c r="O546" s="2">
        <v>5.61506E-5</v>
      </c>
      <c r="P546" s="2">
        <v>6.31175E-5</v>
      </c>
      <c r="Q546" s="2">
        <v>6.70074E-5</v>
      </c>
      <c r="R546" s="2">
        <v>7.14088E-5</v>
      </c>
      <c r="S546" s="2">
        <v>7.62909E-5</v>
      </c>
    </row>
    <row r="547" ht="14.25" hidden="1" customHeight="1">
      <c r="A547" s="1" t="s">
        <v>5</v>
      </c>
      <c r="B547" s="1" t="s">
        <v>46</v>
      </c>
      <c r="C547" s="1" t="s">
        <v>21</v>
      </c>
      <c r="D547" s="1" t="s">
        <v>25</v>
      </c>
      <c r="E547" s="2">
        <v>4.37E-5</v>
      </c>
      <c r="F547" s="2">
        <v>1.359E-4</v>
      </c>
      <c r="G547" s="2">
        <v>1.728E-4</v>
      </c>
      <c r="H547" s="2">
        <v>2.08954E-4</v>
      </c>
      <c r="I547" s="2">
        <v>2.776618E-4</v>
      </c>
      <c r="J547" s="2">
        <v>3.08198E-4</v>
      </c>
      <c r="K547" s="2">
        <v>2.87786E-4</v>
      </c>
      <c r="L547" s="2">
        <v>2.73825E-4</v>
      </c>
      <c r="M547" s="2">
        <v>2.405748E-4</v>
      </c>
      <c r="N547" s="2">
        <v>2.556403E-4</v>
      </c>
      <c r="O547" s="2">
        <v>2.76413E-4</v>
      </c>
      <c r="P547" s="2">
        <v>3.06397E-4</v>
      </c>
      <c r="Q547" s="2">
        <v>3.38854E-4</v>
      </c>
      <c r="R547" s="2">
        <v>3.70851999999999E-4</v>
      </c>
      <c r="S547" s="2">
        <v>3.98085E-4</v>
      </c>
    </row>
    <row r="548" ht="14.25" hidden="1" customHeight="1">
      <c r="A548" s="1" t="s">
        <v>5</v>
      </c>
      <c r="B548" s="1" t="s">
        <v>46</v>
      </c>
      <c r="C548" s="1" t="s">
        <v>21</v>
      </c>
      <c r="D548" s="1" t="s">
        <v>26</v>
      </c>
      <c r="E548" s="2">
        <v>1.092246E-4</v>
      </c>
      <c r="F548" s="2">
        <v>3.398077E-4</v>
      </c>
      <c r="G548" s="2">
        <v>4.32100099999999E-4</v>
      </c>
      <c r="H548" s="2">
        <v>6.290483E-4</v>
      </c>
      <c r="I548" s="2">
        <v>8.589549E-4</v>
      </c>
      <c r="J548" s="1">
        <v>0.001568031</v>
      </c>
      <c r="K548" s="1">
        <v>0.001502903</v>
      </c>
      <c r="L548" s="1">
        <v>0.001682643</v>
      </c>
      <c r="M548" s="1">
        <v>0.001764434</v>
      </c>
      <c r="N548" s="1">
        <v>0.002280214</v>
      </c>
      <c r="O548" s="1">
        <v>0.00290387</v>
      </c>
      <c r="P548" s="1">
        <v>0.00368977799999999</v>
      </c>
      <c r="Q548" s="1">
        <v>0.004581397</v>
      </c>
      <c r="R548" s="1">
        <v>0.00556953199999999</v>
      </c>
      <c r="S548" s="1">
        <v>0.00660066</v>
      </c>
    </row>
    <row r="549" ht="14.25" hidden="1" customHeight="1">
      <c r="A549" s="1" t="s">
        <v>5</v>
      </c>
      <c r="B549" s="1" t="s">
        <v>46</v>
      </c>
      <c r="C549" s="1" t="s">
        <v>21</v>
      </c>
      <c r="D549" s="1" t="s">
        <v>27</v>
      </c>
      <c r="E549" s="1">
        <v>0.001243</v>
      </c>
      <c r="F549" s="1">
        <v>0.00386679899999999</v>
      </c>
      <c r="G549" s="1">
        <v>0.0049169</v>
      </c>
      <c r="H549" s="1">
        <v>0.009154497</v>
      </c>
      <c r="I549" s="1">
        <v>0.0131285999999999</v>
      </c>
      <c r="J549" s="1">
        <v>0.01545147</v>
      </c>
      <c r="K549" s="1">
        <v>0.01738932</v>
      </c>
      <c r="L549" s="1">
        <v>0.01939018</v>
      </c>
      <c r="M549" s="1">
        <v>0.0217965</v>
      </c>
      <c r="N549" s="1">
        <v>0.02402948</v>
      </c>
      <c r="O549" s="1">
        <v>0.02607426</v>
      </c>
      <c r="P549" s="1">
        <v>0.0287323999999999</v>
      </c>
      <c r="Q549" s="1">
        <v>0.03138968</v>
      </c>
      <c r="R549" s="1">
        <v>0.03387716</v>
      </c>
      <c r="S549" s="1">
        <v>0.03622738</v>
      </c>
    </row>
    <row r="550" ht="14.25" hidden="1" customHeight="1">
      <c r="A550" s="1" t="s">
        <v>5</v>
      </c>
      <c r="B550" s="1" t="s">
        <v>46</v>
      </c>
      <c r="C550" s="1" t="s">
        <v>21</v>
      </c>
      <c r="D550" s="1" t="s">
        <v>28</v>
      </c>
      <c r="E550" s="2">
        <v>1.1E-6</v>
      </c>
      <c r="F550" s="2">
        <v>3.4E-6</v>
      </c>
      <c r="G550" s="2">
        <v>4.3E-6</v>
      </c>
      <c r="H550" s="2">
        <v>4.69392E-6</v>
      </c>
      <c r="I550" s="2">
        <v>5.93782E-6</v>
      </c>
      <c r="J550" s="2">
        <v>6.31718E-6</v>
      </c>
      <c r="K550" s="2">
        <v>5.91536E-6</v>
      </c>
      <c r="L550" s="2">
        <v>5.5315E-6</v>
      </c>
      <c r="M550" s="2">
        <v>4.82055E-6</v>
      </c>
      <c r="N550" s="2">
        <v>5.10431E-6</v>
      </c>
      <c r="O550" s="2">
        <v>5.51465E-6</v>
      </c>
      <c r="P550" s="2">
        <v>6.11171E-6</v>
      </c>
      <c r="Q550" s="2">
        <v>6.75888E-6</v>
      </c>
      <c r="R550" s="2">
        <v>7.39708E-6</v>
      </c>
      <c r="S550" s="2">
        <v>7.94026E-6</v>
      </c>
    </row>
    <row r="551" ht="14.25" hidden="1" customHeight="1">
      <c r="A551" s="1" t="s">
        <v>5</v>
      </c>
      <c r="B551" s="1" t="s">
        <v>46</v>
      </c>
      <c r="C551" s="1" t="s">
        <v>29</v>
      </c>
      <c r="D551" s="1" t="s">
        <v>16</v>
      </c>
      <c r="E551" s="1">
        <v>0.00698866</v>
      </c>
      <c r="F551" s="1">
        <v>0.0134172</v>
      </c>
      <c r="G551" s="1">
        <v>0.00674717</v>
      </c>
      <c r="H551" s="1">
        <v>0.00816319999999999</v>
      </c>
      <c r="I551" s="1">
        <v>0.00918666</v>
      </c>
      <c r="J551" s="1">
        <v>0.00989543</v>
      </c>
      <c r="K551" s="1">
        <v>0.00980925</v>
      </c>
      <c r="L551" s="1">
        <v>0.00945354</v>
      </c>
      <c r="M551" s="1">
        <v>0.00841759</v>
      </c>
      <c r="N551" s="1">
        <v>0.008326613</v>
      </c>
      <c r="O551" s="1">
        <v>0.008543702</v>
      </c>
      <c r="P551" s="1">
        <v>0.00901299</v>
      </c>
      <c r="Q551" s="1">
        <v>0.009621545</v>
      </c>
      <c r="R551" s="1">
        <v>0.010303671</v>
      </c>
      <c r="S551" s="1">
        <v>0.010907763</v>
      </c>
    </row>
    <row r="552" ht="14.25" hidden="1" customHeight="1">
      <c r="A552" s="1" t="s">
        <v>5</v>
      </c>
      <c r="B552" s="1" t="s">
        <v>46</v>
      </c>
      <c r="C552" s="1" t="s">
        <v>29</v>
      </c>
      <c r="D552" s="1" t="s">
        <v>8</v>
      </c>
      <c r="E552" s="2">
        <v>4.74986E-5</v>
      </c>
      <c r="F552" s="2">
        <v>9.12994E-5</v>
      </c>
      <c r="G552" s="2">
        <v>4.59006E-5</v>
      </c>
      <c r="H552" s="2">
        <v>3.55519149999999E-5</v>
      </c>
      <c r="I552" s="1">
        <v>0.001606981372</v>
      </c>
      <c r="J552" s="1">
        <v>0.00142408397079999</v>
      </c>
      <c r="K552" s="1">
        <v>0.0012057155075</v>
      </c>
      <c r="L552" s="2">
        <v>8.763759441E-4</v>
      </c>
      <c r="M552" s="2">
        <v>5.364701432E-4</v>
      </c>
      <c r="N552" s="2">
        <v>3.1870321E-4</v>
      </c>
      <c r="O552" s="2">
        <v>1.2345749E-4</v>
      </c>
      <c r="P552" s="2">
        <v>1.3294147E-4</v>
      </c>
      <c r="Q552" s="2">
        <v>1.4350968E-4</v>
      </c>
      <c r="R552" s="2">
        <v>1.5380916E-4</v>
      </c>
      <c r="S552" s="2">
        <v>1.6249409E-4</v>
      </c>
    </row>
    <row r="553" ht="14.25" hidden="1" customHeight="1">
      <c r="A553" s="1" t="s">
        <v>5</v>
      </c>
      <c r="B553" s="1" t="s">
        <v>46</v>
      </c>
      <c r="C553" s="1" t="s">
        <v>29</v>
      </c>
      <c r="D553" s="1" t="s">
        <v>10</v>
      </c>
      <c r="E553" s="2">
        <v>2.39002E-5</v>
      </c>
      <c r="F553" s="2">
        <v>4.58004E-5</v>
      </c>
      <c r="G553" s="2">
        <v>5.06E-5</v>
      </c>
      <c r="H553" s="1">
        <v>0.0019605675</v>
      </c>
      <c r="I553" s="1">
        <v>0.0017165432</v>
      </c>
      <c r="J553" s="1">
        <v>0.0014215203523</v>
      </c>
      <c r="K553" s="1">
        <v>0.00100313244493999</v>
      </c>
      <c r="L553" s="2">
        <v>5.7549697252E-4</v>
      </c>
      <c r="M553" s="2">
        <v>2.7579873615E-4</v>
      </c>
      <c r="N553" s="2">
        <v>1.859655978E-5</v>
      </c>
      <c r="O553" s="2">
        <v>1.3790727352E-5</v>
      </c>
      <c r="P553" s="2">
        <v>1.098117E-5</v>
      </c>
      <c r="Q553" s="2">
        <v>8.265035E-6</v>
      </c>
      <c r="R553" s="2">
        <v>7.09528E-6</v>
      </c>
      <c r="S553" s="2">
        <v>6.391384E-6</v>
      </c>
    </row>
    <row r="554" ht="14.25" hidden="1" customHeight="1">
      <c r="A554" s="1" t="s">
        <v>5</v>
      </c>
      <c r="B554" s="1" t="s">
        <v>46</v>
      </c>
      <c r="C554" s="1" t="s">
        <v>29</v>
      </c>
      <c r="D554" s="1" t="s">
        <v>11</v>
      </c>
      <c r="E554" s="1">
        <v>0.00517635</v>
      </c>
      <c r="F554" s="1">
        <v>0.00993779</v>
      </c>
      <c r="G554" s="1">
        <v>0.0109793</v>
      </c>
      <c r="H554" s="1">
        <v>0.008588195</v>
      </c>
      <c r="I554" s="1">
        <v>0.0105303938999999</v>
      </c>
      <c r="J554" s="1">
        <v>0.0118784667</v>
      </c>
      <c r="K554" s="1">
        <v>0.0123390824</v>
      </c>
      <c r="L554" s="1">
        <v>0.011956528</v>
      </c>
      <c r="M554" s="1">
        <v>0.0100912538</v>
      </c>
      <c r="N554" s="1">
        <v>0.009667687</v>
      </c>
      <c r="O554" s="1">
        <v>0.009056854</v>
      </c>
      <c r="P554" s="1">
        <v>0.0087073</v>
      </c>
      <c r="Q554" s="1">
        <v>0.00847492899999999</v>
      </c>
      <c r="R554" s="1">
        <v>0.008275793</v>
      </c>
      <c r="S554" s="1">
        <v>0.008060113</v>
      </c>
    </row>
    <row r="555" ht="14.25" hidden="1" customHeight="1">
      <c r="A555" s="1" t="s">
        <v>5</v>
      </c>
      <c r="B555" s="1" t="s">
        <v>46</v>
      </c>
      <c r="C555" s="1" t="s">
        <v>29</v>
      </c>
      <c r="D555" s="1" t="s">
        <v>13</v>
      </c>
      <c r="E555" s="2">
        <v>2.4E-5</v>
      </c>
      <c r="F555" s="2">
        <v>4.59997E-5</v>
      </c>
      <c r="G555" s="2">
        <v>3.01999E-5</v>
      </c>
      <c r="H555" s="1">
        <v>0.0217409109</v>
      </c>
      <c r="I555" s="1">
        <v>0.0200478943</v>
      </c>
      <c r="J555" s="1">
        <v>0.0205392399</v>
      </c>
      <c r="K555" s="1">
        <v>0.0224039835999999</v>
      </c>
      <c r="L555" s="1">
        <v>0.02289386597</v>
      </c>
      <c r="M555" s="1">
        <v>0.023209267</v>
      </c>
      <c r="N555" s="1">
        <v>0.021820544</v>
      </c>
      <c r="O555" s="1">
        <v>0.022033982</v>
      </c>
      <c r="P555" s="1">
        <v>0.0217409529999999</v>
      </c>
      <c r="Q555" s="1">
        <v>0.0217416439999999</v>
      </c>
      <c r="R555" s="1">
        <v>0.0221138369999999</v>
      </c>
      <c r="S555" s="1">
        <v>0.022571257</v>
      </c>
    </row>
    <row r="556" ht="14.25" hidden="1" customHeight="1">
      <c r="A556" s="1" t="s">
        <v>5</v>
      </c>
      <c r="B556" s="1" t="s">
        <v>46</v>
      </c>
      <c r="C556" s="1" t="s">
        <v>29</v>
      </c>
      <c r="D556" s="1" t="s">
        <v>14</v>
      </c>
      <c r="E556" s="1">
        <v>0.0250226</v>
      </c>
      <c r="F556" s="1">
        <v>0.0480393</v>
      </c>
      <c r="G556" s="1">
        <v>0.0315235</v>
      </c>
      <c r="H556" s="1">
        <v>0.02653581</v>
      </c>
      <c r="I556" s="1">
        <v>0.03260254</v>
      </c>
      <c r="J556" s="1">
        <v>0.0292953699999999</v>
      </c>
      <c r="K556" s="1">
        <v>0.02463544</v>
      </c>
      <c r="L556" s="1">
        <v>0.0199618879999999</v>
      </c>
      <c r="M556" s="1">
        <v>0.012742265</v>
      </c>
      <c r="N556" s="1">
        <v>0.012696442</v>
      </c>
      <c r="O556" s="1">
        <v>0.0134141249999999</v>
      </c>
      <c r="P556" s="1">
        <v>0.015333993</v>
      </c>
      <c r="Q556" s="1">
        <v>0.0173210509999999</v>
      </c>
      <c r="R556" s="1">
        <v>0.019384608</v>
      </c>
      <c r="S556" s="1">
        <v>0.021282465</v>
      </c>
    </row>
    <row r="557" ht="14.25" hidden="1" customHeight="1">
      <c r="A557" s="1" t="s">
        <v>5</v>
      </c>
      <c r="B557" s="1" t="s">
        <v>46</v>
      </c>
      <c r="C557" s="1" t="s">
        <v>31</v>
      </c>
      <c r="D557" s="1" t="s">
        <v>11</v>
      </c>
      <c r="E557" s="1">
        <v>0.0101223</v>
      </c>
      <c r="F557" s="1">
        <v>0.0118599</v>
      </c>
      <c r="G557" s="1">
        <v>0.0126056</v>
      </c>
      <c r="H557" s="1">
        <v>0.0</v>
      </c>
      <c r="I557" s="1">
        <v>0.0</v>
      </c>
      <c r="J557" s="1">
        <v>0.0</v>
      </c>
      <c r="K557" s="1">
        <v>0.0</v>
      </c>
      <c r="L557" s="1">
        <v>0.0</v>
      </c>
      <c r="M557" s="1">
        <v>0.0</v>
      </c>
      <c r="N557" s="1">
        <v>0.0</v>
      </c>
      <c r="O557" s="1">
        <v>0.0</v>
      </c>
      <c r="P557" s="1">
        <v>0.0</v>
      </c>
      <c r="Q557" s="1">
        <v>0.0</v>
      </c>
      <c r="R557" s="1">
        <v>0.0</v>
      </c>
      <c r="S557" s="1">
        <v>0.0</v>
      </c>
    </row>
    <row r="558" ht="14.25" hidden="1" customHeight="1">
      <c r="A558" s="1" t="s">
        <v>5</v>
      </c>
      <c r="B558" s="1" t="s">
        <v>47</v>
      </c>
      <c r="C558" s="1" t="s">
        <v>7</v>
      </c>
      <c r="D558" s="1" t="s">
        <v>8</v>
      </c>
      <c r="E558" s="1">
        <v>0.00977465</v>
      </c>
      <c r="F558" s="1">
        <v>0.0124445</v>
      </c>
      <c r="G558" s="1">
        <v>0.0133178</v>
      </c>
      <c r="H558" s="1">
        <v>0.00191834</v>
      </c>
      <c r="I558" s="1">
        <v>0.00218983</v>
      </c>
      <c r="J558" s="2">
        <v>2.0805E-4</v>
      </c>
      <c r="K558" s="2">
        <v>1.57474E-4</v>
      </c>
      <c r="L558" s="2">
        <v>1.37224E-4</v>
      </c>
      <c r="M558" s="2">
        <v>9.14563E-5</v>
      </c>
      <c r="N558" s="2">
        <v>5.10972E-5</v>
      </c>
      <c r="O558" s="1">
        <v>0.0</v>
      </c>
      <c r="P558" s="1">
        <v>0.0</v>
      </c>
      <c r="Q558" s="1">
        <v>0.0</v>
      </c>
      <c r="R558" s="1">
        <v>0.0</v>
      </c>
      <c r="S558" s="1">
        <v>0.0</v>
      </c>
    </row>
    <row r="559" ht="14.25" hidden="1" customHeight="1">
      <c r="A559" s="1" t="s">
        <v>5</v>
      </c>
      <c r="B559" s="1" t="s">
        <v>47</v>
      </c>
      <c r="C559" s="1" t="s">
        <v>9</v>
      </c>
      <c r="D559" s="1" t="s">
        <v>8</v>
      </c>
      <c r="E559" s="1">
        <v>0.00180539</v>
      </c>
      <c r="F559" s="1">
        <v>0.0015834</v>
      </c>
      <c r="G559" s="1">
        <v>0.00232888</v>
      </c>
      <c r="H559" s="2">
        <v>1.9375E-4</v>
      </c>
      <c r="I559" s="1">
        <v>0.00528743</v>
      </c>
      <c r="J559" s="1">
        <v>0.0</v>
      </c>
      <c r="K559" s="1">
        <v>0.0</v>
      </c>
      <c r="L559" s="1">
        <v>0.0</v>
      </c>
      <c r="M559" s="1">
        <v>0.0</v>
      </c>
      <c r="N559" s="1">
        <v>0.0</v>
      </c>
      <c r="O559" s="1">
        <v>0.0</v>
      </c>
      <c r="P559" s="1">
        <v>0.0</v>
      </c>
      <c r="Q559" s="1">
        <v>0.0</v>
      </c>
      <c r="R559" s="1">
        <v>0.0</v>
      </c>
      <c r="S559" s="1">
        <v>0.0</v>
      </c>
    </row>
    <row r="560" ht="14.25" hidden="1" customHeight="1">
      <c r="A560" s="1" t="s">
        <v>5</v>
      </c>
      <c r="B560" s="1" t="s">
        <v>47</v>
      </c>
      <c r="C560" s="1" t="s">
        <v>9</v>
      </c>
      <c r="D560" s="1" t="s">
        <v>10</v>
      </c>
      <c r="E560" s="1">
        <v>0.00550697</v>
      </c>
      <c r="F560" s="1">
        <v>0.00482997</v>
      </c>
      <c r="G560" s="2">
        <v>2.01397E-4</v>
      </c>
      <c r="H560" s="2">
        <v>2.01548E-6</v>
      </c>
      <c r="I560" s="1">
        <v>0.0</v>
      </c>
      <c r="J560" s="1">
        <v>0.00130279</v>
      </c>
      <c r="K560" s="1">
        <v>0.0</v>
      </c>
      <c r="L560" s="1">
        <v>0.0</v>
      </c>
      <c r="M560" s="1">
        <v>0.0</v>
      </c>
      <c r="N560" s="1">
        <v>0.0</v>
      </c>
      <c r="O560" s="1">
        <v>0.0</v>
      </c>
      <c r="P560" s="1">
        <v>0.0</v>
      </c>
      <c r="Q560" s="1">
        <v>0.0</v>
      </c>
      <c r="R560" s="1">
        <v>0.0</v>
      </c>
      <c r="S560" s="1">
        <v>0.0</v>
      </c>
    </row>
    <row r="561" ht="14.25" hidden="1" customHeight="1">
      <c r="A561" s="1" t="s">
        <v>5</v>
      </c>
      <c r="B561" s="1" t="s">
        <v>47</v>
      </c>
      <c r="C561" s="1" t="s">
        <v>9</v>
      </c>
      <c r="D561" s="1" t="s">
        <v>11</v>
      </c>
      <c r="E561" s="1">
        <v>0.00550697</v>
      </c>
      <c r="F561" s="1">
        <v>0.00482993</v>
      </c>
      <c r="G561" s="2">
        <v>2.01401E-4</v>
      </c>
      <c r="H561" s="2">
        <v>1.25881E-5</v>
      </c>
      <c r="I561" s="1">
        <v>0.0</v>
      </c>
      <c r="J561" s="1">
        <v>0.0</v>
      </c>
      <c r="K561" s="1">
        <v>0.0</v>
      </c>
      <c r="L561" s="1">
        <v>0.0</v>
      </c>
      <c r="M561" s="1">
        <v>0.0</v>
      </c>
      <c r="N561" s="1">
        <v>0.0</v>
      </c>
      <c r="O561" s="1">
        <v>0.0</v>
      </c>
      <c r="P561" s="1">
        <v>0.0</v>
      </c>
      <c r="Q561" s="1">
        <v>0.0</v>
      </c>
      <c r="R561" s="1">
        <v>0.0</v>
      </c>
      <c r="S561" s="1">
        <v>0.0</v>
      </c>
    </row>
    <row r="562" ht="14.25" hidden="1" customHeight="1">
      <c r="A562" s="1" t="s">
        <v>5</v>
      </c>
      <c r="B562" s="1" t="s">
        <v>47</v>
      </c>
      <c r="C562" s="1" t="s">
        <v>9</v>
      </c>
      <c r="D562" s="1" t="s">
        <v>12</v>
      </c>
      <c r="E562" s="2">
        <v>5.50667E-4</v>
      </c>
      <c r="F562" s="2">
        <v>4.83108E-4</v>
      </c>
      <c r="G562" s="2">
        <v>2.00574E-5</v>
      </c>
      <c r="H562" s="2">
        <v>4.02399E-5</v>
      </c>
      <c r="I562" s="2">
        <v>2.12794E-5</v>
      </c>
      <c r="J562" s="2">
        <v>3.97951E-6</v>
      </c>
      <c r="K562" s="1">
        <v>0.0</v>
      </c>
      <c r="L562" s="1">
        <v>0.0</v>
      </c>
      <c r="M562" s="1">
        <v>0.0</v>
      </c>
      <c r="N562" s="1">
        <v>0.0</v>
      </c>
      <c r="O562" s="1">
        <v>0.0</v>
      </c>
      <c r="P562" s="1">
        <v>0.0</v>
      </c>
      <c r="Q562" s="1">
        <v>0.0</v>
      </c>
      <c r="R562" s="1">
        <v>0.0</v>
      </c>
      <c r="S562" s="1">
        <v>0.0</v>
      </c>
    </row>
    <row r="563" ht="14.25" hidden="1" customHeight="1">
      <c r="A563" s="1" t="s">
        <v>5</v>
      </c>
      <c r="B563" s="1" t="s">
        <v>47</v>
      </c>
      <c r="C563" s="1" t="s">
        <v>9</v>
      </c>
      <c r="D563" s="1" t="s">
        <v>13</v>
      </c>
      <c r="E563" s="1">
        <v>0.0</v>
      </c>
      <c r="F563" s="1">
        <v>0.0</v>
      </c>
      <c r="G563" s="1">
        <v>0.0</v>
      </c>
      <c r="H563" s="1">
        <v>0.00235902</v>
      </c>
      <c r="I563" s="1">
        <v>0.0</v>
      </c>
      <c r="J563" s="1">
        <v>0.0</v>
      </c>
      <c r="K563" s="1">
        <v>0.0</v>
      </c>
      <c r="L563" s="1">
        <v>0.0</v>
      </c>
      <c r="M563" s="1">
        <v>0.0</v>
      </c>
      <c r="N563" s="1">
        <v>0.0</v>
      </c>
      <c r="O563" s="1">
        <v>0.0</v>
      </c>
      <c r="P563" s="1">
        <v>0.0</v>
      </c>
      <c r="Q563" s="1">
        <v>0.0</v>
      </c>
      <c r="R563" s="1">
        <v>0.0</v>
      </c>
      <c r="S563" s="1">
        <v>0.0</v>
      </c>
    </row>
    <row r="564" ht="14.25" hidden="1" customHeight="1">
      <c r="A564" s="1" t="s">
        <v>5</v>
      </c>
      <c r="B564" s="1" t="s">
        <v>47</v>
      </c>
      <c r="C564" s="1" t="s">
        <v>15</v>
      </c>
      <c r="D564" s="1" t="s">
        <v>16</v>
      </c>
      <c r="E564" s="1">
        <v>0.0</v>
      </c>
      <c r="F564" s="1">
        <v>0.0</v>
      </c>
      <c r="G564" s="1">
        <v>0.0</v>
      </c>
      <c r="H564" s="1">
        <v>0.0</v>
      </c>
      <c r="I564" s="1">
        <v>0.0010702</v>
      </c>
      <c r="J564" s="1">
        <v>0.004264421</v>
      </c>
      <c r="K564" s="1">
        <v>0.007618117</v>
      </c>
      <c r="L564" s="1">
        <v>0.011654949</v>
      </c>
      <c r="M564" s="1">
        <v>0.016707151</v>
      </c>
      <c r="N564" s="1">
        <v>0.021454726</v>
      </c>
      <c r="O564" s="1">
        <v>0.026020766</v>
      </c>
      <c r="P564" s="1">
        <v>0.030645249</v>
      </c>
      <c r="Q564" s="1">
        <v>0.035050908</v>
      </c>
      <c r="R564" s="1">
        <v>0.039198756</v>
      </c>
      <c r="S564" s="1">
        <v>0.04314201</v>
      </c>
    </row>
    <row r="565" ht="14.25" customHeight="1">
      <c r="A565" s="1" t="s">
        <v>5</v>
      </c>
      <c r="B565" s="1" t="s">
        <v>47</v>
      </c>
      <c r="C565" s="1" t="s">
        <v>15</v>
      </c>
      <c r="D565" s="1" t="s">
        <v>14</v>
      </c>
      <c r="E565" s="1">
        <v>0.0</v>
      </c>
      <c r="F565" s="1">
        <v>0.0</v>
      </c>
      <c r="G565" s="1">
        <v>0.0</v>
      </c>
      <c r="H565" s="1">
        <v>0.0</v>
      </c>
      <c r="I565" s="2">
        <v>5.82299E-4</v>
      </c>
      <c r="J565" s="1">
        <v>0.00520372</v>
      </c>
      <c r="K565" s="1">
        <v>0.00951845399999999</v>
      </c>
      <c r="L565" s="1">
        <v>0.01333086</v>
      </c>
      <c r="M565" s="1">
        <v>0.016553775</v>
      </c>
      <c r="N565" s="1">
        <v>0.0179420895</v>
      </c>
      <c r="O565" s="1">
        <v>0.019036886</v>
      </c>
      <c r="P565" s="1">
        <v>0.019439321</v>
      </c>
      <c r="Q565" s="1">
        <v>0.019759472</v>
      </c>
      <c r="R565" s="1">
        <v>0.019945109</v>
      </c>
      <c r="S565" s="1">
        <v>0.020027669</v>
      </c>
    </row>
    <row r="566" ht="14.25" hidden="1" customHeight="1">
      <c r="A566" s="1" t="s">
        <v>5</v>
      </c>
      <c r="B566" s="1" t="s">
        <v>47</v>
      </c>
      <c r="C566" s="1" t="s">
        <v>17</v>
      </c>
      <c r="D566" s="1" t="s">
        <v>16</v>
      </c>
      <c r="E566" s="2">
        <v>1.06999E-5</v>
      </c>
      <c r="F566" s="2">
        <v>3.33E-5</v>
      </c>
      <c r="G566" s="2">
        <v>5.05012E-5</v>
      </c>
      <c r="H566" s="2">
        <v>2.344513E-4</v>
      </c>
      <c r="I566" s="2">
        <v>2.04145269999999E-4</v>
      </c>
      <c r="J566" s="2">
        <v>2.79214E-4</v>
      </c>
      <c r="K566" s="2">
        <v>2.73360887E-4</v>
      </c>
      <c r="L566" s="2">
        <v>2.70071377E-4</v>
      </c>
      <c r="M566" s="2">
        <v>2.87755187E-4</v>
      </c>
      <c r="N566" s="2">
        <v>3.10801675E-4</v>
      </c>
      <c r="O566" s="2">
        <v>3.609387E-4</v>
      </c>
      <c r="P566" s="2">
        <v>4.1865561E-4</v>
      </c>
      <c r="Q566" s="2">
        <v>4.7641998E-4</v>
      </c>
      <c r="R566" s="2">
        <v>5.339111E-4</v>
      </c>
      <c r="S566" s="2">
        <v>5.905423E-4</v>
      </c>
    </row>
    <row r="567" ht="14.25" hidden="1" customHeight="1">
      <c r="A567" s="1" t="s">
        <v>5</v>
      </c>
      <c r="B567" s="1" t="s">
        <v>47</v>
      </c>
      <c r="C567" s="1" t="s">
        <v>17</v>
      </c>
      <c r="D567" s="1" t="s">
        <v>18</v>
      </c>
      <c r="E567" s="1">
        <v>0.001246</v>
      </c>
      <c r="F567" s="1">
        <v>0.00387631</v>
      </c>
      <c r="G567" s="1">
        <v>0.00588338</v>
      </c>
      <c r="H567" s="1">
        <v>0.00428573</v>
      </c>
      <c r="I567" s="1">
        <v>0.00277788</v>
      </c>
      <c r="J567" s="1">
        <v>0.00861740999999999</v>
      </c>
      <c r="K567" s="1">
        <v>0.01134701</v>
      </c>
      <c r="L567" s="1">
        <v>0.014262322</v>
      </c>
      <c r="M567" s="1">
        <v>0.01710761</v>
      </c>
      <c r="N567" s="1">
        <v>0.01993766</v>
      </c>
      <c r="O567" s="1">
        <v>0.0225467119999999</v>
      </c>
      <c r="P567" s="1">
        <v>0.0249756839999999</v>
      </c>
      <c r="Q567" s="1">
        <v>0.027195373</v>
      </c>
      <c r="R567" s="1">
        <v>0.029193629</v>
      </c>
      <c r="S567" s="1">
        <v>0.030818431</v>
      </c>
    </row>
    <row r="568" ht="14.25" hidden="1" customHeight="1">
      <c r="A568" s="1" t="s">
        <v>5</v>
      </c>
      <c r="B568" s="1" t="s">
        <v>47</v>
      </c>
      <c r="C568" s="1" t="s">
        <v>17</v>
      </c>
      <c r="D568" s="1" t="s">
        <v>19</v>
      </c>
      <c r="E568" s="2">
        <v>5.67403E-4</v>
      </c>
      <c r="F568" s="1">
        <v>0.001765</v>
      </c>
      <c r="G568" s="1">
        <v>0.0026789</v>
      </c>
      <c r="H568" s="1">
        <v>0.00330448</v>
      </c>
      <c r="I568" s="2">
        <v>9.84344E-4</v>
      </c>
      <c r="J568" s="1">
        <v>0.005531577</v>
      </c>
      <c r="K568" s="1">
        <v>0.00725440399999999</v>
      </c>
      <c r="L568" s="1">
        <v>0.00921393</v>
      </c>
      <c r="M568" s="1">
        <v>0.01121524</v>
      </c>
      <c r="N568" s="1">
        <v>0.01331322</v>
      </c>
      <c r="O568" s="1">
        <v>0.01547959</v>
      </c>
      <c r="P568" s="1">
        <v>0.01766781</v>
      </c>
      <c r="Q568" s="1">
        <v>0.0198090499999999</v>
      </c>
      <c r="R568" s="1">
        <v>0.02184061</v>
      </c>
      <c r="S568" s="1">
        <v>0.02371371</v>
      </c>
    </row>
    <row r="569" ht="14.25" hidden="1" customHeight="1">
      <c r="A569" s="1" t="s">
        <v>5</v>
      </c>
      <c r="B569" s="1" t="s">
        <v>47</v>
      </c>
      <c r="C569" s="1" t="s">
        <v>17</v>
      </c>
      <c r="D569" s="1" t="s">
        <v>8</v>
      </c>
      <c r="E569" s="2">
        <v>2.50499E-4</v>
      </c>
      <c r="F569" s="2">
        <v>7.79301E-4</v>
      </c>
      <c r="G569" s="1">
        <v>0.00118269</v>
      </c>
      <c r="H569" s="1">
        <v>0.00412607899999999</v>
      </c>
      <c r="I569" s="1">
        <v>0.0029594922749</v>
      </c>
      <c r="J569" s="1">
        <v>0.0116152320314</v>
      </c>
      <c r="K569" s="1">
        <v>0.0161807661374</v>
      </c>
      <c r="L569" s="1">
        <v>0.0212456372434099</v>
      </c>
      <c r="M569" s="1">
        <v>0.02622906</v>
      </c>
      <c r="N569" s="1">
        <v>0.03117548</v>
      </c>
      <c r="O569" s="1">
        <v>0.03618933</v>
      </c>
      <c r="P569" s="1">
        <v>0.0410572</v>
      </c>
      <c r="Q569" s="1">
        <v>0.04574947</v>
      </c>
      <c r="R569" s="1">
        <v>0.05012305</v>
      </c>
      <c r="S569" s="1">
        <v>0.05408256</v>
      </c>
    </row>
    <row r="570" ht="14.25" hidden="1" customHeight="1">
      <c r="A570" s="1" t="s">
        <v>5</v>
      </c>
      <c r="B570" s="1" t="s">
        <v>47</v>
      </c>
      <c r="C570" s="1" t="s">
        <v>17</v>
      </c>
      <c r="D570" s="1" t="s">
        <v>20</v>
      </c>
      <c r="E570" s="2">
        <v>1.88421E-4</v>
      </c>
      <c r="F570" s="2">
        <v>5.86316E-4</v>
      </c>
      <c r="G570" s="2">
        <v>8.89474E-4</v>
      </c>
      <c r="H570" s="1">
        <v>0.001123742</v>
      </c>
      <c r="I570" s="2">
        <v>6.45245E-4</v>
      </c>
      <c r="J570" s="1">
        <v>0.001954902</v>
      </c>
      <c r="K570" s="1">
        <v>0.00259324</v>
      </c>
      <c r="L570" s="1">
        <v>0.003222986</v>
      </c>
      <c r="M570" s="1">
        <v>0.003885915</v>
      </c>
      <c r="N570" s="1">
        <v>0.004587145</v>
      </c>
      <c r="O570" s="1">
        <v>0.005302129</v>
      </c>
      <c r="P570" s="1">
        <v>0.00601015</v>
      </c>
      <c r="Q570" s="1">
        <v>0.00669501999999999</v>
      </c>
      <c r="R570" s="1">
        <v>0.00733539</v>
      </c>
      <c r="S570" s="1">
        <v>0.00791275</v>
      </c>
    </row>
    <row r="571" ht="14.25" hidden="1" customHeight="1">
      <c r="A571" s="1" t="s">
        <v>5</v>
      </c>
      <c r="B571" s="1" t="s">
        <v>47</v>
      </c>
      <c r="C571" s="1" t="s">
        <v>21</v>
      </c>
      <c r="D571" s="1" t="s">
        <v>10</v>
      </c>
      <c r="E571" s="1">
        <v>0.0010046</v>
      </c>
      <c r="F571" s="1">
        <v>0.00312514</v>
      </c>
      <c r="G571" s="1">
        <v>0.00575352</v>
      </c>
      <c r="H571" s="1">
        <v>0.00537056</v>
      </c>
      <c r="I571" s="1">
        <v>0.0038069</v>
      </c>
      <c r="J571" s="1">
        <v>0.00269575791</v>
      </c>
      <c r="K571" s="1">
        <v>0.001466964316</v>
      </c>
      <c r="L571" s="2">
        <v>5.62773623999999E-4</v>
      </c>
      <c r="M571" s="2">
        <v>5.73288245999999E-4</v>
      </c>
      <c r="N571" s="2">
        <v>6.971598E-4</v>
      </c>
      <c r="O571" s="2">
        <v>6.969987E-4</v>
      </c>
      <c r="P571" s="2">
        <v>7.059233E-4</v>
      </c>
      <c r="Q571" s="2">
        <v>7.093419E-4</v>
      </c>
      <c r="R571" s="2">
        <v>7.06513E-4</v>
      </c>
      <c r="S571" s="2">
        <v>7.00135E-4</v>
      </c>
    </row>
    <row r="572" ht="14.25" hidden="1" customHeight="1">
      <c r="A572" s="1" t="s">
        <v>5</v>
      </c>
      <c r="B572" s="1" t="s">
        <v>47</v>
      </c>
      <c r="C572" s="1" t="s">
        <v>21</v>
      </c>
      <c r="D572" s="1" t="s">
        <v>11</v>
      </c>
      <c r="E572" s="2">
        <v>1.06999E-5</v>
      </c>
      <c r="F572" s="2">
        <v>3.32002E-5</v>
      </c>
      <c r="G572" s="2">
        <v>6.12002E-5</v>
      </c>
      <c r="H572" s="2">
        <v>1.027566E-4</v>
      </c>
      <c r="I572" s="2">
        <v>3.20903E-5</v>
      </c>
      <c r="J572" s="1">
        <v>0.0</v>
      </c>
      <c r="K572" s="1">
        <v>0.0</v>
      </c>
      <c r="L572" s="1">
        <v>0.0</v>
      </c>
      <c r="M572" s="2">
        <v>5.23258E-6</v>
      </c>
      <c r="N572" s="2">
        <v>3.06425799999999E-6</v>
      </c>
      <c r="O572" s="2">
        <v>1.128251E-6</v>
      </c>
      <c r="P572" s="2">
        <v>1.414966E-6</v>
      </c>
      <c r="Q572" s="2">
        <v>1.635592E-6</v>
      </c>
      <c r="R572" s="2">
        <v>1.58674E-6</v>
      </c>
      <c r="S572" s="2">
        <v>1.622471E-6</v>
      </c>
    </row>
    <row r="573" ht="14.25" hidden="1" customHeight="1">
      <c r="A573" s="1" t="s">
        <v>5</v>
      </c>
      <c r="B573" s="1" t="s">
        <v>47</v>
      </c>
      <c r="C573" s="1" t="s">
        <v>21</v>
      </c>
      <c r="D573" s="1" t="s">
        <v>22</v>
      </c>
      <c r="E573" s="2">
        <v>1.07E-5</v>
      </c>
      <c r="F573" s="2">
        <v>3.32E-5</v>
      </c>
      <c r="G573" s="2">
        <v>6.12E-5</v>
      </c>
      <c r="H573" s="2">
        <v>5.64475E-5</v>
      </c>
      <c r="I573" s="2">
        <v>3.19427E-5</v>
      </c>
      <c r="J573" s="2">
        <v>4.38191E-5</v>
      </c>
      <c r="K573" s="2">
        <v>1.9737292E-5</v>
      </c>
      <c r="L573" s="2">
        <v>7.424904E-6</v>
      </c>
      <c r="M573" s="2">
        <v>4.080789E-6</v>
      </c>
      <c r="N573" s="2">
        <v>3.9593681E-6</v>
      </c>
      <c r="O573" s="2">
        <v>3.96347E-6</v>
      </c>
      <c r="P573" s="2">
        <v>3.95684E-6</v>
      </c>
      <c r="Q573" s="2">
        <v>3.95584999999999E-6</v>
      </c>
      <c r="R573" s="2">
        <v>3.96657E-6</v>
      </c>
      <c r="S573" s="2">
        <v>3.91236E-6</v>
      </c>
    </row>
    <row r="574" ht="14.25" hidden="1" customHeight="1">
      <c r="A574" s="1" t="s">
        <v>5</v>
      </c>
      <c r="B574" s="1" t="s">
        <v>47</v>
      </c>
      <c r="C574" s="1" t="s">
        <v>21</v>
      </c>
      <c r="D574" s="1" t="s">
        <v>23</v>
      </c>
      <c r="E574" s="2">
        <v>4.271775E-5</v>
      </c>
      <c r="F574" s="2">
        <v>1.330139E-4</v>
      </c>
      <c r="G574" s="2">
        <v>2.44802499999999E-4</v>
      </c>
      <c r="H574" s="2">
        <v>2.188126E-4</v>
      </c>
      <c r="I574" s="2">
        <v>1.70493E-4</v>
      </c>
      <c r="J574" s="2">
        <v>3.05497619999999E-4</v>
      </c>
      <c r="K574" s="2">
        <v>1.365518E-4</v>
      </c>
      <c r="L574" s="2">
        <v>5.81517999999999E-5</v>
      </c>
      <c r="M574" s="2">
        <v>4.586693E-5</v>
      </c>
      <c r="N574" s="2">
        <v>5.121235E-5</v>
      </c>
      <c r="O574" s="2">
        <v>5.9442E-5</v>
      </c>
      <c r="P574" s="2">
        <v>6.728822E-5</v>
      </c>
      <c r="Q574" s="2">
        <v>7.5393E-5</v>
      </c>
      <c r="R574" s="2">
        <v>8.31725E-5</v>
      </c>
      <c r="S574" s="2">
        <v>8.94741E-5</v>
      </c>
    </row>
    <row r="575" ht="14.25" hidden="1" customHeight="1">
      <c r="A575" s="1" t="s">
        <v>5</v>
      </c>
      <c r="B575" s="1" t="s">
        <v>47</v>
      </c>
      <c r="C575" s="1" t="s">
        <v>21</v>
      </c>
      <c r="D575" s="1" t="s">
        <v>24</v>
      </c>
      <c r="E575" s="2">
        <v>4.59503E-4</v>
      </c>
      <c r="F575" s="1">
        <v>0.001429599</v>
      </c>
      <c r="G575" s="1">
        <v>0.0026319</v>
      </c>
      <c r="H575" s="1">
        <v>0.00258646</v>
      </c>
      <c r="I575" s="1">
        <v>0.001506682</v>
      </c>
      <c r="J575" s="1">
        <v>0.001203449</v>
      </c>
      <c r="K575" s="2">
        <v>5.37569E-4</v>
      </c>
      <c r="L575" s="2">
        <v>1.87553499999999E-4</v>
      </c>
      <c r="M575" s="2">
        <v>1.775939E-4</v>
      </c>
      <c r="N575" s="2">
        <v>1.707252E-4</v>
      </c>
      <c r="O575" s="2">
        <v>1.690484E-4</v>
      </c>
      <c r="P575" s="2">
        <v>1.704427E-4</v>
      </c>
      <c r="Q575" s="2">
        <v>1.71614E-4</v>
      </c>
      <c r="R575" s="2">
        <v>1.716162E-4</v>
      </c>
      <c r="S575" s="2">
        <v>1.708773E-4</v>
      </c>
    </row>
    <row r="576" ht="14.25" hidden="1" customHeight="1">
      <c r="A576" s="1" t="s">
        <v>5</v>
      </c>
      <c r="B576" s="1" t="s">
        <v>47</v>
      </c>
      <c r="C576" s="1" t="s">
        <v>21</v>
      </c>
      <c r="D576" s="1" t="s">
        <v>12</v>
      </c>
      <c r="E576" s="2">
        <v>1.09993E-6</v>
      </c>
      <c r="F576" s="2">
        <v>3.30074E-6</v>
      </c>
      <c r="G576" s="2">
        <v>6.08708E-6</v>
      </c>
      <c r="H576" s="2">
        <v>1.78725E-7</v>
      </c>
      <c r="I576" s="2">
        <v>2.24045E-6</v>
      </c>
      <c r="J576" s="2">
        <v>5.51762E-6</v>
      </c>
      <c r="K576" s="2">
        <v>2.81007E-6</v>
      </c>
      <c r="L576" s="2">
        <v>1.04174E-6</v>
      </c>
      <c r="M576" s="2">
        <v>5.66175E-7</v>
      </c>
      <c r="N576" s="2">
        <v>5.48436E-7</v>
      </c>
      <c r="O576" s="2">
        <v>5.48772E-7</v>
      </c>
      <c r="P576" s="2">
        <v>5.47804E-7</v>
      </c>
      <c r="Q576" s="2">
        <v>5.47659E-7</v>
      </c>
      <c r="R576" s="2">
        <v>5.49142E-7</v>
      </c>
      <c r="S576" s="2">
        <v>5.41636E-7</v>
      </c>
    </row>
    <row r="577" ht="14.25" hidden="1" customHeight="1">
      <c r="A577" s="1" t="s">
        <v>5</v>
      </c>
      <c r="B577" s="1" t="s">
        <v>47</v>
      </c>
      <c r="C577" s="1" t="s">
        <v>21</v>
      </c>
      <c r="D577" s="1" t="s">
        <v>13</v>
      </c>
      <c r="E577" s="1">
        <v>0.0021723</v>
      </c>
      <c r="F577" s="1">
        <v>0.00675789</v>
      </c>
      <c r="G577" s="1">
        <v>0.0107207</v>
      </c>
      <c r="H577" s="1">
        <v>0.01129197</v>
      </c>
      <c r="I577" s="1">
        <v>0.01004619</v>
      </c>
      <c r="J577" s="1">
        <v>0.02174024</v>
      </c>
      <c r="K577" s="1">
        <v>0.030859261</v>
      </c>
      <c r="L577" s="1">
        <v>0.0406921109999999</v>
      </c>
      <c r="M577" s="1">
        <v>0.04674702</v>
      </c>
      <c r="N577" s="1">
        <v>0.05228124</v>
      </c>
      <c r="O577" s="1">
        <v>0.0560250699999999</v>
      </c>
      <c r="P577" s="1">
        <v>0.0594730099999999</v>
      </c>
      <c r="Q577" s="1">
        <v>0.0623472499999999</v>
      </c>
      <c r="R577" s="1">
        <v>0.06452786</v>
      </c>
      <c r="S577" s="1">
        <v>0.06612165</v>
      </c>
    </row>
    <row r="578" ht="14.25" hidden="1" customHeight="1">
      <c r="A578" s="1" t="s">
        <v>5</v>
      </c>
      <c r="B578" s="1" t="s">
        <v>47</v>
      </c>
      <c r="C578" s="1" t="s">
        <v>21</v>
      </c>
      <c r="D578" s="1" t="s">
        <v>14</v>
      </c>
      <c r="E578" s="2">
        <v>1.09001E-5</v>
      </c>
      <c r="F578" s="2">
        <v>3.38002E-5</v>
      </c>
      <c r="G578" s="2">
        <v>5.36004E-5</v>
      </c>
      <c r="H578" s="2">
        <v>1.18135E-5</v>
      </c>
      <c r="I578" s="2">
        <v>7.61338E-4</v>
      </c>
      <c r="J578" s="2">
        <v>3.588599E-4</v>
      </c>
      <c r="K578" s="2">
        <v>1.91581E-5</v>
      </c>
      <c r="L578" s="2">
        <v>1.16930599999999E-5</v>
      </c>
      <c r="M578" s="2">
        <v>1.516706E-5</v>
      </c>
      <c r="N578" s="2">
        <v>1.717228E-5</v>
      </c>
      <c r="O578" s="2">
        <v>2.11083799999999E-5</v>
      </c>
      <c r="P578" s="2">
        <v>2.641907E-5</v>
      </c>
      <c r="Q578" s="2">
        <v>2.993622E-5</v>
      </c>
      <c r="R578" s="2">
        <v>3.326589E-5</v>
      </c>
      <c r="S578" s="2">
        <v>3.66852E-5</v>
      </c>
    </row>
    <row r="579" ht="14.25" hidden="1" customHeight="1">
      <c r="A579" s="1" t="s">
        <v>5</v>
      </c>
      <c r="B579" s="1" t="s">
        <v>47</v>
      </c>
      <c r="C579" s="1" t="s">
        <v>21</v>
      </c>
      <c r="D579" s="1" t="s">
        <v>25</v>
      </c>
      <c r="E579" s="2">
        <v>1.09E-5</v>
      </c>
      <c r="F579" s="2">
        <v>3.38E-5</v>
      </c>
      <c r="G579" s="2">
        <v>5.36E-5</v>
      </c>
      <c r="H579" s="2">
        <v>4.168E-5</v>
      </c>
      <c r="I579" s="2">
        <v>7.990342E-5</v>
      </c>
      <c r="J579" s="2">
        <v>1.145477E-4</v>
      </c>
      <c r="K579" s="2">
        <v>1.066378E-4</v>
      </c>
      <c r="L579" s="2">
        <v>1.06338899999999E-4</v>
      </c>
      <c r="M579" s="2">
        <v>9.13288E-5</v>
      </c>
      <c r="N579" s="2">
        <v>9.00207E-5</v>
      </c>
      <c r="O579" s="2">
        <v>8.95995E-5</v>
      </c>
      <c r="P579" s="2">
        <v>9.44049E-5</v>
      </c>
      <c r="Q579" s="2">
        <v>1.00059999999999E-4</v>
      </c>
      <c r="R579" s="2">
        <v>1.052632E-4</v>
      </c>
      <c r="S579" s="2">
        <v>1.089712E-4</v>
      </c>
    </row>
    <row r="580" ht="14.25" hidden="1" customHeight="1">
      <c r="A580" s="1" t="s">
        <v>5</v>
      </c>
      <c r="B580" s="1" t="s">
        <v>47</v>
      </c>
      <c r="C580" s="1" t="s">
        <v>21</v>
      </c>
      <c r="D580" s="1" t="s">
        <v>26</v>
      </c>
      <c r="E580" s="2">
        <v>8.6898E-5</v>
      </c>
      <c r="F580" s="2">
        <v>2.702923E-4</v>
      </c>
      <c r="G580" s="2">
        <v>4.287912E-4</v>
      </c>
      <c r="H580" s="2">
        <v>3.579331E-4</v>
      </c>
      <c r="I580" s="2">
        <v>6.63231999999999E-4</v>
      </c>
      <c r="J580" s="1">
        <v>0.0015890952</v>
      </c>
      <c r="K580" s="1">
        <v>0.001494315</v>
      </c>
      <c r="L580" s="1">
        <v>0.001757289</v>
      </c>
      <c r="M580" s="1">
        <v>0.001823279</v>
      </c>
      <c r="N580" s="1">
        <v>0.002142869</v>
      </c>
      <c r="O580" s="1">
        <v>0.00249701399999999</v>
      </c>
      <c r="P580" s="1">
        <v>0.003074203</v>
      </c>
      <c r="Q580" s="1">
        <v>0.00374854199999999</v>
      </c>
      <c r="R580" s="1">
        <v>0.004484108</v>
      </c>
      <c r="S580" s="1">
        <v>0.005244659</v>
      </c>
    </row>
    <row r="581" ht="14.25" hidden="1" customHeight="1">
      <c r="A581" s="1" t="s">
        <v>5</v>
      </c>
      <c r="B581" s="1" t="s">
        <v>47</v>
      </c>
      <c r="C581" s="1" t="s">
        <v>21</v>
      </c>
      <c r="D581" s="1" t="s">
        <v>27</v>
      </c>
      <c r="E581" s="2">
        <v>8.44996E-4</v>
      </c>
      <c r="F581" s="1">
        <v>0.0026288</v>
      </c>
      <c r="G581" s="1">
        <v>0.004170401</v>
      </c>
      <c r="H581" s="1">
        <v>0.007350988</v>
      </c>
      <c r="I581" s="1">
        <v>0.007656483</v>
      </c>
      <c r="J581" s="1">
        <v>0.014917795</v>
      </c>
      <c r="K581" s="1">
        <v>0.016299678</v>
      </c>
      <c r="L581" s="1">
        <v>0.01810665</v>
      </c>
      <c r="M581" s="1">
        <v>0.0184376799999999</v>
      </c>
      <c r="N581" s="1">
        <v>0.01863051</v>
      </c>
      <c r="O581" s="1">
        <v>0.01866337</v>
      </c>
      <c r="P581" s="1">
        <v>0.01944388</v>
      </c>
      <c r="Q581" s="1">
        <v>0.0201982299999999</v>
      </c>
      <c r="R581" s="1">
        <v>0.02080332</v>
      </c>
      <c r="S581" s="1">
        <v>0.0212970499999999</v>
      </c>
    </row>
    <row r="582" ht="14.25" hidden="1" customHeight="1">
      <c r="A582" s="1" t="s">
        <v>5</v>
      </c>
      <c r="B582" s="1" t="s">
        <v>47</v>
      </c>
      <c r="C582" s="1" t="s">
        <v>21</v>
      </c>
      <c r="D582" s="1" t="s">
        <v>28</v>
      </c>
      <c r="E582" s="2">
        <v>1.1E-6</v>
      </c>
      <c r="F582" s="2">
        <v>3.4E-6</v>
      </c>
      <c r="G582" s="2">
        <v>5.4E-6</v>
      </c>
      <c r="H582" s="2">
        <v>3.96509E-6</v>
      </c>
      <c r="I582" s="2">
        <v>6.86385E-6</v>
      </c>
      <c r="J582" s="2">
        <v>9.65752E-6</v>
      </c>
      <c r="K582" s="2">
        <v>9.13693E-6</v>
      </c>
      <c r="L582" s="2">
        <v>8.82045E-6</v>
      </c>
      <c r="M582" s="2">
        <v>7.44656E-6</v>
      </c>
      <c r="N582" s="2">
        <v>7.28282E-6</v>
      </c>
      <c r="O582" s="2">
        <v>7.23007E-6</v>
      </c>
      <c r="P582" s="2">
        <v>7.61087E-6</v>
      </c>
      <c r="Q582" s="2">
        <v>8.06506E-6</v>
      </c>
      <c r="R582" s="2">
        <v>8.48406E-6</v>
      </c>
      <c r="S582" s="2">
        <v>8.78285E-6</v>
      </c>
    </row>
    <row r="583" ht="14.25" hidden="1" customHeight="1">
      <c r="A583" s="1" t="s">
        <v>5</v>
      </c>
      <c r="B583" s="1" t="s">
        <v>47</v>
      </c>
      <c r="C583" s="1" t="s">
        <v>29</v>
      </c>
      <c r="D583" s="1" t="s">
        <v>16</v>
      </c>
      <c r="E583" s="1">
        <v>0.00360387</v>
      </c>
      <c r="F583" s="1">
        <v>0.0069189</v>
      </c>
      <c r="G583" s="1">
        <v>0.00474291</v>
      </c>
      <c r="H583" s="1">
        <v>0.00556426</v>
      </c>
      <c r="I583" s="1">
        <v>0.00493100999999999</v>
      </c>
      <c r="J583" s="1">
        <v>0.006464482</v>
      </c>
      <c r="K583" s="1">
        <v>0.006992555</v>
      </c>
      <c r="L583" s="1">
        <v>0.00738630799999999</v>
      </c>
      <c r="M583" s="1">
        <v>0.00724159389999999</v>
      </c>
      <c r="N583" s="1">
        <v>0.007588753</v>
      </c>
      <c r="O583" s="1">
        <v>0.008121866</v>
      </c>
      <c r="P583" s="1">
        <v>0.008687219</v>
      </c>
      <c r="Q583" s="1">
        <v>0.009391113</v>
      </c>
      <c r="R583" s="1">
        <v>0.010146457</v>
      </c>
      <c r="S583" s="1">
        <v>0.010803237</v>
      </c>
    </row>
    <row r="584" ht="14.25" hidden="1" customHeight="1">
      <c r="A584" s="1" t="s">
        <v>5</v>
      </c>
      <c r="B584" s="1" t="s">
        <v>47</v>
      </c>
      <c r="C584" s="1" t="s">
        <v>29</v>
      </c>
      <c r="D584" s="1" t="s">
        <v>8</v>
      </c>
      <c r="E584" s="2">
        <v>4.73998E-5</v>
      </c>
      <c r="F584" s="2">
        <v>9.10002E-5</v>
      </c>
      <c r="G584" s="2">
        <v>6.23996E-5</v>
      </c>
      <c r="H584" s="2">
        <v>4.8342336E-5</v>
      </c>
      <c r="I584" s="1">
        <v>0.001370457646</v>
      </c>
      <c r="J584" s="1">
        <v>0.00124211947</v>
      </c>
      <c r="K584" s="1">
        <v>0.0010810620179</v>
      </c>
      <c r="L584" s="2">
        <v>8.29355566199999E-4</v>
      </c>
      <c r="M584" s="2">
        <v>5.62508089499999E-4</v>
      </c>
      <c r="N584" s="2">
        <v>4.031107E-4</v>
      </c>
      <c r="O584" s="2">
        <v>2.5912849E-4</v>
      </c>
      <c r="P584" s="2">
        <v>2.84378809999999E-4</v>
      </c>
      <c r="Q584" s="2">
        <v>3.1089888E-4</v>
      </c>
      <c r="R584" s="2">
        <v>3.36057159999999E-4</v>
      </c>
      <c r="S584" s="2">
        <v>3.571547E-4</v>
      </c>
    </row>
    <row r="585" ht="14.25" hidden="1" customHeight="1">
      <c r="A585" s="1" t="s">
        <v>5</v>
      </c>
      <c r="B585" s="1" t="s">
        <v>47</v>
      </c>
      <c r="C585" s="1" t="s">
        <v>29</v>
      </c>
      <c r="D585" s="1" t="s">
        <v>10</v>
      </c>
      <c r="E585" s="2">
        <v>2.38999E-5</v>
      </c>
      <c r="F585" s="2">
        <v>4.59006E-5</v>
      </c>
      <c r="G585" s="2">
        <v>1.18998E-5</v>
      </c>
      <c r="H585" s="1">
        <v>0.00131351533</v>
      </c>
      <c r="I585" s="1">
        <v>0.0011059974</v>
      </c>
      <c r="J585" s="2">
        <v>9.4468797524E-4</v>
      </c>
      <c r="K585" s="2">
        <v>6.5907463456E-4</v>
      </c>
      <c r="L585" s="2">
        <v>2.9187495473E-4</v>
      </c>
      <c r="M585" s="2">
        <v>1.7389445262E-4</v>
      </c>
      <c r="N585" s="2">
        <v>1.845997072E-6</v>
      </c>
      <c r="O585" s="2">
        <v>1.48629967699999E-6</v>
      </c>
      <c r="P585" s="2">
        <v>1.14314929999999E-6</v>
      </c>
      <c r="Q585" s="2">
        <v>8.086881E-7</v>
      </c>
      <c r="R585" s="2">
        <v>8.02042799999999E-7</v>
      </c>
      <c r="S585" s="2">
        <v>7.595856E-7</v>
      </c>
    </row>
    <row r="586" ht="14.25" hidden="1" customHeight="1">
      <c r="A586" s="1" t="s">
        <v>5</v>
      </c>
      <c r="B586" s="1" t="s">
        <v>47</v>
      </c>
      <c r="C586" s="1" t="s">
        <v>29</v>
      </c>
      <c r="D586" s="1" t="s">
        <v>11</v>
      </c>
      <c r="E586" s="1">
        <v>0.00968714</v>
      </c>
      <c r="F586" s="1">
        <v>0.0185979</v>
      </c>
      <c r="G586" s="1">
        <v>0.00481082</v>
      </c>
      <c r="H586" s="1">
        <v>0.00371851611</v>
      </c>
      <c r="I586" s="1">
        <v>0.00302225334</v>
      </c>
      <c r="J586" s="1">
        <v>0.00209595723</v>
      </c>
      <c r="K586" s="1">
        <v>0.00115763181</v>
      </c>
      <c r="L586" s="2">
        <v>4.29395278E-4</v>
      </c>
      <c r="M586" s="2">
        <v>1.4451048E-4</v>
      </c>
      <c r="N586" s="2">
        <v>1.48810399999999E-4</v>
      </c>
      <c r="O586" s="2">
        <v>1.51357999999999E-4</v>
      </c>
      <c r="P586" s="2">
        <v>1.507127E-4</v>
      </c>
      <c r="Q586" s="2">
        <v>1.495529E-4</v>
      </c>
      <c r="R586" s="2">
        <v>1.4885585E-4</v>
      </c>
      <c r="S586" s="2">
        <v>1.4750891E-4</v>
      </c>
    </row>
    <row r="587" ht="14.25" hidden="1" customHeight="1">
      <c r="A587" s="1" t="s">
        <v>5</v>
      </c>
      <c r="B587" s="1" t="s">
        <v>47</v>
      </c>
      <c r="C587" s="1" t="s">
        <v>29</v>
      </c>
      <c r="D587" s="1" t="s">
        <v>13</v>
      </c>
      <c r="E587" s="2">
        <v>2.39E-5</v>
      </c>
      <c r="F587" s="2">
        <v>4.59006E-5</v>
      </c>
      <c r="G587" s="2">
        <v>2.97999E-5</v>
      </c>
      <c r="H587" s="1">
        <v>0.0198769022</v>
      </c>
      <c r="I587" s="1">
        <v>0.0211567852</v>
      </c>
      <c r="J587" s="1">
        <v>0.02135811</v>
      </c>
      <c r="K587" s="1">
        <v>0.0219796147</v>
      </c>
      <c r="L587" s="1">
        <v>0.0211415777399999</v>
      </c>
      <c r="M587" s="1">
        <v>0.0193113499999999</v>
      </c>
      <c r="N587" s="1">
        <v>0.016456141</v>
      </c>
      <c r="O587" s="1">
        <v>0.015202768</v>
      </c>
      <c r="P587" s="1">
        <v>0.014055905</v>
      </c>
      <c r="Q587" s="1">
        <v>0.013193215</v>
      </c>
      <c r="R587" s="1">
        <v>0.012720726</v>
      </c>
      <c r="S587" s="1">
        <v>0.01245256</v>
      </c>
    </row>
    <row r="588" ht="14.25" hidden="1" customHeight="1">
      <c r="A588" s="1" t="s">
        <v>5</v>
      </c>
      <c r="B588" s="1" t="s">
        <v>47</v>
      </c>
      <c r="C588" s="1" t="s">
        <v>29</v>
      </c>
      <c r="D588" s="1" t="s">
        <v>14</v>
      </c>
      <c r="E588" s="1">
        <v>0.0110435</v>
      </c>
      <c r="F588" s="1">
        <v>0.0212016</v>
      </c>
      <c r="G588" s="1">
        <v>0.0137668</v>
      </c>
      <c r="H588" s="1">
        <v>0.00537895</v>
      </c>
      <c r="I588" s="1">
        <v>0.01457249</v>
      </c>
      <c r="J588" s="1">
        <v>0.011986161</v>
      </c>
      <c r="K588" s="1">
        <v>0.009316106</v>
      </c>
      <c r="L588" s="1">
        <v>0.00661097699999999</v>
      </c>
      <c r="M588" s="1">
        <v>0.00255660269999999</v>
      </c>
      <c r="N588" s="1">
        <v>0.0020134232</v>
      </c>
      <c r="O588" s="1">
        <v>0.0016950963</v>
      </c>
      <c r="P588" s="1">
        <v>0.0021843143</v>
      </c>
      <c r="Q588" s="1">
        <v>0.0027036689</v>
      </c>
      <c r="R588" s="1">
        <v>0.003255201</v>
      </c>
      <c r="S588" s="1">
        <v>0.0037900802</v>
      </c>
    </row>
    <row r="589" ht="14.25" hidden="1" customHeight="1">
      <c r="A589" s="1" t="s">
        <v>5</v>
      </c>
      <c r="B589" s="1" t="s">
        <v>48</v>
      </c>
      <c r="C589" s="1" t="s">
        <v>7</v>
      </c>
      <c r="D589" s="1" t="s">
        <v>8</v>
      </c>
      <c r="E589" s="2">
        <v>6.00893E-5</v>
      </c>
      <c r="F589" s="2">
        <v>7.6376E-5</v>
      </c>
      <c r="G589" s="2">
        <v>8.1704E-5</v>
      </c>
      <c r="H589" s="2">
        <v>1.14294E-5</v>
      </c>
      <c r="I589" s="2">
        <v>3.91992E-7</v>
      </c>
      <c r="J589" s="2">
        <v>1.66343E-6</v>
      </c>
      <c r="K589" s="2">
        <v>8.06828E-7</v>
      </c>
      <c r="L589" s="2">
        <v>6.74164E-7</v>
      </c>
      <c r="M589" s="2">
        <v>4.48111E-7</v>
      </c>
      <c r="N589" s="2">
        <v>2.56418E-7</v>
      </c>
      <c r="O589" s="1">
        <v>0.0</v>
      </c>
      <c r="P589" s="1">
        <v>0.0</v>
      </c>
      <c r="Q589" s="1">
        <v>0.0</v>
      </c>
      <c r="R589" s="1">
        <v>0.0</v>
      </c>
      <c r="S589" s="1">
        <v>0.0</v>
      </c>
    </row>
    <row r="590" ht="14.25" hidden="1" customHeight="1">
      <c r="A590" s="1" t="s">
        <v>5</v>
      </c>
      <c r="B590" s="1" t="s">
        <v>48</v>
      </c>
      <c r="C590" s="1" t="s">
        <v>9</v>
      </c>
      <c r="D590" s="1" t="s">
        <v>8</v>
      </c>
      <c r="E590" s="2">
        <v>6.61983E-5</v>
      </c>
      <c r="F590" s="2">
        <v>5.79818E-5</v>
      </c>
      <c r="G590" s="2">
        <v>8.51999E-5</v>
      </c>
      <c r="H590" s="2">
        <v>4.42838E-5</v>
      </c>
      <c r="I590" s="2">
        <v>9.60855E-9</v>
      </c>
      <c r="J590" s="1">
        <v>0.0</v>
      </c>
      <c r="K590" s="1">
        <v>0.0</v>
      </c>
      <c r="L590" s="1">
        <v>0.0</v>
      </c>
      <c r="M590" s="1">
        <v>0.0</v>
      </c>
      <c r="N590" s="1">
        <v>0.0</v>
      </c>
      <c r="O590" s="1">
        <v>0.0</v>
      </c>
      <c r="P590" s="1">
        <v>0.0</v>
      </c>
      <c r="Q590" s="1">
        <v>0.0</v>
      </c>
      <c r="R590" s="1">
        <v>0.0</v>
      </c>
      <c r="S590" s="1">
        <v>0.0</v>
      </c>
    </row>
    <row r="591" ht="14.25" hidden="1" customHeight="1">
      <c r="A591" s="1" t="s">
        <v>5</v>
      </c>
      <c r="B591" s="1" t="s">
        <v>48</v>
      </c>
      <c r="C591" s="1" t="s">
        <v>9</v>
      </c>
      <c r="D591" s="1" t="s">
        <v>10</v>
      </c>
      <c r="E591" s="2">
        <v>2.7473E-5</v>
      </c>
      <c r="F591" s="2">
        <v>2.40948E-5</v>
      </c>
      <c r="G591" s="1">
        <v>0.0</v>
      </c>
      <c r="H591" s="2">
        <v>5.23968E-8</v>
      </c>
      <c r="I591" s="2">
        <v>3.26885E-9</v>
      </c>
      <c r="J591" s="2">
        <v>3.21736E-6</v>
      </c>
      <c r="K591" s="1">
        <v>0.0</v>
      </c>
      <c r="L591" s="1">
        <v>0.0</v>
      </c>
      <c r="M591" s="1">
        <v>0.0</v>
      </c>
      <c r="N591" s="1">
        <v>0.0</v>
      </c>
      <c r="O591" s="1">
        <v>0.0</v>
      </c>
      <c r="P591" s="1">
        <v>0.0</v>
      </c>
      <c r="Q591" s="1">
        <v>0.0</v>
      </c>
      <c r="R591" s="1">
        <v>0.0</v>
      </c>
      <c r="S591" s="1">
        <v>0.0</v>
      </c>
    </row>
    <row r="592" ht="14.25" hidden="1" customHeight="1">
      <c r="A592" s="1" t="s">
        <v>5</v>
      </c>
      <c r="B592" s="1" t="s">
        <v>48</v>
      </c>
      <c r="C592" s="1" t="s">
        <v>9</v>
      </c>
      <c r="D592" s="1" t="s">
        <v>11</v>
      </c>
      <c r="E592" s="2">
        <v>2.74053E-5</v>
      </c>
      <c r="F592" s="2">
        <v>2.40985E-5</v>
      </c>
      <c r="G592" s="1">
        <v>0.0</v>
      </c>
      <c r="H592" s="2">
        <v>7.05872E-5</v>
      </c>
      <c r="I592" s="1">
        <v>0.0</v>
      </c>
      <c r="J592" s="2">
        <v>3.39018E-5</v>
      </c>
      <c r="K592" s="1">
        <v>0.0</v>
      </c>
      <c r="L592" s="1">
        <v>0.0</v>
      </c>
      <c r="M592" s="1">
        <v>0.0</v>
      </c>
      <c r="N592" s="1">
        <v>0.0</v>
      </c>
      <c r="O592" s="1">
        <v>0.0</v>
      </c>
      <c r="P592" s="1">
        <v>0.0</v>
      </c>
      <c r="Q592" s="1">
        <v>0.0</v>
      </c>
      <c r="R592" s="1">
        <v>0.0</v>
      </c>
      <c r="S592" s="1">
        <v>0.0</v>
      </c>
    </row>
    <row r="593" ht="14.25" hidden="1" customHeight="1">
      <c r="A593" s="1" t="s">
        <v>5</v>
      </c>
      <c r="B593" s="1" t="s">
        <v>48</v>
      </c>
      <c r="C593" s="1" t="s">
        <v>9</v>
      </c>
      <c r="D593" s="1" t="s">
        <v>12</v>
      </c>
      <c r="E593" s="2">
        <v>2.19556E-4</v>
      </c>
      <c r="F593" s="2">
        <v>1.92454E-4</v>
      </c>
      <c r="G593" s="1">
        <v>0.0</v>
      </c>
      <c r="H593" s="2">
        <v>2.59027E-5</v>
      </c>
      <c r="I593" s="2">
        <v>1.29818E-5</v>
      </c>
      <c r="J593" s="2">
        <v>9.48751E-6</v>
      </c>
      <c r="K593" s="1">
        <v>0.0</v>
      </c>
      <c r="L593" s="1">
        <v>0.0</v>
      </c>
      <c r="M593" s="1">
        <v>0.0</v>
      </c>
      <c r="N593" s="1">
        <v>0.0</v>
      </c>
      <c r="O593" s="1">
        <v>0.0</v>
      </c>
      <c r="P593" s="1">
        <v>0.0</v>
      </c>
      <c r="Q593" s="1">
        <v>0.0</v>
      </c>
      <c r="R593" s="1">
        <v>0.0</v>
      </c>
      <c r="S593" s="1">
        <v>0.0</v>
      </c>
    </row>
    <row r="594" ht="14.25" hidden="1" customHeight="1">
      <c r="A594" s="1" t="s">
        <v>5</v>
      </c>
      <c r="B594" s="1" t="s">
        <v>48</v>
      </c>
      <c r="C594" s="1" t="s">
        <v>9</v>
      </c>
      <c r="D594" s="1" t="s">
        <v>13</v>
      </c>
      <c r="E594" s="1">
        <v>0.0</v>
      </c>
      <c r="F594" s="1">
        <v>0.0</v>
      </c>
      <c r="G594" s="1">
        <v>0.0</v>
      </c>
      <c r="H594" s="2">
        <v>3.58932E-8</v>
      </c>
      <c r="I594" s="1">
        <v>0.0</v>
      </c>
      <c r="J594" s="1">
        <v>0.0</v>
      </c>
      <c r="K594" s="1">
        <v>0.0</v>
      </c>
      <c r="L594" s="1">
        <v>0.0</v>
      </c>
      <c r="M594" s="1">
        <v>0.0</v>
      </c>
      <c r="N594" s="1">
        <v>0.0</v>
      </c>
      <c r="O594" s="1">
        <v>0.0</v>
      </c>
      <c r="P594" s="1">
        <v>0.0</v>
      </c>
      <c r="Q594" s="1">
        <v>0.0</v>
      </c>
      <c r="R594" s="1">
        <v>0.0</v>
      </c>
      <c r="S594" s="1">
        <v>0.0</v>
      </c>
    </row>
    <row r="595" ht="14.25" hidden="1" customHeight="1">
      <c r="A595" s="1" t="s">
        <v>5</v>
      </c>
      <c r="B595" s="1" t="s">
        <v>48</v>
      </c>
      <c r="C595" s="1" t="s">
        <v>9</v>
      </c>
      <c r="D595" s="1" t="s">
        <v>14</v>
      </c>
      <c r="E595" s="1">
        <v>0.0</v>
      </c>
      <c r="F595" s="1">
        <v>0.0</v>
      </c>
      <c r="G595" s="1">
        <v>0.0</v>
      </c>
      <c r="H595" s="2">
        <v>4.10167E-7</v>
      </c>
      <c r="I595" s="1">
        <v>0.0</v>
      </c>
      <c r="J595" s="1">
        <v>0.0</v>
      </c>
      <c r="K595" s="1">
        <v>0.0</v>
      </c>
      <c r="L595" s="1">
        <v>0.0</v>
      </c>
      <c r="M595" s="1">
        <v>0.0</v>
      </c>
      <c r="N595" s="1">
        <v>0.0</v>
      </c>
      <c r="O595" s="1">
        <v>0.0</v>
      </c>
      <c r="P595" s="1">
        <v>0.0</v>
      </c>
      <c r="Q595" s="1">
        <v>0.0</v>
      </c>
      <c r="R595" s="1">
        <v>0.0</v>
      </c>
      <c r="S595" s="1">
        <v>0.0</v>
      </c>
    </row>
    <row r="596" ht="14.25" hidden="1" customHeight="1">
      <c r="A596" s="1" t="s">
        <v>5</v>
      </c>
      <c r="B596" s="1" t="s">
        <v>48</v>
      </c>
      <c r="C596" s="1" t="s">
        <v>15</v>
      </c>
      <c r="D596" s="1" t="s">
        <v>16</v>
      </c>
      <c r="E596" s="2">
        <v>1.80459E-4</v>
      </c>
      <c r="F596" s="2">
        <v>2.73098E-4</v>
      </c>
      <c r="G596" s="1">
        <v>0.0</v>
      </c>
      <c r="H596" s="1">
        <v>0.0</v>
      </c>
      <c r="I596" s="2">
        <v>3.67828E-6</v>
      </c>
      <c r="J596" s="2">
        <v>9.45597E-6</v>
      </c>
      <c r="K596" s="2">
        <v>1.78811599999999E-5</v>
      </c>
      <c r="L596" s="2">
        <v>2.684929E-5</v>
      </c>
      <c r="M596" s="2">
        <v>3.578974E-5</v>
      </c>
      <c r="N596" s="2">
        <v>4.2673404E-5</v>
      </c>
      <c r="O596" s="2">
        <v>4.8627019E-5</v>
      </c>
      <c r="P596" s="2">
        <v>5.41677299999999E-5</v>
      </c>
      <c r="Q596" s="2">
        <v>5.97675E-5</v>
      </c>
      <c r="R596" s="2">
        <v>6.529372E-5</v>
      </c>
      <c r="S596" s="2">
        <v>7.083246E-5</v>
      </c>
    </row>
    <row r="597" ht="14.25" hidden="1" customHeight="1">
      <c r="A597" s="1" t="s">
        <v>5</v>
      </c>
      <c r="B597" s="1" t="s">
        <v>48</v>
      </c>
      <c r="C597" s="1" t="s">
        <v>15</v>
      </c>
      <c r="D597" s="1" t="s">
        <v>13</v>
      </c>
      <c r="E597" s="2">
        <v>3.41577E-4</v>
      </c>
      <c r="F597" s="2">
        <v>5.16609E-4</v>
      </c>
      <c r="G597" s="2">
        <v>2.09674E-6</v>
      </c>
      <c r="H597" s="2">
        <v>8.84862E-6</v>
      </c>
      <c r="I597" s="2">
        <v>7.2433E-6</v>
      </c>
      <c r="J597" s="2">
        <v>2.190346E-5</v>
      </c>
      <c r="K597" s="2">
        <v>3.12274059999999E-5</v>
      </c>
      <c r="L597" s="2">
        <v>4.0226373E-5</v>
      </c>
      <c r="M597" s="2">
        <v>5.0495182E-5</v>
      </c>
      <c r="N597" s="2">
        <v>6.181663E-5</v>
      </c>
      <c r="O597" s="2">
        <v>7.064408E-5</v>
      </c>
      <c r="P597" s="2">
        <v>7.975555E-5</v>
      </c>
      <c r="Q597" s="2">
        <v>8.834114E-5</v>
      </c>
      <c r="R597" s="2">
        <v>9.668281E-5</v>
      </c>
      <c r="S597" s="2">
        <v>1.0407015E-4</v>
      </c>
    </row>
    <row r="598" ht="14.25" customHeight="1">
      <c r="A598" s="1" t="s">
        <v>5</v>
      </c>
      <c r="B598" s="1" t="s">
        <v>48</v>
      </c>
      <c r="C598" s="1" t="s">
        <v>15</v>
      </c>
      <c r="D598" s="1" t="s">
        <v>14</v>
      </c>
      <c r="E598" s="2">
        <v>6.8281E-5</v>
      </c>
      <c r="F598" s="2">
        <v>1.0323E-4</v>
      </c>
      <c r="G598" s="2">
        <v>3.96301E-7</v>
      </c>
      <c r="H598" s="2">
        <v>3.059E-7</v>
      </c>
      <c r="I598" s="2">
        <v>2.6252181E-7</v>
      </c>
      <c r="J598" s="2">
        <v>5.74357568E-6</v>
      </c>
      <c r="K598" s="2">
        <v>1.05402718E-5</v>
      </c>
      <c r="L598" s="2">
        <v>1.40262446E-5</v>
      </c>
      <c r="M598" s="2">
        <v>1.779024201E-5</v>
      </c>
      <c r="N598" s="2">
        <v>2.17712621299999E-5</v>
      </c>
      <c r="O598" s="2">
        <v>2.4892888E-5</v>
      </c>
      <c r="P598" s="2">
        <v>2.8058457E-5</v>
      </c>
      <c r="Q598" s="2">
        <v>3.1073792E-5</v>
      </c>
      <c r="R598" s="2">
        <v>3.4032405E-5</v>
      </c>
      <c r="S598" s="2">
        <v>3.668926E-5</v>
      </c>
    </row>
    <row r="599" ht="14.25" hidden="1" customHeight="1">
      <c r="A599" s="1" t="s">
        <v>5</v>
      </c>
      <c r="B599" s="1" t="s">
        <v>48</v>
      </c>
      <c r="C599" s="1" t="s">
        <v>17</v>
      </c>
      <c r="D599" s="1" t="s">
        <v>16</v>
      </c>
      <c r="E599" s="2">
        <v>7.19437E-6</v>
      </c>
      <c r="F599" s="2">
        <v>2.22998E-5</v>
      </c>
      <c r="G599" s="2">
        <v>3.32432E-5</v>
      </c>
      <c r="H599" s="2">
        <v>3.622239E-5</v>
      </c>
      <c r="I599" s="2">
        <v>3.356742E-5</v>
      </c>
      <c r="J599" s="2">
        <v>3.534005E-5</v>
      </c>
      <c r="K599" s="2">
        <v>3.536699E-5</v>
      </c>
      <c r="L599" s="2">
        <v>3.635031E-5</v>
      </c>
      <c r="M599" s="2">
        <v>3.8186979E-5</v>
      </c>
      <c r="N599" s="2">
        <v>4.2713301E-5</v>
      </c>
      <c r="O599" s="2">
        <v>4.824403E-5</v>
      </c>
      <c r="P599" s="2">
        <v>5.428403E-5</v>
      </c>
      <c r="Q599" s="2">
        <v>6.02367199999999E-5</v>
      </c>
      <c r="R599" s="2">
        <v>6.64628399999999E-5</v>
      </c>
      <c r="S599" s="2">
        <v>7.248031E-5</v>
      </c>
    </row>
    <row r="600" ht="14.25" hidden="1" customHeight="1">
      <c r="A600" s="1" t="s">
        <v>5</v>
      </c>
      <c r="B600" s="1" t="s">
        <v>48</v>
      </c>
      <c r="C600" s="1" t="s">
        <v>17</v>
      </c>
      <c r="D600" s="1" t="s">
        <v>18</v>
      </c>
      <c r="E600" s="2">
        <v>7.19231E-6</v>
      </c>
      <c r="F600" s="2">
        <v>2.23077E-5</v>
      </c>
      <c r="G600" s="2">
        <v>3.33077E-5</v>
      </c>
      <c r="H600" s="2">
        <v>2.20123E-5</v>
      </c>
      <c r="I600" s="2">
        <v>6.01488E-6</v>
      </c>
      <c r="J600" s="2">
        <v>2.65129499999999E-5</v>
      </c>
      <c r="K600" s="2">
        <v>3.089431E-5</v>
      </c>
      <c r="L600" s="2">
        <v>3.552603E-5</v>
      </c>
      <c r="M600" s="2">
        <v>3.993774E-5</v>
      </c>
      <c r="N600" s="2">
        <v>4.477851E-5</v>
      </c>
      <c r="O600" s="2">
        <v>4.9072264E-5</v>
      </c>
      <c r="P600" s="2">
        <v>5.293498E-5</v>
      </c>
      <c r="Q600" s="2">
        <v>5.637147E-5</v>
      </c>
      <c r="R600" s="2">
        <v>5.991375E-5</v>
      </c>
      <c r="S600" s="2">
        <v>6.299805E-5</v>
      </c>
    </row>
    <row r="601" ht="14.25" hidden="1" customHeight="1">
      <c r="A601" s="1" t="s">
        <v>5</v>
      </c>
      <c r="B601" s="1" t="s">
        <v>48</v>
      </c>
      <c r="C601" s="1" t="s">
        <v>17</v>
      </c>
      <c r="D601" s="1" t="s">
        <v>19</v>
      </c>
      <c r="E601" s="2">
        <v>2.89891E-6</v>
      </c>
      <c r="F601" s="2">
        <v>8.89753E-6</v>
      </c>
      <c r="G601" s="2">
        <v>1.33024E-5</v>
      </c>
      <c r="H601" s="2">
        <v>1.350693E-5</v>
      </c>
      <c r="I601" s="2">
        <v>3.64824E-6</v>
      </c>
      <c r="J601" s="2">
        <v>1.713375E-5</v>
      </c>
      <c r="K601" s="2">
        <v>1.960845E-5</v>
      </c>
      <c r="L601" s="2">
        <v>2.260898E-5</v>
      </c>
      <c r="M601" s="2">
        <v>2.558889E-5</v>
      </c>
      <c r="N601" s="2">
        <v>2.89294399999999E-5</v>
      </c>
      <c r="O601" s="2">
        <v>3.25230399999999E-5</v>
      </c>
      <c r="P601" s="2">
        <v>3.627323E-5</v>
      </c>
      <c r="Q601" s="2">
        <v>3.998511E-5</v>
      </c>
      <c r="R601" s="2">
        <v>4.374201E-5</v>
      </c>
      <c r="S601" s="2">
        <v>4.737693E-5</v>
      </c>
    </row>
    <row r="602" ht="14.25" hidden="1" customHeight="1">
      <c r="A602" s="1" t="s">
        <v>5</v>
      </c>
      <c r="B602" s="1" t="s">
        <v>48</v>
      </c>
      <c r="C602" s="1" t="s">
        <v>17</v>
      </c>
      <c r="D602" s="1" t="s">
        <v>8</v>
      </c>
      <c r="E602" s="2">
        <v>1.40208E-6</v>
      </c>
      <c r="F602" s="2">
        <v>4.49858E-6</v>
      </c>
      <c r="G602" s="2">
        <v>6.69214E-6</v>
      </c>
      <c r="H602" s="2">
        <v>1.822786E-5</v>
      </c>
      <c r="I602" s="2">
        <v>1.303795E-5</v>
      </c>
      <c r="J602" s="2">
        <v>7.24857E-5</v>
      </c>
      <c r="K602" s="2">
        <v>8.928285E-5</v>
      </c>
      <c r="L602" s="2">
        <v>1.07064999999999E-4</v>
      </c>
      <c r="M602" s="2">
        <v>1.240699E-4</v>
      </c>
      <c r="N602" s="2">
        <v>1.412775E-4</v>
      </c>
      <c r="O602" s="2">
        <v>1.592251E-4</v>
      </c>
      <c r="P602" s="2">
        <v>1.77135E-4</v>
      </c>
      <c r="Q602" s="2">
        <v>1.94304699999999E-4</v>
      </c>
      <c r="R602" s="2">
        <v>2.113347E-4</v>
      </c>
      <c r="S602" s="2">
        <v>2.275866E-4</v>
      </c>
    </row>
    <row r="603" ht="14.25" hidden="1" customHeight="1">
      <c r="A603" s="1" t="s">
        <v>5</v>
      </c>
      <c r="B603" s="1" t="s">
        <v>48</v>
      </c>
      <c r="C603" s="1" t="s">
        <v>17</v>
      </c>
      <c r="D603" s="1" t="s">
        <v>20</v>
      </c>
      <c r="E603" s="2">
        <v>1.57895E-6</v>
      </c>
      <c r="F603" s="2">
        <v>4.73684E-6</v>
      </c>
      <c r="G603" s="2">
        <v>6.84211E-6</v>
      </c>
      <c r="H603" s="2">
        <v>7.13343E-6</v>
      </c>
      <c r="I603" s="2">
        <v>3.9864E-6</v>
      </c>
      <c r="J603" s="2">
        <v>9.33973E-6</v>
      </c>
      <c r="K603" s="2">
        <v>1.087757E-5</v>
      </c>
      <c r="L603" s="2">
        <v>1.226155E-5</v>
      </c>
      <c r="M603" s="2">
        <v>1.372796E-5</v>
      </c>
      <c r="N603" s="2">
        <v>1.544113E-5</v>
      </c>
      <c r="O603" s="2">
        <v>1.726214E-5</v>
      </c>
      <c r="P603" s="2">
        <v>1.911424E-5</v>
      </c>
      <c r="Q603" s="2">
        <v>2.093416E-5</v>
      </c>
      <c r="R603" s="2">
        <v>2.275948E-5</v>
      </c>
      <c r="S603" s="2">
        <v>2.44895E-5</v>
      </c>
    </row>
    <row r="604" ht="14.25" hidden="1" customHeight="1">
      <c r="A604" s="1" t="s">
        <v>5</v>
      </c>
      <c r="B604" s="1" t="s">
        <v>48</v>
      </c>
      <c r="C604" s="1" t="s">
        <v>21</v>
      </c>
      <c r="D604" s="1" t="s">
        <v>10</v>
      </c>
      <c r="E604" s="2">
        <v>9.02398E-7</v>
      </c>
      <c r="F604" s="2">
        <v>2.89938E-6</v>
      </c>
      <c r="G604" s="2">
        <v>4.49826E-6</v>
      </c>
      <c r="H604" s="2">
        <v>2.9863076E-6</v>
      </c>
      <c r="I604" s="2">
        <v>2.4499375E-6</v>
      </c>
      <c r="J604" s="2">
        <v>1.8372283E-6</v>
      </c>
      <c r="K604" s="2">
        <v>1.9363082E-6</v>
      </c>
      <c r="L604" s="2">
        <v>2.2521833E-6</v>
      </c>
      <c r="M604" s="2">
        <v>2.4823316E-6</v>
      </c>
      <c r="N604" s="2">
        <v>2.933718E-6</v>
      </c>
      <c r="O604" s="2">
        <v>3.153364E-6</v>
      </c>
      <c r="P604" s="2">
        <v>3.307485E-6</v>
      </c>
      <c r="Q604" s="2">
        <v>3.495158E-6</v>
      </c>
      <c r="R604" s="2">
        <v>3.529118E-6</v>
      </c>
      <c r="S604" s="2">
        <v>3.595652E-6</v>
      </c>
    </row>
    <row r="605" ht="14.25" hidden="1" customHeight="1">
      <c r="A605" s="1" t="s">
        <v>5</v>
      </c>
      <c r="B605" s="1" t="s">
        <v>48</v>
      </c>
      <c r="C605" s="1" t="s">
        <v>21</v>
      </c>
      <c r="D605" s="1" t="s">
        <v>11</v>
      </c>
      <c r="E605" s="2">
        <v>9.00175E-7</v>
      </c>
      <c r="F605" s="2">
        <v>2.89981E-6</v>
      </c>
      <c r="G605" s="2">
        <v>4.49958E-6</v>
      </c>
      <c r="H605" s="2">
        <v>1.890427E-5</v>
      </c>
      <c r="I605" s="2">
        <v>7.37866612299999E-6</v>
      </c>
      <c r="J605" s="2">
        <v>3.13080246497E-4</v>
      </c>
      <c r="K605" s="2">
        <v>3.39555E-4</v>
      </c>
      <c r="L605" s="2">
        <v>3.386866E-4</v>
      </c>
      <c r="M605" s="2">
        <v>3.36554E-4</v>
      </c>
      <c r="N605" s="2">
        <v>3.3417E-4</v>
      </c>
      <c r="O605" s="2">
        <v>3.43542E-4</v>
      </c>
      <c r="P605" s="2">
        <v>3.42848E-4</v>
      </c>
      <c r="Q605" s="2">
        <v>3.42828E-4</v>
      </c>
      <c r="R605" s="2">
        <v>3.42415E-4</v>
      </c>
      <c r="S605" s="2">
        <v>3.47179E-4</v>
      </c>
    </row>
    <row r="606" ht="14.25" hidden="1" customHeight="1">
      <c r="A606" s="1" t="s">
        <v>5</v>
      </c>
      <c r="B606" s="1" t="s">
        <v>48</v>
      </c>
      <c r="C606" s="1" t="s">
        <v>21</v>
      </c>
      <c r="D606" s="1" t="s">
        <v>22</v>
      </c>
      <c r="E606" s="2">
        <v>9.0E-7</v>
      </c>
      <c r="F606" s="2">
        <v>2.9E-6</v>
      </c>
      <c r="G606" s="2">
        <v>4.5E-6</v>
      </c>
      <c r="H606" s="2">
        <v>6.14281999999999E-6</v>
      </c>
      <c r="I606" s="2">
        <v>5.73355999999999E-6</v>
      </c>
      <c r="J606" s="2">
        <v>2.111997E-5</v>
      </c>
      <c r="K606" s="2">
        <v>2.32362E-5</v>
      </c>
      <c r="L606" s="2">
        <v>2.469005E-5</v>
      </c>
      <c r="M606" s="2">
        <v>2.52887E-5</v>
      </c>
      <c r="N606" s="2">
        <v>2.533406E-5</v>
      </c>
      <c r="O606" s="2">
        <v>2.5913E-5</v>
      </c>
      <c r="P606" s="2">
        <v>2.564564E-5</v>
      </c>
      <c r="Q606" s="2">
        <v>2.548291E-5</v>
      </c>
      <c r="R606" s="2">
        <v>2.528311E-5</v>
      </c>
      <c r="S606" s="2">
        <v>2.54735E-5</v>
      </c>
    </row>
    <row r="607" ht="14.25" hidden="1" customHeight="1">
      <c r="A607" s="1" t="s">
        <v>5</v>
      </c>
      <c r="B607" s="1" t="s">
        <v>48</v>
      </c>
      <c r="C607" s="1" t="s">
        <v>21</v>
      </c>
      <c r="D607" s="1" t="s">
        <v>23</v>
      </c>
      <c r="E607" s="2">
        <v>8.95087E-7</v>
      </c>
      <c r="F607" s="2">
        <v>2.891679E-6</v>
      </c>
      <c r="G607" s="2">
        <v>4.4994E-6</v>
      </c>
      <c r="H607" s="2">
        <v>8.149324E-6</v>
      </c>
      <c r="I607" s="2">
        <v>1.4220917E-5</v>
      </c>
      <c r="J607" s="2">
        <v>5.0464262E-5</v>
      </c>
      <c r="K607" s="2">
        <v>6.310869E-5</v>
      </c>
      <c r="L607" s="2">
        <v>7.548439E-5</v>
      </c>
      <c r="M607" s="2">
        <v>8.98271999999999E-5</v>
      </c>
      <c r="N607" s="2">
        <v>9.91214999999999E-5</v>
      </c>
      <c r="O607" s="2">
        <v>1.19732E-4</v>
      </c>
      <c r="P607" s="2">
        <v>1.368784E-4</v>
      </c>
      <c r="Q607" s="2">
        <v>1.515106E-4</v>
      </c>
      <c r="R607" s="2">
        <v>1.65823E-4</v>
      </c>
      <c r="S607" s="2">
        <v>1.784412E-4</v>
      </c>
    </row>
    <row r="608" ht="14.25" hidden="1" customHeight="1">
      <c r="A608" s="1" t="s">
        <v>5</v>
      </c>
      <c r="B608" s="1" t="s">
        <v>48</v>
      </c>
      <c r="C608" s="1" t="s">
        <v>21</v>
      </c>
      <c r="D608" s="1" t="s">
        <v>24</v>
      </c>
      <c r="E608" s="2">
        <v>3.990038E-7</v>
      </c>
      <c r="F608" s="2">
        <v>1.204265E-6</v>
      </c>
      <c r="G608" s="2">
        <v>1.801286E-6</v>
      </c>
      <c r="H608" s="2">
        <v>2.256131E-6</v>
      </c>
      <c r="I608" s="2">
        <v>1.819735E-6</v>
      </c>
      <c r="J608" s="2">
        <v>1.922628E-6</v>
      </c>
      <c r="K608" s="2">
        <v>1.678967E-6</v>
      </c>
      <c r="L608" s="2">
        <v>1.587037E-6</v>
      </c>
      <c r="M608" s="2">
        <v>1.456594E-6</v>
      </c>
      <c r="N608" s="2">
        <v>1.364569E-6</v>
      </c>
      <c r="O608" s="2">
        <v>1.31002799999999E-6</v>
      </c>
      <c r="P608" s="2">
        <v>1.27488499999999E-6</v>
      </c>
      <c r="Q608" s="2">
        <v>1.255158E-6</v>
      </c>
      <c r="R608" s="2">
        <v>1.234232E-6</v>
      </c>
      <c r="S608" s="2">
        <v>1.234956E-6</v>
      </c>
    </row>
    <row r="609" ht="14.25" hidden="1" customHeight="1">
      <c r="A609" s="1" t="s">
        <v>5</v>
      </c>
      <c r="B609" s="1" t="s">
        <v>48</v>
      </c>
      <c r="C609" s="1" t="s">
        <v>21</v>
      </c>
      <c r="D609" s="1" t="s">
        <v>12</v>
      </c>
      <c r="E609" s="2">
        <v>8.99821E-7</v>
      </c>
      <c r="F609" s="2">
        <v>2.8978E-6</v>
      </c>
      <c r="G609" s="2">
        <v>4.5E-6</v>
      </c>
      <c r="H609" s="2">
        <v>8.7665E-8</v>
      </c>
      <c r="I609" s="2">
        <v>4.08545E-6</v>
      </c>
      <c r="J609" s="2">
        <v>1.61319E-5</v>
      </c>
      <c r="K609" s="2">
        <v>1.93917E-5</v>
      </c>
      <c r="L609" s="2">
        <v>2.01759E-5</v>
      </c>
      <c r="M609" s="2">
        <v>2.04079E-5</v>
      </c>
      <c r="N609" s="2">
        <v>2.03516E-5</v>
      </c>
      <c r="O609" s="2">
        <v>2.07488E-5</v>
      </c>
      <c r="P609" s="2">
        <v>2.05199E-5</v>
      </c>
      <c r="Q609" s="2">
        <v>2.03872E-5</v>
      </c>
      <c r="R609" s="2">
        <v>2.0227E-5</v>
      </c>
      <c r="S609" s="2">
        <v>2.03793E-5</v>
      </c>
    </row>
    <row r="610" ht="14.25" hidden="1" customHeight="1">
      <c r="A610" s="1" t="s">
        <v>5</v>
      </c>
      <c r="B610" s="1" t="s">
        <v>48</v>
      </c>
      <c r="C610" s="1" t="s">
        <v>21</v>
      </c>
      <c r="D610" s="1" t="s">
        <v>13</v>
      </c>
      <c r="E610" s="2">
        <v>7.99713E-7</v>
      </c>
      <c r="F610" s="2">
        <v>2.49956E-6</v>
      </c>
      <c r="G610" s="2">
        <v>3.7941E-6</v>
      </c>
      <c r="H610" s="2">
        <v>3.25671099999999E-6</v>
      </c>
      <c r="I610" s="2">
        <v>2.282677E-6</v>
      </c>
      <c r="J610" s="2">
        <v>2.320538E-6</v>
      </c>
      <c r="K610" s="2">
        <v>1.11244E-6</v>
      </c>
      <c r="L610" s="2">
        <v>1.222702E-6</v>
      </c>
      <c r="M610" s="2">
        <v>1.69706999999999E-6</v>
      </c>
      <c r="N610" s="2">
        <v>2.309156E-6</v>
      </c>
      <c r="O610" s="2">
        <v>3.013914E-6</v>
      </c>
      <c r="P610" s="2">
        <v>3.993371E-6</v>
      </c>
      <c r="Q610" s="2">
        <v>4.83238E-6</v>
      </c>
      <c r="R610" s="2">
        <v>5.732226E-6</v>
      </c>
      <c r="S610" s="2">
        <v>6.508719E-6</v>
      </c>
    </row>
    <row r="611" ht="14.25" hidden="1" customHeight="1">
      <c r="A611" s="1" t="s">
        <v>5</v>
      </c>
      <c r="B611" s="1" t="s">
        <v>48</v>
      </c>
      <c r="C611" s="1" t="s">
        <v>21</v>
      </c>
      <c r="D611" s="1" t="s">
        <v>14</v>
      </c>
      <c r="E611" s="2">
        <v>7.99777E-7</v>
      </c>
      <c r="F611" s="2">
        <v>2.4983E-6</v>
      </c>
      <c r="G611" s="2">
        <v>3.76486E-6</v>
      </c>
      <c r="H611" s="2">
        <v>4.11283E-6</v>
      </c>
      <c r="I611" s="2">
        <v>5.32051E-6</v>
      </c>
      <c r="J611" s="2">
        <v>2.5702E-6</v>
      </c>
      <c r="K611" s="2">
        <v>7.40228E-7</v>
      </c>
      <c r="L611" s="2">
        <v>4.87591E-7</v>
      </c>
      <c r="M611" s="2">
        <v>5.23809E-7</v>
      </c>
      <c r="N611" s="2">
        <v>6.65855E-7</v>
      </c>
      <c r="O611" s="2">
        <v>7.66292E-7</v>
      </c>
      <c r="P611" s="2">
        <v>9.04411E-7</v>
      </c>
      <c r="Q611" s="2">
        <v>9.67211E-7</v>
      </c>
      <c r="R611" s="2">
        <v>1.029025E-6</v>
      </c>
      <c r="S611" s="2">
        <v>1.076501E-6</v>
      </c>
    </row>
    <row r="612" ht="14.25" hidden="1" customHeight="1">
      <c r="A612" s="1" t="s">
        <v>5</v>
      </c>
      <c r="B612" s="1" t="s">
        <v>48</v>
      </c>
      <c r="C612" s="1" t="s">
        <v>21</v>
      </c>
      <c r="D612" s="1" t="s">
        <v>25</v>
      </c>
      <c r="E612" s="2">
        <v>8.0E-7</v>
      </c>
      <c r="F612" s="2">
        <v>2.5E-6</v>
      </c>
      <c r="G612" s="2">
        <v>3.8E-6</v>
      </c>
      <c r="H612" s="2">
        <v>7.36123E-6</v>
      </c>
      <c r="I612" s="2">
        <v>1.054361E-5</v>
      </c>
      <c r="J612" s="2">
        <v>1.126975E-5</v>
      </c>
      <c r="K612" s="2">
        <v>1.060582E-5</v>
      </c>
      <c r="L612" s="2">
        <v>1.160032E-5</v>
      </c>
      <c r="M612" s="2">
        <v>1.335575E-5</v>
      </c>
      <c r="N612" s="2">
        <v>1.553123E-5</v>
      </c>
      <c r="O612" s="2">
        <v>1.756726E-5</v>
      </c>
      <c r="P612" s="2">
        <v>2.015443E-5</v>
      </c>
      <c r="Q612" s="2">
        <v>2.266466E-5</v>
      </c>
      <c r="R612" s="2">
        <v>2.517384E-5</v>
      </c>
      <c r="S612" s="2">
        <v>2.722698E-5</v>
      </c>
    </row>
    <row r="613" ht="14.25" hidden="1" customHeight="1">
      <c r="A613" s="1" t="s">
        <v>5</v>
      </c>
      <c r="B613" s="1" t="s">
        <v>48</v>
      </c>
      <c r="C613" s="1" t="s">
        <v>21</v>
      </c>
      <c r="D613" s="1" t="s">
        <v>26</v>
      </c>
      <c r="E613" s="2">
        <v>7.78021E-7</v>
      </c>
      <c r="F613" s="2">
        <v>2.502788E-6</v>
      </c>
      <c r="G613" s="2">
        <v>3.814819E-6</v>
      </c>
      <c r="H613" s="2">
        <v>9.336149E-6</v>
      </c>
      <c r="I613" s="2">
        <v>1.767908E-5</v>
      </c>
      <c r="J613" s="2">
        <v>2.6015805E-5</v>
      </c>
      <c r="K613" s="2">
        <v>2.847213E-5</v>
      </c>
      <c r="L613" s="2">
        <v>3.616533E-5</v>
      </c>
      <c r="M613" s="2">
        <v>4.755732E-5</v>
      </c>
      <c r="N613" s="2">
        <v>6.448993E-5</v>
      </c>
      <c r="O613" s="2">
        <v>8.0078E-5</v>
      </c>
      <c r="P613" s="2">
        <v>1.006531E-4</v>
      </c>
      <c r="Q613" s="2">
        <v>1.246052E-4</v>
      </c>
      <c r="R613" s="2">
        <v>1.50117E-4</v>
      </c>
      <c r="S613" s="2">
        <v>1.768359E-4</v>
      </c>
    </row>
    <row r="614" ht="14.25" hidden="1" customHeight="1">
      <c r="A614" s="1" t="s">
        <v>5</v>
      </c>
      <c r="B614" s="1" t="s">
        <v>48</v>
      </c>
      <c r="C614" s="1" t="s">
        <v>21</v>
      </c>
      <c r="D614" s="1" t="s">
        <v>27</v>
      </c>
      <c r="E614" s="2">
        <v>1.96756E-7</v>
      </c>
      <c r="F614" s="2">
        <v>5.01743999999999E-7</v>
      </c>
      <c r="G614" s="2">
        <v>7.98007E-7</v>
      </c>
      <c r="H614" s="2">
        <v>1.3495511E-6</v>
      </c>
      <c r="I614" s="2">
        <v>1.44007999999999E-6</v>
      </c>
      <c r="J614" s="2">
        <v>2.6378565E-6</v>
      </c>
      <c r="K614" s="2">
        <v>3.125657E-6</v>
      </c>
      <c r="L614" s="2">
        <v>3.774119E-6</v>
      </c>
      <c r="M614" s="2">
        <v>4.52108399999999E-6</v>
      </c>
      <c r="N614" s="2">
        <v>5.339784E-6</v>
      </c>
      <c r="O614" s="2">
        <v>5.877864E-6</v>
      </c>
      <c r="P614" s="2">
        <v>6.697133E-6</v>
      </c>
      <c r="Q614" s="2">
        <v>7.453642E-6</v>
      </c>
      <c r="R614" s="2">
        <v>8.180075E-6</v>
      </c>
      <c r="S614" s="2">
        <v>8.79666E-6</v>
      </c>
    </row>
    <row r="615" ht="14.25" hidden="1" customHeight="1">
      <c r="A615" s="1" t="s">
        <v>5</v>
      </c>
      <c r="B615" s="1" t="s">
        <v>48</v>
      </c>
      <c r="C615" s="1" t="s">
        <v>21</v>
      </c>
      <c r="D615" s="1" t="s">
        <v>28</v>
      </c>
      <c r="E615" s="2">
        <v>8.0E-7</v>
      </c>
      <c r="F615" s="2">
        <v>2.5E-6</v>
      </c>
      <c r="G615" s="2">
        <v>3.8E-6</v>
      </c>
      <c r="H615" s="2">
        <v>6.29285E-6</v>
      </c>
      <c r="I615" s="2">
        <v>8.06753E-6</v>
      </c>
      <c r="J615" s="2">
        <v>9.05123E-6</v>
      </c>
      <c r="K615" s="2">
        <v>8.50186E-6</v>
      </c>
      <c r="L615" s="2">
        <v>9.28749E-6</v>
      </c>
      <c r="M615" s="2">
        <v>1.06871E-5</v>
      </c>
      <c r="N615" s="2">
        <v>1.24255E-5</v>
      </c>
      <c r="O615" s="2">
        <v>1.40539E-5</v>
      </c>
      <c r="P615" s="2">
        <v>1.61235E-5</v>
      </c>
      <c r="Q615" s="2">
        <v>1.81316E-5</v>
      </c>
      <c r="R615" s="2">
        <v>2.0139E-5</v>
      </c>
      <c r="S615" s="2">
        <v>2.17815E-5</v>
      </c>
    </row>
    <row r="616" ht="14.25" hidden="1" customHeight="1">
      <c r="A616" s="1" t="s">
        <v>5</v>
      </c>
      <c r="B616" s="1" t="s">
        <v>48</v>
      </c>
      <c r="C616" s="1" t="s">
        <v>29</v>
      </c>
      <c r="D616" s="1" t="s">
        <v>16</v>
      </c>
      <c r="E616" s="2">
        <v>1.09914E-6</v>
      </c>
      <c r="F616" s="2">
        <v>1.99998E-6</v>
      </c>
      <c r="G616" s="1">
        <v>0.0</v>
      </c>
      <c r="H616" s="2">
        <v>1.39573E-7</v>
      </c>
      <c r="I616" s="2">
        <v>2.399421E-6</v>
      </c>
      <c r="J616" s="2">
        <v>2.634946E-6</v>
      </c>
      <c r="K616" s="2">
        <v>2.97671769999999E-6</v>
      </c>
      <c r="L616" s="2">
        <v>3.1853287E-6</v>
      </c>
      <c r="M616" s="2">
        <v>3.391357E-6</v>
      </c>
      <c r="N616" s="2">
        <v>3.54494799999999E-6</v>
      </c>
      <c r="O616" s="2">
        <v>3.785824E-6</v>
      </c>
      <c r="P616" s="2">
        <v>4.364349E-6</v>
      </c>
      <c r="Q616" s="2">
        <v>5.019427E-6</v>
      </c>
      <c r="R616" s="2">
        <v>5.732115E-6</v>
      </c>
      <c r="S616" s="2">
        <v>6.41811699999999E-6</v>
      </c>
    </row>
    <row r="617" ht="14.25" hidden="1" customHeight="1">
      <c r="A617" s="1" t="s">
        <v>5</v>
      </c>
      <c r="B617" s="1" t="s">
        <v>48</v>
      </c>
      <c r="C617" s="1" t="s">
        <v>29</v>
      </c>
      <c r="D617" s="1" t="s">
        <v>8</v>
      </c>
      <c r="E617" s="2">
        <v>2.10312E-6</v>
      </c>
      <c r="F617" s="2">
        <v>4.09871E-6</v>
      </c>
      <c r="G617" s="1">
        <v>0.0</v>
      </c>
      <c r="H617" s="2">
        <v>4.08952E-9</v>
      </c>
      <c r="I617" s="2">
        <v>9.4504192E-7</v>
      </c>
      <c r="J617" s="2">
        <v>3.12915925E-6</v>
      </c>
      <c r="K617" s="2">
        <v>4.08895075999999E-6</v>
      </c>
      <c r="L617" s="2">
        <v>4.96508227E-6</v>
      </c>
      <c r="M617" s="2">
        <v>5.556743594E-6</v>
      </c>
      <c r="N617" s="2">
        <v>6.23129399999999E-6</v>
      </c>
      <c r="O617" s="2">
        <v>6.647561E-6</v>
      </c>
      <c r="P617" s="2">
        <v>7.062617E-6</v>
      </c>
      <c r="Q617" s="2">
        <v>7.624928E-6</v>
      </c>
      <c r="R617" s="2">
        <v>8.20916699999999E-6</v>
      </c>
      <c r="S617" s="2">
        <v>8.732377E-6</v>
      </c>
    </row>
    <row r="618" ht="14.25" hidden="1" customHeight="1">
      <c r="A618" s="1" t="s">
        <v>5</v>
      </c>
      <c r="B618" s="1" t="s">
        <v>48</v>
      </c>
      <c r="C618" s="1" t="s">
        <v>29</v>
      </c>
      <c r="D618" s="1" t="s">
        <v>10</v>
      </c>
      <c r="E618" s="2">
        <v>1.60426E-5</v>
      </c>
      <c r="F618" s="2">
        <v>3.07934E-5</v>
      </c>
      <c r="G618" s="1">
        <v>0.0</v>
      </c>
      <c r="H618" s="2">
        <v>6.64196E-6</v>
      </c>
      <c r="I618" s="2">
        <v>7.31184E-6</v>
      </c>
      <c r="J618" s="2">
        <v>6.383594E-6</v>
      </c>
      <c r="K618" s="2">
        <v>8.14355899999999E-6</v>
      </c>
      <c r="L618" s="2">
        <v>7.563359E-6</v>
      </c>
      <c r="M618" s="2">
        <v>6.741126E-6</v>
      </c>
      <c r="N618" s="2">
        <v>5.6548065E-6</v>
      </c>
      <c r="O618" s="2">
        <v>5.0705777E-6</v>
      </c>
      <c r="P618" s="2">
        <v>4.54296799999999E-6</v>
      </c>
      <c r="Q618" s="2">
        <v>4.058633E-6</v>
      </c>
      <c r="R618" s="2">
        <v>3.842801E-6</v>
      </c>
      <c r="S618" s="2">
        <v>3.72380299999999E-6</v>
      </c>
    </row>
    <row r="619" ht="14.25" hidden="1" customHeight="1">
      <c r="A619" s="1" t="s">
        <v>5</v>
      </c>
      <c r="B619" s="1" t="s">
        <v>48</v>
      </c>
      <c r="C619" s="1" t="s">
        <v>29</v>
      </c>
      <c r="D619" s="1" t="s">
        <v>11</v>
      </c>
      <c r="E619" s="2">
        <v>3.20062E-5</v>
      </c>
      <c r="F619" s="2">
        <v>6.14961E-5</v>
      </c>
      <c r="G619" s="1">
        <v>0.0</v>
      </c>
      <c r="H619" s="2">
        <v>3.4755E-7</v>
      </c>
      <c r="I619" s="2">
        <v>3.01777E-7</v>
      </c>
      <c r="J619" s="2">
        <v>2.5096133E-5</v>
      </c>
      <c r="K619" s="2">
        <v>3.9141775E-5</v>
      </c>
      <c r="L619" s="2">
        <v>5.55982163999999E-5</v>
      </c>
      <c r="M619" s="2">
        <v>6.37831727E-5</v>
      </c>
      <c r="N619" s="2">
        <v>6.660903E-5</v>
      </c>
      <c r="O619" s="2">
        <v>6.612267E-5</v>
      </c>
      <c r="P619" s="2">
        <v>6.209509E-5</v>
      </c>
      <c r="Q619" s="2">
        <v>5.935343E-5</v>
      </c>
      <c r="R619" s="2">
        <v>5.642754E-5</v>
      </c>
      <c r="S619" s="2">
        <v>5.451943E-5</v>
      </c>
    </row>
    <row r="620" ht="14.25" hidden="1" customHeight="1">
      <c r="A620" s="1" t="s">
        <v>5</v>
      </c>
      <c r="B620" s="1" t="s">
        <v>48</v>
      </c>
      <c r="C620" s="1" t="s">
        <v>29</v>
      </c>
      <c r="D620" s="1" t="s">
        <v>13</v>
      </c>
      <c r="E620" s="2">
        <v>1.77936E-5</v>
      </c>
      <c r="F620" s="2">
        <v>3.4194E-5</v>
      </c>
      <c r="G620" s="1">
        <v>0.0</v>
      </c>
      <c r="H620" s="2">
        <v>2.88252E-6</v>
      </c>
      <c r="I620" s="2">
        <v>2.37409E-6</v>
      </c>
      <c r="J620" s="2">
        <v>2.30446E-6</v>
      </c>
      <c r="K620" s="2">
        <v>1.817018E-6</v>
      </c>
      <c r="L620" s="2">
        <v>1.314073E-6</v>
      </c>
      <c r="M620" s="2">
        <v>1.01601E-6</v>
      </c>
      <c r="N620" s="2">
        <v>7.46648E-7</v>
      </c>
      <c r="O620" s="2">
        <v>8.44515499999999E-7</v>
      </c>
      <c r="P620" s="2">
        <v>9.784059E-7</v>
      </c>
      <c r="Q620" s="2">
        <v>1.1326029E-6</v>
      </c>
      <c r="R620" s="2">
        <v>1.3054558E-6</v>
      </c>
      <c r="S620" s="2">
        <v>1.4577131E-6</v>
      </c>
    </row>
    <row r="621" ht="14.25" hidden="1" customHeight="1">
      <c r="A621" s="1" t="s">
        <v>5</v>
      </c>
      <c r="B621" s="1" t="s">
        <v>48</v>
      </c>
      <c r="C621" s="1" t="s">
        <v>29</v>
      </c>
      <c r="D621" s="1" t="s">
        <v>14</v>
      </c>
      <c r="E621" s="2">
        <v>5.34851E-5</v>
      </c>
      <c r="F621" s="2">
        <v>1.0253E-4</v>
      </c>
      <c r="G621" s="1">
        <v>0.0</v>
      </c>
      <c r="H621" s="2">
        <v>1.523E-6</v>
      </c>
      <c r="I621" s="2">
        <v>1.804589E-6</v>
      </c>
      <c r="J621" s="2">
        <v>2.533477E-6</v>
      </c>
      <c r="K621" s="2">
        <v>2.74526099999999E-6</v>
      </c>
      <c r="L621" s="2">
        <v>2.68263199999999E-6</v>
      </c>
      <c r="M621" s="2">
        <v>2.77952799999999E-6</v>
      </c>
      <c r="N621" s="2">
        <v>2.98166029999999E-6</v>
      </c>
      <c r="O621" s="2">
        <v>3.416729E-6</v>
      </c>
      <c r="P621" s="2">
        <v>4.0421719E-6</v>
      </c>
      <c r="Q621" s="2">
        <v>4.688304E-6</v>
      </c>
      <c r="R621" s="2">
        <v>5.37531E-6</v>
      </c>
      <c r="S621" s="2">
        <v>5.97713E-6</v>
      </c>
    </row>
    <row r="622" ht="14.25" hidden="1" customHeight="1">
      <c r="A622" s="1" t="s">
        <v>5</v>
      </c>
      <c r="B622" s="1" t="s">
        <v>48</v>
      </c>
      <c r="C622" s="1" t="s">
        <v>31</v>
      </c>
      <c r="D622" s="1" t="s">
        <v>11</v>
      </c>
      <c r="E622" s="1">
        <v>0.00144198</v>
      </c>
      <c r="F622" s="1">
        <v>0.00168909</v>
      </c>
      <c r="G622" s="1">
        <v>0.00179523</v>
      </c>
      <c r="H622" s="1">
        <v>0.00142208</v>
      </c>
      <c r="I622" s="1">
        <v>0.00242129</v>
      </c>
      <c r="J622" s="2">
        <v>8.26153E-5</v>
      </c>
      <c r="K622" s="2">
        <v>5.28173E-5</v>
      </c>
      <c r="L622" s="2">
        <v>5.94146E-5</v>
      </c>
      <c r="M622" s="2">
        <v>4.19458E-5</v>
      </c>
      <c r="N622" s="2">
        <v>1.95231E-5</v>
      </c>
      <c r="O622" s="1">
        <v>0.0</v>
      </c>
      <c r="P622" s="1">
        <v>0.0</v>
      </c>
      <c r="Q622" s="1">
        <v>0.0</v>
      </c>
      <c r="R622" s="1">
        <v>0.0</v>
      </c>
      <c r="S622" s="1">
        <v>0.0</v>
      </c>
    </row>
    <row r="623" ht="14.25" hidden="1" customHeight="1">
      <c r="A623" s="1" t="s">
        <v>5</v>
      </c>
      <c r="B623" s="1" t="s">
        <v>49</v>
      </c>
      <c r="C623" s="1" t="s">
        <v>7</v>
      </c>
      <c r="D623" s="1" t="s">
        <v>8</v>
      </c>
      <c r="E623" s="2">
        <v>1.22636E-5</v>
      </c>
      <c r="F623" s="2">
        <v>1.5416E-5</v>
      </c>
      <c r="G623" s="2">
        <v>1.64297E-5</v>
      </c>
      <c r="H623" s="2">
        <v>8.47913E-7</v>
      </c>
      <c r="I623" s="2">
        <v>7.03905E-8</v>
      </c>
      <c r="J623" s="2">
        <v>9.0762E-8</v>
      </c>
      <c r="K623" s="2">
        <v>6.16339E-8</v>
      </c>
      <c r="L623" s="2">
        <v>4.90875E-8</v>
      </c>
      <c r="M623" s="2">
        <v>3.50896E-8</v>
      </c>
      <c r="N623" s="2">
        <v>1.84571E-8</v>
      </c>
      <c r="O623" s="1">
        <v>0.0</v>
      </c>
      <c r="P623" s="1">
        <v>0.0</v>
      </c>
      <c r="Q623" s="1">
        <v>0.0</v>
      </c>
      <c r="R623" s="1">
        <v>0.0</v>
      </c>
      <c r="S623" s="1">
        <v>0.0</v>
      </c>
    </row>
    <row r="624" ht="14.25" hidden="1" customHeight="1">
      <c r="A624" s="1" t="s">
        <v>5</v>
      </c>
      <c r="B624" s="1" t="s">
        <v>49</v>
      </c>
      <c r="C624" s="1" t="s">
        <v>9</v>
      </c>
      <c r="D624" s="1" t="s">
        <v>8</v>
      </c>
      <c r="E624" s="2">
        <v>5.06759E-7</v>
      </c>
      <c r="F624" s="2">
        <v>5.00518E-7</v>
      </c>
      <c r="G624" s="2">
        <v>6.97017E-7</v>
      </c>
      <c r="H624" s="2">
        <v>2.23791E-8</v>
      </c>
      <c r="I624" s="2">
        <v>3.8136E-5</v>
      </c>
      <c r="J624" s="1">
        <v>0.0</v>
      </c>
      <c r="K624" s="1">
        <v>0.0</v>
      </c>
      <c r="L624" s="1">
        <v>0.0</v>
      </c>
      <c r="M624" s="1">
        <v>0.0</v>
      </c>
      <c r="N624" s="1">
        <v>0.0</v>
      </c>
      <c r="O624" s="1">
        <v>0.0</v>
      </c>
      <c r="P624" s="1">
        <v>0.0</v>
      </c>
      <c r="Q624" s="1">
        <v>0.0</v>
      </c>
      <c r="R624" s="1">
        <v>0.0</v>
      </c>
      <c r="S624" s="1">
        <v>0.0</v>
      </c>
    </row>
    <row r="625" ht="14.25" hidden="1" customHeight="1">
      <c r="A625" s="1" t="s">
        <v>5</v>
      </c>
      <c r="B625" s="1" t="s">
        <v>49</v>
      </c>
      <c r="C625" s="1" t="s">
        <v>9</v>
      </c>
      <c r="D625" s="1" t="s">
        <v>10</v>
      </c>
      <c r="E625" s="1">
        <v>0.0</v>
      </c>
      <c r="F625" s="1">
        <v>0.0</v>
      </c>
      <c r="G625" s="2">
        <v>9.99313E-8</v>
      </c>
      <c r="H625" s="1">
        <v>0.0</v>
      </c>
      <c r="I625" s="1">
        <v>0.0</v>
      </c>
      <c r="J625" s="1">
        <v>0.0</v>
      </c>
      <c r="K625" s="1">
        <v>0.0</v>
      </c>
      <c r="L625" s="1">
        <v>0.0</v>
      </c>
      <c r="M625" s="1">
        <v>0.0</v>
      </c>
      <c r="N625" s="1">
        <v>0.0</v>
      </c>
      <c r="O625" s="1">
        <v>0.0</v>
      </c>
      <c r="P625" s="1">
        <v>0.0</v>
      </c>
      <c r="Q625" s="1">
        <v>0.0</v>
      </c>
      <c r="R625" s="1">
        <v>0.0</v>
      </c>
      <c r="S625" s="1">
        <v>0.0</v>
      </c>
    </row>
    <row r="626" ht="14.25" hidden="1" customHeight="1">
      <c r="A626" s="1" t="s">
        <v>5</v>
      </c>
      <c r="B626" s="1" t="s">
        <v>49</v>
      </c>
      <c r="C626" s="1" t="s">
        <v>9</v>
      </c>
      <c r="D626" s="1" t="s">
        <v>11</v>
      </c>
      <c r="E626" s="1">
        <v>0.0</v>
      </c>
      <c r="F626" s="1">
        <v>0.0</v>
      </c>
      <c r="G626" s="2">
        <v>1.00337E-7</v>
      </c>
      <c r="H626" s="1">
        <v>0.0</v>
      </c>
      <c r="I626" s="1">
        <v>0.0</v>
      </c>
      <c r="J626" s="1">
        <v>0.0</v>
      </c>
      <c r="K626" s="1">
        <v>0.0</v>
      </c>
      <c r="L626" s="1">
        <v>0.0</v>
      </c>
      <c r="M626" s="1">
        <v>0.0</v>
      </c>
      <c r="N626" s="1">
        <v>0.0</v>
      </c>
      <c r="O626" s="1">
        <v>0.0</v>
      </c>
      <c r="P626" s="1">
        <v>0.0</v>
      </c>
      <c r="Q626" s="1">
        <v>0.0</v>
      </c>
      <c r="R626" s="1">
        <v>0.0</v>
      </c>
      <c r="S626" s="1">
        <v>0.0</v>
      </c>
    </row>
    <row r="627" ht="14.25" hidden="1" customHeight="1">
      <c r="A627" s="1" t="s">
        <v>5</v>
      </c>
      <c r="B627" s="1" t="s">
        <v>49</v>
      </c>
      <c r="C627" s="1" t="s">
        <v>9</v>
      </c>
      <c r="D627" s="1" t="s">
        <v>14</v>
      </c>
      <c r="E627" s="1">
        <v>0.0</v>
      </c>
      <c r="F627" s="1">
        <v>0.0</v>
      </c>
      <c r="G627" s="1">
        <v>0.0</v>
      </c>
      <c r="H627" s="2">
        <v>9.97975E-8</v>
      </c>
      <c r="I627" s="1">
        <v>0.0</v>
      </c>
      <c r="J627" s="1">
        <v>0.0</v>
      </c>
      <c r="K627" s="1">
        <v>0.0</v>
      </c>
      <c r="L627" s="1">
        <v>0.0</v>
      </c>
      <c r="M627" s="1">
        <v>0.0</v>
      </c>
      <c r="N627" s="1">
        <v>0.0</v>
      </c>
      <c r="O627" s="1">
        <v>0.0</v>
      </c>
      <c r="P627" s="1">
        <v>0.0</v>
      </c>
      <c r="Q627" s="1">
        <v>0.0</v>
      </c>
      <c r="R627" s="1">
        <v>0.0</v>
      </c>
      <c r="S627" s="1">
        <v>0.0</v>
      </c>
    </row>
    <row r="628" ht="14.25" hidden="1" customHeight="1">
      <c r="A628" s="1" t="s">
        <v>5</v>
      </c>
      <c r="B628" s="1" t="s">
        <v>49</v>
      </c>
      <c r="C628" s="1" t="s">
        <v>15</v>
      </c>
      <c r="D628" s="1" t="s">
        <v>16</v>
      </c>
      <c r="E628" s="1">
        <v>0.0</v>
      </c>
      <c r="F628" s="1">
        <v>0.0</v>
      </c>
      <c r="G628" s="1">
        <v>0.0</v>
      </c>
      <c r="H628" s="1">
        <v>0.0</v>
      </c>
      <c r="I628" s="2">
        <v>3.37892E-6</v>
      </c>
      <c r="J628" s="2">
        <v>1.048565E-5</v>
      </c>
      <c r="K628" s="2">
        <v>1.771557E-5</v>
      </c>
      <c r="L628" s="2">
        <v>2.528406E-5</v>
      </c>
      <c r="M628" s="2">
        <v>3.4548185E-5</v>
      </c>
      <c r="N628" s="2">
        <v>4.1259619E-5</v>
      </c>
      <c r="O628" s="2">
        <v>4.73453219999999E-5</v>
      </c>
      <c r="P628" s="2">
        <v>5.354332E-5</v>
      </c>
      <c r="Q628" s="2">
        <v>5.967898E-5</v>
      </c>
      <c r="R628" s="2">
        <v>6.585063E-5</v>
      </c>
      <c r="S628" s="2">
        <v>7.17410299999999E-5</v>
      </c>
    </row>
    <row r="629" ht="14.25" customHeight="1">
      <c r="A629" s="1" t="s">
        <v>5</v>
      </c>
      <c r="B629" s="1" t="s">
        <v>49</v>
      </c>
      <c r="C629" s="1" t="s">
        <v>15</v>
      </c>
      <c r="D629" s="1" t="s">
        <v>14</v>
      </c>
      <c r="E629" s="1">
        <v>0.0</v>
      </c>
      <c r="F629" s="1">
        <v>0.0</v>
      </c>
      <c r="G629" s="1">
        <v>0.0</v>
      </c>
      <c r="H629" s="1">
        <v>0.0</v>
      </c>
      <c r="I629" s="2">
        <v>2.70687E-7</v>
      </c>
      <c r="J629" s="2">
        <v>4.699277E-6</v>
      </c>
      <c r="K629" s="2">
        <v>1.4298315E-5</v>
      </c>
      <c r="L629" s="2">
        <v>2.0764864E-5</v>
      </c>
      <c r="M629" s="2">
        <v>2.46605021999999E-5</v>
      </c>
      <c r="N629" s="2">
        <v>2.69539698E-5</v>
      </c>
      <c r="O629" s="2">
        <v>2.8421466E-5</v>
      </c>
      <c r="P629" s="2">
        <v>2.95261899999999E-5</v>
      </c>
      <c r="Q629" s="2">
        <v>3.076923E-5</v>
      </c>
      <c r="R629" s="2">
        <v>3.2272228E-5</v>
      </c>
      <c r="S629" s="2">
        <v>3.370135E-5</v>
      </c>
    </row>
    <row r="630" ht="14.25" hidden="1" customHeight="1">
      <c r="A630" s="1" t="s">
        <v>5</v>
      </c>
      <c r="B630" s="1" t="s">
        <v>49</v>
      </c>
      <c r="C630" s="1" t="s">
        <v>17</v>
      </c>
      <c r="D630" s="1" t="s">
        <v>16</v>
      </c>
      <c r="E630" s="2">
        <v>9.92223E-7</v>
      </c>
      <c r="F630" s="2">
        <v>3.19931E-6</v>
      </c>
      <c r="G630" s="2">
        <v>4.88699E-6</v>
      </c>
      <c r="H630" s="2">
        <v>8.31621E-6</v>
      </c>
      <c r="I630" s="2">
        <v>7.1178867E-6</v>
      </c>
      <c r="J630" s="2">
        <v>8.25304429999999E-6</v>
      </c>
      <c r="K630" s="2">
        <v>7.21020609999999E-6</v>
      </c>
      <c r="L630" s="2">
        <v>6.3570553E-6</v>
      </c>
      <c r="M630" s="2">
        <v>5.9316636E-6</v>
      </c>
      <c r="N630" s="2">
        <v>5.88009538E-6</v>
      </c>
      <c r="O630" s="2">
        <v>6.406896E-6</v>
      </c>
      <c r="P630" s="2">
        <v>7.07957E-6</v>
      </c>
      <c r="Q630" s="2">
        <v>7.891724E-6</v>
      </c>
      <c r="R630" s="2">
        <v>8.765621E-6</v>
      </c>
      <c r="S630" s="2">
        <v>9.614727E-6</v>
      </c>
    </row>
    <row r="631" ht="14.25" hidden="1" customHeight="1">
      <c r="A631" s="1" t="s">
        <v>5</v>
      </c>
      <c r="B631" s="1" t="s">
        <v>49</v>
      </c>
      <c r="C631" s="1" t="s">
        <v>17</v>
      </c>
      <c r="D631" s="1" t="s">
        <v>18</v>
      </c>
      <c r="E631" s="2">
        <v>1.92308E-7</v>
      </c>
      <c r="F631" s="2">
        <v>6.15385E-7</v>
      </c>
      <c r="G631" s="2">
        <v>1.0E-6</v>
      </c>
      <c r="H631" s="2">
        <v>8.48661E-7</v>
      </c>
      <c r="I631" s="2">
        <v>4.44934E-7</v>
      </c>
      <c r="J631" s="2">
        <v>1.224617E-6</v>
      </c>
      <c r="K631" s="2">
        <v>1.37798799999999E-6</v>
      </c>
      <c r="L631" s="2">
        <v>1.556074E-6</v>
      </c>
      <c r="M631" s="2">
        <v>1.709264E-6</v>
      </c>
      <c r="N631" s="2">
        <v>1.916512E-6</v>
      </c>
      <c r="O631" s="2">
        <v>2.1062956E-6</v>
      </c>
      <c r="P631" s="2">
        <v>2.2885403E-6</v>
      </c>
      <c r="Q631" s="2">
        <v>2.46676E-6</v>
      </c>
      <c r="R631" s="2">
        <v>2.6453611E-6</v>
      </c>
      <c r="S631" s="2">
        <v>2.792742E-6</v>
      </c>
    </row>
    <row r="632" ht="14.25" hidden="1" customHeight="1">
      <c r="A632" s="1" t="s">
        <v>5</v>
      </c>
      <c r="B632" s="1" t="s">
        <v>49</v>
      </c>
      <c r="C632" s="1" t="s">
        <v>17</v>
      </c>
      <c r="D632" s="1" t="s">
        <v>19</v>
      </c>
      <c r="E632" s="2">
        <v>2.00791E-7</v>
      </c>
      <c r="F632" s="2">
        <v>6.02372E-7</v>
      </c>
      <c r="G632" s="2">
        <v>9.97678E-7</v>
      </c>
      <c r="H632" s="2">
        <v>1.007319E-6</v>
      </c>
      <c r="I632" s="2">
        <v>1.955213E-7</v>
      </c>
      <c r="J632" s="2">
        <v>1.281499E-6</v>
      </c>
      <c r="K632" s="2">
        <v>1.46651189999999E-6</v>
      </c>
      <c r="L632" s="2">
        <v>1.69881099999999E-6</v>
      </c>
      <c r="M632" s="2">
        <v>1.933924E-6</v>
      </c>
      <c r="N632" s="2">
        <v>2.211872E-6</v>
      </c>
      <c r="O632" s="2">
        <v>2.50739899999999E-6</v>
      </c>
      <c r="P632" s="2">
        <v>2.820459E-6</v>
      </c>
      <c r="Q632" s="2">
        <v>3.142107E-6</v>
      </c>
      <c r="R632" s="2">
        <v>3.471058E-6</v>
      </c>
      <c r="S632" s="2">
        <v>3.78026699999999E-6</v>
      </c>
    </row>
    <row r="633" ht="14.25" hidden="1" customHeight="1">
      <c r="A633" s="1" t="s">
        <v>5</v>
      </c>
      <c r="B633" s="1" t="s">
        <v>49</v>
      </c>
      <c r="C633" s="1" t="s">
        <v>17</v>
      </c>
      <c r="D633" s="1" t="s">
        <v>8</v>
      </c>
      <c r="E633" s="2">
        <v>2.12839E-6</v>
      </c>
      <c r="F633" s="2">
        <v>6.40664E-6</v>
      </c>
      <c r="G633" s="2">
        <v>9.65866E-6</v>
      </c>
      <c r="H633" s="2">
        <v>1.49892899999999E-5</v>
      </c>
      <c r="I633" s="2">
        <v>1.061906E-5</v>
      </c>
      <c r="J633" s="2">
        <v>3.419765E-5</v>
      </c>
      <c r="K633" s="2">
        <v>4.308938E-5</v>
      </c>
      <c r="L633" s="2">
        <v>5.27943E-5</v>
      </c>
      <c r="M633" s="2">
        <v>6.426731E-5</v>
      </c>
      <c r="N633" s="2">
        <v>7.30492E-5</v>
      </c>
      <c r="O633" s="2">
        <v>8.235597E-5</v>
      </c>
      <c r="P633" s="2">
        <v>9.206174E-5</v>
      </c>
      <c r="Q633" s="2">
        <v>1.0189864E-4</v>
      </c>
      <c r="R633" s="2">
        <v>1.118537E-4</v>
      </c>
      <c r="S633" s="2">
        <v>1.21059E-4</v>
      </c>
    </row>
    <row r="634" ht="14.25" hidden="1" customHeight="1">
      <c r="A634" s="1" t="s">
        <v>5</v>
      </c>
      <c r="B634" s="1" t="s">
        <v>49</v>
      </c>
      <c r="C634" s="1" t="s">
        <v>17</v>
      </c>
      <c r="D634" s="1" t="s">
        <v>20</v>
      </c>
      <c r="E634" s="2">
        <v>2.10526E-6</v>
      </c>
      <c r="F634" s="2">
        <v>6.31579E-6</v>
      </c>
      <c r="G634" s="2">
        <v>9.47368E-6</v>
      </c>
      <c r="H634" s="2">
        <v>9.59238E-6</v>
      </c>
      <c r="I634" s="2">
        <v>3.57755E-6</v>
      </c>
      <c r="J634" s="2">
        <v>1.28514299999999E-5</v>
      </c>
      <c r="K634" s="2">
        <v>1.49728E-5</v>
      </c>
      <c r="L634" s="2">
        <v>1.699916E-5</v>
      </c>
      <c r="M634" s="2">
        <v>1.915181E-5</v>
      </c>
      <c r="N634" s="2">
        <v>2.179534E-5</v>
      </c>
      <c r="O634" s="2">
        <v>2.456849E-5</v>
      </c>
      <c r="P634" s="2">
        <v>2.74380099999999E-5</v>
      </c>
      <c r="Q634" s="2">
        <v>3.036943E-5</v>
      </c>
      <c r="R634" s="2">
        <v>3.334121E-5</v>
      </c>
      <c r="S634" s="2">
        <v>3.60745E-5</v>
      </c>
    </row>
    <row r="635" ht="14.25" hidden="1" customHeight="1">
      <c r="A635" s="1" t="s">
        <v>5</v>
      </c>
      <c r="B635" s="1" t="s">
        <v>49</v>
      </c>
      <c r="C635" s="1" t="s">
        <v>21</v>
      </c>
      <c r="D635" s="1" t="s">
        <v>10</v>
      </c>
      <c r="E635" s="2">
        <v>2.64604E-7</v>
      </c>
      <c r="F635" s="2">
        <v>6.61509E-7</v>
      </c>
      <c r="G635" s="2">
        <v>4.59684E-6</v>
      </c>
      <c r="H635" s="2">
        <v>1.289E-6</v>
      </c>
      <c r="I635" s="2">
        <v>4.274E-7</v>
      </c>
      <c r="J635" s="2">
        <v>3.65098E-7</v>
      </c>
      <c r="K635" s="1">
        <v>0.0</v>
      </c>
      <c r="L635" s="1">
        <v>0.0</v>
      </c>
      <c r="M635" s="2">
        <v>1.41175E-6</v>
      </c>
      <c r="N635" s="2">
        <v>1.55832E-6</v>
      </c>
      <c r="O635" s="2">
        <v>1.68658299999999E-6</v>
      </c>
      <c r="P635" s="2">
        <v>1.807711E-6</v>
      </c>
      <c r="Q635" s="2">
        <v>1.906416E-6</v>
      </c>
      <c r="R635" s="2">
        <v>2.00906899999999E-6</v>
      </c>
      <c r="S635" s="2">
        <v>2.088119E-6</v>
      </c>
    </row>
    <row r="636" ht="14.25" hidden="1" customHeight="1">
      <c r="A636" s="1" t="s">
        <v>5</v>
      </c>
      <c r="B636" s="1" t="s">
        <v>49</v>
      </c>
      <c r="C636" s="1" t="s">
        <v>21</v>
      </c>
      <c r="D636" s="1" t="s">
        <v>11</v>
      </c>
      <c r="E636" s="2">
        <v>1.35135E-7</v>
      </c>
      <c r="F636" s="2">
        <v>6.75676E-7</v>
      </c>
      <c r="G636" s="2">
        <v>4.61551E-6</v>
      </c>
      <c r="H636" s="2">
        <v>1.68415E-6</v>
      </c>
      <c r="I636" s="1">
        <v>0.0</v>
      </c>
      <c r="J636" s="1">
        <v>0.0</v>
      </c>
      <c r="K636" s="1">
        <v>0.0</v>
      </c>
      <c r="L636" s="1">
        <v>0.0</v>
      </c>
      <c r="M636" s="2">
        <v>2.00144E-7</v>
      </c>
      <c r="N636" s="2">
        <v>1.524713E-7</v>
      </c>
      <c r="O636" s="2">
        <v>9.54124E-8</v>
      </c>
      <c r="P636" s="2">
        <v>9.55071E-8</v>
      </c>
      <c r="Q636" s="2">
        <v>1.001562E-7</v>
      </c>
      <c r="R636" s="2">
        <v>1.04001499999999E-7</v>
      </c>
      <c r="S636" s="2">
        <v>1.08734E-7</v>
      </c>
    </row>
    <row r="637" ht="14.25" hidden="1" customHeight="1">
      <c r="A637" s="1" t="s">
        <v>5</v>
      </c>
      <c r="B637" s="1" t="s">
        <v>49</v>
      </c>
      <c r="C637" s="1" t="s">
        <v>21</v>
      </c>
      <c r="D637" s="1" t="s">
        <v>22</v>
      </c>
      <c r="E637" s="2">
        <v>2.0E-7</v>
      </c>
      <c r="F637" s="2">
        <v>7.0E-7</v>
      </c>
      <c r="G637" s="2">
        <v>4.6E-6</v>
      </c>
      <c r="H637" s="2">
        <v>2.6408E-6</v>
      </c>
      <c r="I637" s="2">
        <v>7.00383E-7</v>
      </c>
      <c r="J637" s="2">
        <v>6.00438E-7</v>
      </c>
      <c r="K637" s="2">
        <v>6.29595E-7</v>
      </c>
      <c r="L637" s="2">
        <v>6.75329E-7</v>
      </c>
      <c r="M637" s="2">
        <v>3.28496E-7</v>
      </c>
      <c r="N637" s="2">
        <v>3.573215E-7</v>
      </c>
      <c r="O637" s="2">
        <v>3.81563E-7</v>
      </c>
      <c r="P637" s="2">
        <v>4.05761E-7</v>
      </c>
      <c r="Q637" s="2">
        <v>4.28225E-7</v>
      </c>
      <c r="R637" s="2">
        <v>4.53251E-7</v>
      </c>
      <c r="S637" s="2">
        <v>4.70997999999999E-7</v>
      </c>
    </row>
    <row r="638" ht="14.25" hidden="1" customHeight="1">
      <c r="A638" s="1" t="s">
        <v>5</v>
      </c>
      <c r="B638" s="1" t="s">
        <v>49</v>
      </c>
      <c r="C638" s="1" t="s">
        <v>21</v>
      </c>
      <c r="D638" s="1" t="s">
        <v>23</v>
      </c>
      <c r="E638" s="2">
        <v>2.06816E-7</v>
      </c>
      <c r="F638" s="2">
        <v>6.843329E-7</v>
      </c>
      <c r="G638" s="2">
        <v>4.59264E-6</v>
      </c>
      <c r="H638" s="2">
        <v>2.283913E-6</v>
      </c>
      <c r="I638" s="2">
        <v>8.09375599999999E-7</v>
      </c>
      <c r="J638" s="2">
        <v>1.92180609999999E-6</v>
      </c>
      <c r="K638" s="2">
        <v>1.998453E-6</v>
      </c>
      <c r="L638" s="2">
        <v>2.510743E-6</v>
      </c>
      <c r="M638" s="2">
        <v>1.44871899999999E-6</v>
      </c>
      <c r="N638" s="2">
        <v>1.7394955E-6</v>
      </c>
      <c r="O638" s="2">
        <v>2.082932E-6</v>
      </c>
      <c r="P638" s="2">
        <v>2.424319E-6</v>
      </c>
      <c r="Q638" s="2">
        <v>2.787278E-6</v>
      </c>
      <c r="R638" s="2">
        <v>3.139357E-6</v>
      </c>
      <c r="S638" s="2">
        <v>3.43836199999999E-6</v>
      </c>
    </row>
    <row r="639" ht="14.25" hidden="1" customHeight="1">
      <c r="A639" s="1" t="s">
        <v>5</v>
      </c>
      <c r="B639" s="1" t="s">
        <v>49</v>
      </c>
      <c r="C639" s="1" t="s">
        <v>21</v>
      </c>
      <c r="D639" s="1" t="s">
        <v>24</v>
      </c>
      <c r="E639" s="2">
        <v>1.96756E-7</v>
      </c>
      <c r="F639" s="2">
        <v>6.95629E-7</v>
      </c>
      <c r="G639" s="2">
        <v>4.598364E-6</v>
      </c>
      <c r="H639" s="2">
        <v>2.200962E-6</v>
      </c>
      <c r="I639" s="2">
        <v>5.218158E-7</v>
      </c>
      <c r="J639" s="2">
        <v>3.346654E-7</v>
      </c>
      <c r="K639" s="2">
        <v>2.984381E-7</v>
      </c>
      <c r="L639" s="2">
        <v>2.991922E-7</v>
      </c>
      <c r="M639" s="2">
        <v>3.088045E-7</v>
      </c>
      <c r="N639" s="2">
        <v>3.255036E-7</v>
      </c>
      <c r="O639" s="2">
        <v>3.405343E-7</v>
      </c>
      <c r="P639" s="2">
        <v>3.65145099999999E-7</v>
      </c>
      <c r="Q639" s="2">
        <v>3.870662E-7</v>
      </c>
      <c r="R639" s="2">
        <v>4.0879E-7</v>
      </c>
      <c r="S639" s="2">
        <v>4.26078E-7</v>
      </c>
    </row>
    <row r="640" ht="14.25" hidden="1" customHeight="1">
      <c r="A640" s="1" t="s">
        <v>5</v>
      </c>
      <c r="B640" s="1" t="s">
        <v>49</v>
      </c>
      <c r="C640" s="1" t="s">
        <v>21</v>
      </c>
      <c r="D640" s="1" t="s">
        <v>12</v>
      </c>
      <c r="E640" s="1">
        <v>0.0</v>
      </c>
      <c r="F640" s="2">
        <v>1.0E-7</v>
      </c>
      <c r="G640" s="2">
        <v>5.0E-7</v>
      </c>
      <c r="H640" s="2">
        <v>2.3953E-7</v>
      </c>
      <c r="I640" s="2">
        <v>8.46374E-8</v>
      </c>
      <c r="J640" s="2">
        <v>5.24053E-8</v>
      </c>
      <c r="K640" s="2">
        <v>5.48156E-8</v>
      </c>
      <c r="L640" s="2">
        <v>5.87372E-8</v>
      </c>
      <c r="M640" s="2">
        <v>2.85655E-8</v>
      </c>
      <c r="N640" s="2">
        <v>3.10714E-8</v>
      </c>
      <c r="O640" s="2">
        <v>3.31791E-8</v>
      </c>
      <c r="P640" s="2">
        <v>3.52833E-8</v>
      </c>
      <c r="Q640" s="2">
        <v>3.72367E-8</v>
      </c>
      <c r="R640" s="2">
        <v>3.94128E-8</v>
      </c>
      <c r="S640" s="2">
        <v>4.09561E-8</v>
      </c>
    </row>
    <row r="641" ht="14.25" hidden="1" customHeight="1">
      <c r="A641" s="1" t="s">
        <v>5</v>
      </c>
      <c r="B641" s="1" t="s">
        <v>49</v>
      </c>
      <c r="C641" s="1" t="s">
        <v>21</v>
      </c>
      <c r="D641" s="1" t="s">
        <v>13</v>
      </c>
      <c r="E641" s="2">
        <v>1.83706E-6</v>
      </c>
      <c r="F641" s="2">
        <v>5.58285E-6</v>
      </c>
      <c r="G641" s="2">
        <v>9.59852E-6</v>
      </c>
      <c r="H641" s="2">
        <v>6.04579E-6</v>
      </c>
      <c r="I641" s="2">
        <v>3.44853E-6</v>
      </c>
      <c r="J641" s="2">
        <v>2.968164E-5</v>
      </c>
      <c r="K641" s="2">
        <v>4.36151E-5</v>
      </c>
      <c r="L641" s="2">
        <v>6.24485E-5</v>
      </c>
      <c r="M641" s="2">
        <v>8.666083E-5</v>
      </c>
      <c r="N641" s="2">
        <v>1.0514913E-4</v>
      </c>
      <c r="O641" s="2">
        <v>1.243121E-4</v>
      </c>
      <c r="P641" s="2">
        <v>1.443044E-4</v>
      </c>
      <c r="Q641" s="2">
        <v>1.64017499999999E-4</v>
      </c>
      <c r="R641" s="2">
        <v>1.83038099999999E-4</v>
      </c>
      <c r="S641" s="2">
        <v>1.999144E-4</v>
      </c>
    </row>
    <row r="642" ht="14.25" hidden="1" customHeight="1">
      <c r="A642" s="1" t="s">
        <v>5</v>
      </c>
      <c r="B642" s="1" t="s">
        <v>49</v>
      </c>
      <c r="C642" s="1" t="s">
        <v>21</v>
      </c>
      <c r="D642" s="1" t="s">
        <v>14</v>
      </c>
      <c r="E642" s="2">
        <v>1.71756E-6</v>
      </c>
      <c r="F642" s="2">
        <v>5.6E-6</v>
      </c>
      <c r="G642" s="2">
        <v>9.58838E-6</v>
      </c>
      <c r="H642" s="2">
        <v>1.16749499999999E-5</v>
      </c>
      <c r="I642" s="2">
        <v>1.50350199999999E-5</v>
      </c>
      <c r="J642" s="2">
        <v>1.427357E-5</v>
      </c>
      <c r="K642" s="2">
        <v>7.87672E-6</v>
      </c>
      <c r="L642" s="2">
        <v>4.43197E-6</v>
      </c>
      <c r="M642" s="2">
        <v>3.57404E-6</v>
      </c>
      <c r="N642" s="2">
        <v>3.49903E-6</v>
      </c>
      <c r="O642" s="2">
        <v>3.74589E-6</v>
      </c>
      <c r="P642" s="2">
        <v>4.20405E-6</v>
      </c>
      <c r="Q642" s="2">
        <v>4.44656E-6</v>
      </c>
      <c r="R642" s="2">
        <v>4.57235E-6</v>
      </c>
      <c r="S642" s="2">
        <v>4.64309E-6</v>
      </c>
    </row>
    <row r="643" ht="14.25" hidden="1" customHeight="1">
      <c r="A643" s="1" t="s">
        <v>5</v>
      </c>
      <c r="B643" s="1" t="s">
        <v>49</v>
      </c>
      <c r="C643" s="1" t="s">
        <v>21</v>
      </c>
      <c r="D643" s="1" t="s">
        <v>25</v>
      </c>
      <c r="E643" s="2">
        <v>1.8E-6</v>
      </c>
      <c r="F643" s="2">
        <v>5.6E-6</v>
      </c>
      <c r="G643" s="2">
        <v>9.6E-6</v>
      </c>
      <c r="H643" s="2">
        <v>8.20951E-6</v>
      </c>
      <c r="I643" s="2">
        <v>9.22245E-6</v>
      </c>
      <c r="J643" s="2">
        <v>1.267778E-5</v>
      </c>
      <c r="K643" s="2">
        <v>9.58017999999999E-6</v>
      </c>
      <c r="L643" s="2">
        <v>8.61665E-6</v>
      </c>
      <c r="M643" s="2">
        <v>7.57535999999999E-6</v>
      </c>
      <c r="N643" s="2">
        <v>8.48375999999999E-6</v>
      </c>
      <c r="O643" s="2">
        <v>9.56752E-6</v>
      </c>
      <c r="P643" s="2">
        <v>1.093317E-5</v>
      </c>
      <c r="Q643" s="2">
        <v>1.217689E-5</v>
      </c>
      <c r="R643" s="2">
        <v>1.336991E-5</v>
      </c>
      <c r="S643" s="2">
        <v>1.43434399999999E-5</v>
      </c>
    </row>
    <row r="644" ht="14.25" hidden="1" customHeight="1">
      <c r="A644" s="1" t="s">
        <v>5</v>
      </c>
      <c r="B644" s="1" t="s">
        <v>49</v>
      </c>
      <c r="C644" s="1" t="s">
        <v>21</v>
      </c>
      <c r="D644" s="1" t="s">
        <v>26</v>
      </c>
      <c r="E644" s="2">
        <v>1.790177E-6</v>
      </c>
      <c r="F644" s="2">
        <v>5.60495E-6</v>
      </c>
      <c r="G644" s="2">
        <v>9.59819E-6</v>
      </c>
      <c r="H644" s="2">
        <v>8.2729E-6</v>
      </c>
      <c r="I644" s="2">
        <v>8.309281E-6</v>
      </c>
      <c r="J644" s="2">
        <v>1.6921066E-5</v>
      </c>
      <c r="K644" s="2">
        <v>1.300943E-5</v>
      </c>
      <c r="L644" s="2">
        <v>1.300574E-5</v>
      </c>
      <c r="M644" s="2">
        <v>1.323144E-5</v>
      </c>
      <c r="N644" s="2">
        <v>1.68117099999999E-5</v>
      </c>
      <c r="O644" s="2">
        <v>2.158916E-5</v>
      </c>
      <c r="P644" s="2">
        <v>2.81859599999999E-5</v>
      </c>
      <c r="Q644" s="2">
        <v>3.587822E-5</v>
      </c>
      <c r="R644" s="2">
        <v>4.437513E-5</v>
      </c>
      <c r="S644" s="2">
        <v>5.348655E-5</v>
      </c>
    </row>
    <row r="645" ht="14.25" hidden="1" customHeight="1">
      <c r="A645" s="1" t="s">
        <v>5</v>
      </c>
      <c r="B645" s="1" t="s">
        <v>49</v>
      </c>
      <c r="C645" s="1" t="s">
        <v>21</v>
      </c>
      <c r="D645" s="1" t="s">
        <v>27</v>
      </c>
      <c r="E645" s="2">
        <v>3.990038E-7</v>
      </c>
      <c r="F645" s="2">
        <v>1.098424E-6</v>
      </c>
      <c r="G645" s="2">
        <v>1.90409E-6</v>
      </c>
      <c r="H645" s="2">
        <v>2.66077199999999E-6</v>
      </c>
      <c r="I645" s="2">
        <v>2.254419E-6</v>
      </c>
      <c r="J645" s="2">
        <v>4.099253E-6</v>
      </c>
      <c r="K645" s="2">
        <v>4.08896E-6</v>
      </c>
      <c r="L645" s="2">
        <v>4.428456E-6</v>
      </c>
      <c r="M645" s="2">
        <v>4.749574E-6</v>
      </c>
      <c r="N645" s="2">
        <v>5.100519E-6</v>
      </c>
      <c r="O645" s="2">
        <v>5.37328399999999E-6</v>
      </c>
      <c r="P645" s="2">
        <v>5.834148E-6</v>
      </c>
      <c r="Q645" s="2">
        <v>6.265134E-6</v>
      </c>
      <c r="R645" s="2">
        <v>6.674406E-6</v>
      </c>
      <c r="S645" s="2">
        <v>7.011434E-6</v>
      </c>
    </row>
    <row r="646" ht="14.25" hidden="1" customHeight="1">
      <c r="A646" s="1" t="s">
        <v>5</v>
      </c>
      <c r="B646" s="1" t="s">
        <v>49</v>
      </c>
      <c r="C646" s="1" t="s">
        <v>21</v>
      </c>
      <c r="D646" s="1" t="s">
        <v>28</v>
      </c>
      <c r="E646" s="2">
        <v>2.0E-7</v>
      </c>
      <c r="F646" s="2">
        <v>6.0E-7</v>
      </c>
      <c r="G646" s="2">
        <v>1.0E-6</v>
      </c>
      <c r="H646" s="2">
        <v>8.56278E-7</v>
      </c>
      <c r="I646" s="2">
        <v>8.58817E-7</v>
      </c>
      <c r="J646" s="2">
        <v>1.16957E-6</v>
      </c>
      <c r="K646" s="2">
        <v>9.13613E-7</v>
      </c>
      <c r="L646" s="2">
        <v>7.83019E-7</v>
      </c>
      <c r="M646" s="2">
        <v>6.64454E-7</v>
      </c>
      <c r="N646" s="2">
        <v>7.27288E-7</v>
      </c>
      <c r="O646" s="2">
        <v>8.09555E-7</v>
      </c>
      <c r="P646" s="2">
        <v>9.17461E-7</v>
      </c>
      <c r="Q646" s="2">
        <v>1.01768E-6</v>
      </c>
      <c r="R646" s="2">
        <v>1.11541E-6</v>
      </c>
      <c r="S646" s="2">
        <v>1.19573E-6</v>
      </c>
    </row>
    <row r="647" ht="14.25" hidden="1" customHeight="1">
      <c r="A647" s="1" t="s">
        <v>5</v>
      </c>
      <c r="B647" s="1" t="s">
        <v>49</v>
      </c>
      <c r="C647" s="1" t="s">
        <v>29</v>
      </c>
      <c r="D647" s="1" t="s">
        <v>16</v>
      </c>
      <c r="E647" s="2">
        <v>9.92223E-8</v>
      </c>
      <c r="F647" s="2">
        <v>1.99957E-7</v>
      </c>
      <c r="G647" s="2">
        <v>1.44615E-5</v>
      </c>
      <c r="H647" s="2">
        <v>1.117172828E-5</v>
      </c>
      <c r="I647" s="2">
        <v>9.46655757999999E-6</v>
      </c>
      <c r="J647" s="2">
        <v>8.77338597E-6</v>
      </c>
      <c r="K647" s="2">
        <v>7.99053344E-6</v>
      </c>
      <c r="L647" s="2">
        <v>7.57916441E-6</v>
      </c>
      <c r="M647" s="2">
        <v>5.88079341E-6</v>
      </c>
      <c r="N647" s="2">
        <v>6.8669672E-6</v>
      </c>
      <c r="O647" s="2">
        <v>7.927349E-6</v>
      </c>
      <c r="P647" s="2">
        <v>9.170731E-6</v>
      </c>
      <c r="Q647" s="2">
        <v>1.05812E-5</v>
      </c>
      <c r="R647" s="2">
        <v>1.21523229999999E-5</v>
      </c>
      <c r="S647" s="2">
        <v>1.36238019999999E-5</v>
      </c>
    </row>
    <row r="648" ht="14.25" hidden="1" customHeight="1">
      <c r="A648" s="1" t="s">
        <v>5</v>
      </c>
      <c r="B648" s="1" t="s">
        <v>49</v>
      </c>
      <c r="C648" s="1" t="s">
        <v>29</v>
      </c>
      <c r="D648" s="1" t="s">
        <v>8</v>
      </c>
      <c r="E648" s="2">
        <v>2.02704E-7</v>
      </c>
      <c r="F648" s="2">
        <v>5.00518E-7</v>
      </c>
      <c r="G648" s="2">
        <v>2.88764E-5</v>
      </c>
      <c r="H648" s="2">
        <v>2.2289673934E-5</v>
      </c>
      <c r="I648" s="2">
        <v>1.89117346859999E-5</v>
      </c>
      <c r="J648" s="2">
        <v>1.4733051122E-5</v>
      </c>
      <c r="K648" s="2">
        <v>1.0518076767E-5</v>
      </c>
      <c r="L648" s="2">
        <v>6.968955812E-6</v>
      </c>
      <c r="M648" s="2">
        <v>4.07178E-7</v>
      </c>
      <c r="N648" s="2">
        <v>4.35950999999999E-7</v>
      </c>
      <c r="O648" s="2">
        <v>4.531128E-7</v>
      </c>
      <c r="P648" s="2">
        <v>4.883286E-7</v>
      </c>
      <c r="Q648" s="2">
        <v>5.310336E-7</v>
      </c>
      <c r="R648" s="2">
        <v>5.752546E-7</v>
      </c>
      <c r="S648" s="2">
        <v>6.143321E-7</v>
      </c>
    </row>
    <row r="649" ht="14.25" hidden="1" customHeight="1">
      <c r="A649" s="1" t="s">
        <v>5</v>
      </c>
      <c r="B649" s="1" t="s">
        <v>49</v>
      </c>
      <c r="C649" s="1" t="s">
        <v>29</v>
      </c>
      <c r="D649" s="1" t="s">
        <v>10</v>
      </c>
      <c r="E649" s="1">
        <v>0.0</v>
      </c>
      <c r="F649" s="1">
        <v>0.0</v>
      </c>
      <c r="G649" s="2">
        <v>1.22915E-5</v>
      </c>
      <c r="H649" s="2">
        <v>4.10673E-6</v>
      </c>
      <c r="I649" s="2">
        <v>1.48071E-6</v>
      </c>
      <c r="J649" s="2">
        <v>1.38602E-6</v>
      </c>
      <c r="K649" s="2">
        <v>1.92938E-6</v>
      </c>
      <c r="L649" s="2">
        <v>2.17882E-6</v>
      </c>
      <c r="M649" s="1">
        <v>0.0</v>
      </c>
      <c r="N649" s="1">
        <v>0.0</v>
      </c>
      <c r="O649" s="1">
        <v>0.0</v>
      </c>
      <c r="P649" s="1">
        <v>0.0</v>
      </c>
      <c r="Q649" s="1">
        <v>0.0</v>
      </c>
      <c r="R649" s="1">
        <v>0.0</v>
      </c>
      <c r="S649" s="1">
        <v>0.0</v>
      </c>
    </row>
    <row r="650" ht="14.25" hidden="1" customHeight="1">
      <c r="A650" s="1" t="s">
        <v>5</v>
      </c>
      <c r="B650" s="1" t="s">
        <v>49</v>
      </c>
      <c r="C650" s="1" t="s">
        <v>29</v>
      </c>
      <c r="D650" s="1" t="s">
        <v>11</v>
      </c>
      <c r="E650" s="1">
        <v>0.0</v>
      </c>
      <c r="F650" s="1">
        <v>0.0</v>
      </c>
      <c r="G650" s="2">
        <v>1.23415E-5</v>
      </c>
      <c r="H650" s="2">
        <v>7.98329E-6</v>
      </c>
      <c r="I650" s="2">
        <v>3.86987E-6</v>
      </c>
      <c r="J650" s="2">
        <v>1.57321E-6</v>
      </c>
      <c r="K650" s="2">
        <v>1.67472E-6</v>
      </c>
      <c r="L650" s="2">
        <v>1.81079E-6</v>
      </c>
      <c r="M650" s="2">
        <v>5.36532E-7</v>
      </c>
      <c r="N650" s="2">
        <v>6.6068E-7</v>
      </c>
      <c r="O650" s="2">
        <v>7.82131E-7</v>
      </c>
      <c r="P650" s="2">
        <v>8.38691E-7</v>
      </c>
      <c r="Q650" s="2">
        <v>8.84944E-7</v>
      </c>
      <c r="R650" s="2">
        <v>9.35804099999999E-7</v>
      </c>
      <c r="S650" s="2">
        <v>9.765569E-7</v>
      </c>
    </row>
    <row r="651" ht="14.25" hidden="1" customHeight="1">
      <c r="A651" s="1" t="s">
        <v>5</v>
      </c>
      <c r="B651" s="1" t="s">
        <v>49</v>
      </c>
      <c r="C651" s="1" t="s">
        <v>29</v>
      </c>
      <c r="D651" s="1" t="s">
        <v>13</v>
      </c>
      <c r="E651" s="2">
        <v>5.20501E-6</v>
      </c>
      <c r="F651" s="2">
        <v>9.6703E-6</v>
      </c>
      <c r="G651" s="2">
        <v>5.8591E-5</v>
      </c>
      <c r="H651" s="2">
        <v>4.39719E-5</v>
      </c>
      <c r="I651" s="2">
        <v>2.7274E-5</v>
      </c>
      <c r="J651" s="2">
        <v>2.92955E-5</v>
      </c>
      <c r="K651" s="2">
        <v>2.06342E-5</v>
      </c>
      <c r="L651" s="2">
        <v>1.33653E-5</v>
      </c>
      <c r="M651" s="1">
        <v>0.0</v>
      </c>
      <c r="N651" s="1">
        <v>0.0</v>
      </c>
      <c r="O651" s="1">
        <v>0.0</v>
      </c>
      <c r="P651" s="1">
        <v>0.0</v>
      </c>
      <c r="Q651" s="1">
        <v>0.0</v>
      </c>
      <c r="R651" s="1">
        <v>0.0</v>
      </c>
      <c r="S651" s="1">
        <v>0.0</v>
      </c>
    </row>
    <row r="652" ht="14.25" hidden="1" customHeight="1">
      <c r="A652" s="1" t="s">
        <v>5</v>
      </c>
      <c r="B652" s="1" t="s">
        <v>49</v>
      </c>
      <c r="C652" s="1" t="s">
        <v>29</v>
      </c>
      <c r="D652" s="1" t="s">
        <v>14</v>
      </c>
      <c r="E652" s="2">
        <v>9.54198E-7</v>
      </c>
      <c r="F652" s="2">
        <v>1.9E-6</v>
      </c>
      <c r="G652" s="2">
        <v>1.16858E-5</v>
      </c>
      <c r="H652" s="2">
        <v>9.02968277E-6</v>
      </c>
      <c r="I652" s="2">
        <v>8.38829329E-6</v>
      </c>
      <c r="J652" s="2">
        <v>7.43195078E-6</v>
      </c>
      <c r="K652" s="2">
        <v>7.29992438E-6</v>
      </c>
      <c r="L652" s="2">
        <v>6.91310198E-6</v>
      </c>
      <c r="M652" s="2">
        <v>5.03999748E-6</v>
      </c>
      <c r="N652" s="2">
        <v>5.741148E-6</v>
      </c>
      <c r="O652" s="2">
        <v>6.587719E-6</v>
      </c>
      <c r="P652" s="2">
        <v>7.679172E-6</v>
      </c>
      <c r="Q652" s="2">
        <v>8.825734E-6</v>
      </c>
      <c r="R652" s="2">
        <v>1.0033342E-5</v>
      </c>
      <c r="S652" s="2">
        <v>1.1083487E-5</v>
      </c>
    </row>
    <row r="653" ht="14.25" hidden="1" customHeight="1">
      <c r="A653" s="1" t="s">
        <v>5</v>
      </c>
      <c r="B653" s="1" t="s">
        <v>50</v>
      </c>
      <c r="C653" s="1" t="s">
        <v>7</v>
      </c>
      <c r="D653" s="1" t="s">
        <v>8</v>
      </c>
      <c r="E653" s="1">
        <v>0.0133181</v>
      </c>
      <c r="F653" s="1">
        <v>0.0169559</v>
      </c>
      <c r="G653" s="1">
        <v>0.0181456</v>
      </c>
      <c r="H653" s="1">
        <v>0.00285529</v>
      </c>
      <c r="I653" s="1">
        <v>0.0019023</v>
      </c>
      <c r="J653" s="2">
        <v>4.00927E-4</v>
      </c>
      <c r="K653" s="2">
        <v>3.11987E-4</v>
      </c>
      <c r="L653" s="2">
        <v>2.88215E-4</v>
      </c>
      <c r="M653" s="2">
        <v>1.99646E-4</v>
      </c>
      <c r="N653" s="2">
        <v>1.13914E-4</v>
      </c>
      <c r="O653" s="1">
        <v>0.0</v>
      </c>
      <c r="P653" s="1">
        <v>0.0</v>
      </c>
      <c r="Q653" s="1">
        <v>0.0</v>
      </c>
      <c r="R653" s="1">
        <v>0.0</v>
      </c>
      <c r="S653" s="1">
        <v>0.0</v>
      </c>
    </row>
    <row r="654" ht="14.25" hidden="1" customHeight="1">
      <c r="A654" s="1" t="s">
        <v>5</v>
      </c>
      <c r="B654" s="1" t="s">
        <v>50</v>
      </c>
      <c r="C654" s="1" t="s">
        <v>9</v>
      </c>
      <c r="D654" s="1" t="s">
        <v>8</v>
      </c>
      <c r="E654" s="1">
        <v>0.00313499</v>
      </c>
      <c r="F654" s="1">
        <v>0.00274964</v>
      </c>
      <c r="G654" s="1">
        <v>0.00404401</v>
      </c>
      <c r="H654" s="2">
        <v>4.87744E-4</v>
      </c>
      <c r="I654" s="1">
        <v>0.0218755</v>
      </c>
      <c r="J654" s="2">
        <v>1.01862E-10</v>
      </c>
      <c r="K654" s="1">
        <v>0.0</v>
      </c>
      <c r="L654" s="1">
        <v>0.0</v>
      </c>
      <c r="M654" s="1">
        <v>0.0</v>
      </c>
      <c r="N654" s="1">
        <v>0.0</v>
      </c>
      <c r="O654" s="1">
        <v>0.0</v>
      </c>
      <c r="P654" s="1">
        <v>0.0</v>
      </c>
      <c r="Q654" s="1">
        <v>0.0</v>
      </c>
      <c r="R654" s="1">
        <v>0.0</v>
      </c>
      <c r="S654" s="1">
        <v>0.0</v>
      </c>
    </row>
    <row r="655" ht="14.25" hidden="1" customHeight="1">
      <c r="A655" s="1" t="s">
        <v>5</v>
      </c>
      <c r="B655" s="1" t="s">
        <v>50</v>
      </c>
      <c r="C655" s="1" t="s">
        <v>9</v>
      </c>
      <c r="D655" s="1" t="s">
        <v>10</v>
      </c>
      <c r="E655" s="2">
        <v>6.59197E-4</v>
      </c>
      <c r="F655" s="2">
        <v>5.782E-4</v>
      </c>
      <c r="G655" s="2">
        <v>6.79197E-4</v>
      </c>
      <c r="H655" s="2">
        <v>8.41531E-7</v>
      </c>
      <c r="I655" s="1">
        <v>0.00147409</v>
      </c>
      <c r="J655" s="1">
        <v>0.0379791</v>
      </c>
      <c r="K655" s="1">
        <v>0.0</v>
      </c>
      <c r="L655" s="1">
        <v>0.0</v>
      </c>
      <c r="M655" s="1">
        <v>0.0</v>
      </c>
      <c r="N655" s="1">
        <v>0.0</v>
      </c>
      <c r="O655" s="1">
        <v>0.0</v>
      </c>
      <c r="P655" s="1">
        <v>0.0</v>
      </c>
      <c r="Q655" s="1">
        <v>0.0</v>
      </c>
      <c r="R655" s="1">
        <v>0.0</v>
      </c>
      <c r="S655" s="1">
        <v>0.0</v>
      </c>
    </row>
    <row r="656" ht="14.25" hidden="1" customHeight="1">
      <c r="A656" s="1" t="s">
        <v>5</v>
      </c>
      <c r="B656" s="1" t="s">
        <v>50</v>
      </c>
      <c r="C656" s="1" t="s">
        <v>9</v>
      </c>
      <c r="D656" s="1" t="s">
        <v>11</v>
      </c>
      <c r="E656" s="2">
        <v>6.59199E-4</v>
      </c>
      <c r="F656" s="2">
        <v>5.782E-4</v>
      </c>
      <c r="G656" s="2">
        <v>6.792E-4</v>
      </c>
      <c r="H656" s="2">
        <v>1.77285E-4</v>
      </c>
      <c r="I656" s="2">
        <v>6.48668E-7</v>
      </c>
      <c r="J656" s="2">
        <v>1.81828E-5</v>
      </c>
      <c r="K656" s="1">
        <v>0.0</v>
      </c>
      <c r="L656" s="1">
        <v>0.0</v>
      </c>
      <c r="M656" s="1">
        <v>0.0</v>
      </c>
      <c r="N656" s="1">
        <v>0.0</v>
      </c>
      <c r="O656" s="1">
        <v>0.0</v>
      </c>
      <c r="P656" s="1">
        <v>0.0</v>
      </c>
      <c r="Q656" s="1">
        <v>0.0</v>
      </c>
      <c r="R656" s="1">
        <v>0.0</v>
      </c>
      <c r="S656" s="1">
        <v>0.0</v>
      </c>
    </row>
    <row r="657" ht="14.25" hidden="1" customHeight="1">
      <c r="A657" s="1" t="s">
        <v>5</v>
      </c>
      <c r="B657" s="1" t="s">
        <v>50</v>
      </c>
      <c r="C657" s="1" t="s">
        <v>9</v>
      </c>
      <c r="D657" s="1" t="s">
        <v>12</v>
      </c>
      <c r="E657" s="2">
        <v>6.57862E-5</v>
      </c>
      <c r="F657" s="2">
        <v>5.77824E-5</v>
      </c>
      <c r="G657" s="2">
        <v>6.79728E-5</v>
      </c>
      <c r="H657" s="2">
        <v>6.52114E-5</v>
      </c>
      <c r="I657" s="2">
        <v>5.69382E-6</v>
      </c>
      <c r="J657" s="2">
        <v>2.09424E-6</v>
      </c>
      <c r="K657" s="1">
        <v>0.0</v>
      </c>
      <c r="L657" s="1">
        <v>0.0</v>
      </c>
      <c r="M657" s="1">
        <v>0.0</v>
      </c>
      <c r="N657" s="1">
        <v>0.0</v>
      </c>
      <c r="O657" s="1">
        <v>0.0</v>
      </c>
      <c r="P657" s="1">
        <v>0.0</v>
      </c>
      <c r="Q657" s="1">
        <v>0.0</v>
      </c>
      <c r="R657" s="1">
        <v>0.0</v>
      </c>
      <c r="S657" s="1">
        <v>0.0</v>
      </c>
    </row>
    <row r="658" ht="14.25" hidden="1" customHeight="1">
      <c r="A658" s="1" t="s">
        <v>5</v>
      </c>
      <c r="B658" s="1" t="s">
        <v>50</v>
      </c>
      <c r="C658" s="1" t="s">
        <v>9</v>
      </c>
      <c r="D658" s="1" t="s">
        <v>13</v>
      </c>
      <c r="E658" s="1">
        <v>0.0</v>
      </c>
      <c r="F658" s="1">
        <v>0.0</v>
      </c>
      <c r="G658" s="1">
        <v>0.0</v>
      </c>
      <c r="H658" s="1">
        <v>0.00416307</v>
      </c>
      <c r="I658" s="1">
        <v>0.0</v>
      </c>
      <c r="J658" s="1">
        <v>0.0</v>
      </c>
      <c r="K658" s="1">
        <v>0.0</v>
      </c>
      <c r="L658" s="1">
        <v>0.0</v>
      </c>
      <c r="M658" s="1">
        <v>0.0</v>
      </c>
      <c r="N658" s="1">
        <v>0.0</v>
      </c>
      <c r="O658" s="1">
        <v>0.0</v>
      </c>
      <c r="P658" s="1">
        <v>0.0</v>
      </c>
      <c r="Q658" s="1">
        <v>0.0</v>
      </c>
      <c r="R658" s="1">
        <v>0.0</v>
      </c>
      <c r="S658" s="1">
        <v>0.0</v>
      </c>
    </row>
    <row r="659" ht="14.25" hidden="1" customHeight="1">
      <c r="A659" s="1" t="s">
        <v>5</v>
      </c>
      <c r="B659" s="1" t="s">
        <v>50</v>
      </c>
      <c r="C659" s="1" t="s">
        <v>9</v>
      </c>
      <c r="D659" s="1" t="s">
        <v>14</v>
      </c>
      <c r="E659" s="1">
        <v>0.0</v>
      </c>
      <c r="F659" s="1">
        <v>0.0</v>
      </c>
      <c r="G659" s="1">
        <v>0.0</v>
      </c>
      <c r="H659" s="2">
        <v>3.41612E-5</v>
      </c>
      <c r="I659" s="1">
        <v>0.0</v>
      </c>
      <c r="J659" s="1">
        <v>0.0</v>
      </c>
      <c r="K659" s="1">
        <v>0.0</v>
      </c>
      <c r="L659" s="1">
        <v>0.0</v>
      </c>
      <c r="M659" s="1">
        <v>0.0</v>
      </c>
      <c r="N659" s="1">
        <v>0.0</v>
      </c>
      <c r="O659" s="1">
        <v>0.0</v>
      </c>
      <c r="P659" s="1">
        <v>0.0</v>
      </c>
      <c r="Q659" s="1">
        <v>0.0</v>
      </c>
      <c r="R659" s="1">
        <v>0.0</v>
      </c>
      <c r="S659" s="1">
        <v>0.0</v>
      </c>
    </row>
    <row r="660" ht="14.25" hidden="1" customHeight="1">
      <c r="A660" s="1" t="s">
        <v>5</v>
      </c>
      <c r="B660" s="1" t="s">
        <v>50</v>
      </c>
      <c r="C660" s="1" t="s">
        <v>15</v>
      </c>
      <c r="D660" s="1" t="s">
        <v>16</v>
      </c>
      <c r="E660" s="1">
        <v>0.0</v>
      </c>
      <c r="F660" s="1">
        <v>0.0</v>
      </c>
      <c r="G660" s="2">
        <v>2.00901E-4</v>
      </c>
      <c r="H660" s="2">
        <v>1.55073E-4</v>
      </c>
      <c r="I660" s="1">
        <v>0.001429199</v>
      </c>
      <c r="J660" s="1">
        <v>0.005488241</v>
      </c>
      <c r="K660" s="1">
        <v>0.010451577</v>
      </c>
      <c r="L660" s="1">
        <v>0.016748474</v>
      </c>
      <c r="M660" s="1">
        <v>0.024984828</v>
      </c>
      <c r="N660" s="1">
        <v>0.033338587</v>
      </c>
      <c r="O660" s="1">
        <v>0.041962593</v>
      </c>
      <c r="P660" s="1">
        <v>0.050951489</v>
      </c>
      <c r="Q660" s="1">
        <v>0.05995272</v>
      </c>
      <c r="R660" s="1">
        <v>0.06882463</v>
      </c>
      <c r="S660" s="1">
        <v>0.07764503</v>
      </c>
    </row>
    <row r="661" ht="14.25" hidden="1" customHeight="1">
      <c r="A661" s="1" t="s">
        <v>5</v>
      </c>
      <c r="B661" s="1" t="s">
        <v>50</v>
      </c>
      <c r="C661" s="1" t="s">
        <v>15</v>
      </c>
      <c r="D661" s="1" t="s">
        <v>13</v>
      </c>
      <c r="E661" s="1">
        <v>0.0</v>
      </c>
      <c r="F661" s="1">
        <v>0.0</v>
      </c>
      <c r="G661" s="2">
        <v>1.196E-4</v>
      </c>
      <c r="H661" s="2">
        <v>9.23175E-5</v>
      </c>
      <c r="I661" s="2">
        <v>6.72748E-5</v>
      </c>
      <c r="J661" s="2">
        <v>5.97998E-5</v>
      </c>
      <c r="K661" s="2">
        <v>4.21198E-5</v>
      </c>
      <c r="L661" s="2">
        <v>2.72822E-5</v>
      </c>
      <c r="M661" s="1">
        <v>0.0</v>
      </c>
      <c r="N661" s="1">
        <v>0.0</v>
      </c>
      <c r="O661" s="1">
        <v>0.0</v>
      </c>
      <c r="P661" s="1">
        <v>0.0</v>
      </c>
      <c r="Q661" s="1">
        <v>0.0</v>
      </c>
      <c r="R661" s="1">
        <v>0.0</v>
      </c>
      <c r="S661" s="1">
        <v>0.0</v>
      </c>
    </row>
    <row r="662" ht="14.25" customHeight="1">
      <c r="A662" s="1" t="s">
        <v>5</v>
      </c>
      <c r="B662" s="1" t="s">
        <v>50</v>
      </c>
      <c r="C662" s="1" t="s">
        <v>15</v>
      </c>
      <c r="D662" s="1" t="s">
        <v>14</v>
      </c>
      <c r="E662" s="1">
        <v>0.0</v>
      </c>
      <c r="F662" s="1">
        <v>0.0</v>
      </c>
      <c r="G662" s="2">
        <v>1.196E-4</v>
      </c>
      <c r="H662" s="1">
        <v>0.0103359177</v>
      </c>
      <c r="I662" s="1">
        <v>0.00899672799999999</v>
      </c>
      <c r="J662" s="1">
        <v>0.0323646586</v>
      </c>
      <c r="K662" s="1">
        <v>0.0547095311</v>
      </c>
      <c r="L662" s="1">
        <v>0.0741681862</v>
      </c>
      <c r="M662" s="1">
        <v>0.100889826709999</v>
      </c>
      <c r="N662" s="1">
        <v>0.12147378933</v>
      </c>
      <c r="O662" s="1">
        <v>0.14389496</v>
      </c>
      <c r="P662" s="1">
        <v>0.16421409</v>
      </c>
      <c r="Q662" s="1">
        <v>0.18470989</v>
      </c>
      <c r="R662" s="1">
        <v>0.20501586</v>
      </c>
      <c r="S662" s="1">
        <v>0.2251367</v>
      </c>
    </row>
    <row r="663" ht="14.25" hidden="1" customHeight="1">
      <c r="A663" s="1" t="s">
        <v>5</v>
      </c>
      <c r="B663" s="1" t="s">
        <v>50</v>
      </c>
      <c r="C663" s="1" t="s">
        <v>17</v>
      </c>
      <c r="D663" s="1" t="s">
        <v>16</v>
      </c>
      <c r="E663" s="2">
        <v>1.06999E-5</v>
      </c>
      <c r="F663" s="2">
        <v>3.32999E-5</v>
      </c>
      <c r="G663" s="2">
        <v>1.77501E-4</v>
      </c>
      <c r="H663" s="2">
        <v>4.34226E-4</v>
      </c>
      <c r="I663" s="2">
        <v>3.72928777E-4</v>
      </c>
      <c r="J663" s="2">
        <v>3.46744988E-4</v>
      </c>
      <c r="K663" s="2">
        <v>2.78053848E-4</v>
      </c>
      <c r="L663" s="2">
        <v>2.14269689E-4</v>
      </c>
      <c r="M663" s="2">
        <v>1.80430929E-4</v>
      </c>
      <c r="N663" s="2">
        <v>1.747046896E-4</v>
      </c>
      <c r="O663" s="2">
        <v>2.0796858E-4</v>
      </c>
      <c r="P663" s="2">
        <v>2.4795327E-4</v>
      </c>
      <c r="Q663" s="2">
        <v>2.8954426E-4</v>
      </c>
      <c r="R663" s="2">
        <v>3.3432551E-4</v>
      </c>
      <c r="S663" s="2">
        <v>3.8145784E-4</v>
      </c>
    </row>
    <row r="664" ht="14.25" hidden="1" customHeight="1">
      <c r="A664" s="1" t="s">
        <v>5</v>
      </c>
      <c r="B664" s="1" t="s">
        <v>50</v>
      </c>
      <c r="C664" s="1" t="s">
        <v>17</v>
      </c>
      <c r="D664" s="1" t="s">
        <v>18</v>
      </c>
      <c r="E664" s="1">
        <v>0.00156031</v>
      </c>
      <c r="F664" s="1">
        <v>0.00485412</v>
      </c>
      <c r="G664" s="1">
        <v>0.0258445</v>
      </c>
      <c r="H664" s="1">
        <v>0.0233289</v>
      </c>
      <c r="I664" s="1">
        <v>0.013731</v>
      </c>
      <c r="J664" s="1">
        <v>0.0416874</v>
      </c>
      <c r="K664" s="1">
        <v>0.0572118</v>
      </c>
      <c r="L664" s="1">
        <v>0.07428544</v>
      </c>
      <c r="M664" s="1">
        <v>0.0921058</v>
      </c>
      <c r="N664" s="1">
        <v>0.110866</v>
      </c>
      <c r="O664" s="1">
        <v>0.129525029999999</v>
      </c>
      <c r="P664" s="1">
        <v>0.14781982</v>
      </c>
      <c r="Q664" s="1">
        <v>0.165475209999999</v>
      </c>
      <c r="R664" s="1">
        <v>0.18219984</v>
      </c>
      <c r="S664" s="1">
        <v>0.19697145</v>
      </c>
    </row>
    <row r="665" ht="14.25" hidden="1" customHeight="1">
      <c r="A665" s="1" t="s">
        <v>5</v>
      </c>
      <c r="B665" s="1" t="s">
        <v>50</v>
      </c>
      <c r="C665" s="1" t="s">
        <v>17</v>
      </c>
      <c r="D665" s="1" t="s">
        <v>19</v>
      </c>
      <c r="E665" s="2">
        <v>7.094E-4</v>
      </c>
      <c r="F665" s="1">
        <v>0.002207</v>
      </c>
      <c r="G665" s="1">
        <v>0.0117507</v>
      </c>
      <c r="H665" s="1">
        <v>0.01377135</v>
      </c>
      <c r="I665" s="1">
        <v>0.00346551999999999</v>
      </c>
      <c r="J665" s="1">
        <v>0.02260405</v>
      </c>
      <c r="K665" s="1">
        <v>0.03073779</v>
      </c>
      <c r="L665" s="1">
        <v>0.04041171</v>
      </c>
      <c r="M665" s="1">
        <v>0.05102644</v>
      </c>
      <c r="N665" s="1">
        <v>0.0627229</v>
      </c>
      <c r="O665" s="1">
        <v>0.07535554</v>
      </c>
      <c r="P665" s="1">
        <v>0.0885940799999999</v>
      </c>
      <c r="Q665" s="1">
        <v>0.10208819</v>
      </c>
      <c r="R665" s="1">
        <v>0.11546531</v>
      </c>
      <c r="S665" s="1">
        <v>0.1283989</v>
      </c>
    </row>
    <row r="666" ht="14.25" hidden="1" customHeight="1">
      <c r="A666" s="1" t="s">
        <v>5</v>
      </c>
      <c r="B666" s="1" t="s">
        <v>50</v>
      </c>
      <c r="C666" s="1" t="s">
        <v>17</v>
      </c>
      <c r="D666" s="1" t="s">
        <v>8</v>
      </c>
      <c r="E666" s="2">
        <v>3.15099E-4</v>
      </c>
      <c r="F666" s="2">
        <v>9.80214E-4</v>
      </c>
      <c r="G666" s="1">
        <v>0.00521861</v>
      </c>
      <c r="H666" s="1">
        <v>0.00992716</v>
      </c>
      <c r="I666" s="1">
        <v>0.0070618860448</v>
      </c>
      <c r="J666" s="1">
        <v>0.0231454788648</v>
      </c>
      <c r="K666" s="1">
        <v>0.0325230630224</v>
      </c>
      <c r="L666" s="1">
        <v>0.04322728717999</v>
      </c>
      <c r="M666" s="1">
        <v>0.0546637799999999</v>
      </c>
      <c r="N666" s="1">
        <v>0.06691737</v>
      </c>
      <c r="O666" s="1">
        <v>0.08003357</v>
      </c>
      <c r="P666" s="1">
        <v>0.0935172</v>
      </c>
      <c r="Q666" s="1">
        <v>0.10709344</v>
      </c>
      <c r="R666" s="1">
        <v>0.1203616</v>
      </c>
      <c r="S666" s="1">
        <v>0.1330072</v>
      </c>
    </row>
    <row r="667" ht="14.25" hidden="1" customHeight="1">
      <c r="A667" s="1" t="s">
        <v>5</v>
      </c>
      <c r="B667" s="1" t="s">
        <v>50</v>
      </c>
      <c r="C667" s="1" t="s">
        <v>17</v>
      </c>
      <c r="D667" s="1" t="s">
        <v>20</v>
      </c>
      <c r="E667" s="2">
        <v>2.35789E-4</v>
      </c>
      <c r="F667" s="2">
        <v>7.33684E-4</v>
      </c>
      <c r="G667" s="1">
        <v>0.00390526</v>
      </c>
      <c r="H667" s="1">
        <v>0.00472420999999999</v>
      </c>
      <c r="I667" s="1">
        <v>0.00237917</v>
      </c>
      <c r="J667" s="1">
        <v>0.007960642</v>
      </c>
      <c r="K667" s="1">
        <v>0.0109753</v>
      </c>
      <c r="L667" s="1">
        <v>0.01414465</v>
      </c>
      <c r="M667" s="1">
        <v>0.01769808</v>
      </c>
      <c r="N667" s="1">
        <v>0.02163098</v>
      </c>
      <c r="O667" s="1">
        <v>0.02583278</v>
      </c>
      <c r="P667" s="1">
        <v>0.0301653299999999</v>
      </c>
      <c r="Q667" s="1">
        <v>0.03453554</v>
      </c>
      <c r="R667" s="1">
        <v>0.03881477</v>
      </c>
      <c r="S667" s="1">
        <v>0.04288309</v>
      </c>
    </row>
    <row r="668" ht="14.25" hidden="1" customHeight="1">
      <c r="A668" s="1" t="s">
        <v>5</v>
      </c>
      <c r="B668" s="1" t="s">
        <v>50</v>
      </c>
      <c r="C668" s="1" t="s">
        <v>21</v>
      </c>
      <c r="D668" s="1" t="s">
        <v>10</v>
      </c>
      <c r="E668" s="1">
        <v>0.00259249</v>
      </c>
      <c r="F668" s="1">
        <v>0.00806499</v>
      </c>
      <c r="G668" s="1">
        <v>0.0137502</v>
      </c>
      <c r="H668" s="1">
        <v>0.01684123</v>
      </c>
      <c r="I668" s="1">
        <v>0.01455098</v>
      </c>
      <c r="J668" s="1">
        <v>0.00974752352</v>
      </c>
      <c r="K668" s="1">
        <v>0.02301243459</v>
      </c>
      <c r="L668" s="1">
        <v>0.02565847449</v>
      </c>
      <c r="M668" s="1">
        <v>0.02722909472</v>
      </c>
      <c r="N668" s="1">
        <v>0.02814057</v>
      </c>
      <c r="O668" s="1">
        <v>0.02777636</v>
      </c>
      <c r="P668" s="1">
        <v>0.02796964</v>
      </c>
      <c r="Q668" s="1">
        <v>0.02796267</v>
      </c>
      <c r="R668" s="1">
        <v>0.0276472399999999</v>
      </c>
      <c r="S668" s="1">
        <v>0.02705651</v>
      </c>
    </row>
    <row r="669" ht="14.25" hidden="1" customHeight="1">
      <c r="A669" s="1" t="s">
        <v>5</v>
      </c>
      <c r="B669" s="1" t="s">
        <v>50</v>
      </c>
      <c r="C669" s="1" t="s">
        <v>21</v>
      </c>
      <c r="D669" s="1" t="s">
        <v>11</v>
      </c>
      <c r="E669" s="2">
        <v>1.08E-5</v>
      </c>
      <c r="F669" s="2">
        <v>3.36E-5</v>
      </c>
      <c r="G669" s="2">
        <v>5.73E-5</v>
      </c>
      <c r="H669" s="1">
        <v>0.0210153492</v>
      </c>
      <c r="I669" s="1">
        <v>0.02803881</v>
      </c>
      <c r="J669" s="1">
        <v>0.01128935</v>
      </c>
      <c r="K669" s="1">
        <v>0.002270306</v>
      </c>
      <c r="L669" s="2">
        <v>6.85361E-4</v>
      </c>
      <c r="M669" s="2">
        <v>3.98972E-4</v>
      </c>
      <c r="N669" s="2">
        <v>3.67317E-4</v>
      </c>
      <c r="O669" s="2">
        <v>3.18883E-4</v>
      </c>
      <c r="P669" s="2">
        <v>3.271161E-4</v>
      </c>
      <c r="Q669" s="2">
        <v>3.08669E-4</v>
      </c>
      <c r="R669" s="2">
        <v>2.810933E-4</v>
      </c>
      <c r="S669" s="2">
        <v>2.759509E-4</v>
      </c>
    </row>
    <row r="670" ht="14.25" hidden="1" customHeight="1">
      <c r="A670" s="1" t="s">
        <v>5</v>
      </c>
      <c r="B670" s="1" t="s">
        <v>50</v>
      </c>
      <c r="C670" s="1" t="s">
        <v>21</v>
      </c>
      <c r="D670" s="1" t="s">
        <v>22</v>
      </c>
      <c r="E670" s="2">
        <v>4.969E-4</v>
      </c>
      <c r="F670" s="1">
        <v>0.0015458</v>
      </c>
      <c r="G670" s="1">
        <v>0.0026355</v>
      </c>
      <c r="H670" s="1">
        <v>0.00379894999999999</v>
      </c>
      <c r="I670" s="1">
        <v>0.0029916</v>
      </c>
      <c r="J670" s="1">
        <v>0.006914972</v>
      </c>
      <c r="K670" s="1">
        <v>0.00595327</v>
      </c>
      <c r="L670" s="1">
        <v>0.00614792</v>
      </c>
      <c r="M670" s="1">
        <v>0.00590887</v>
      </c>
      <c r="N670" s="1">
        <v>0.00584763999999999</v>
      </c>
      <c r="O670" s="1">
        <v>0.00559308</v>
      </c>
      <c r="P670" s="1">
        <v>0.00544482999999999</v>
      </c>
      <c r="Q670" s="1">
        <v>0.00536839</v>
      </c>
      <c r="R670" s="1">
        <v>0.00531017999999999</v>
      </c>
      <c r="S670" s="1">
        <v>0.0052146</v>
      </c>
    </row>
    <row r="671" ht="14.25" hidden="1" customHeight="1">
      <c r="A671" s="1" t="s">
        <v>5</v>
      </c>
      <c r="B671" s="1" t="s">
        <v>50</v>
      </c>
      <c r="C671" s="1" t="s">
        <v>21</v>
      </c>
      <c r="D671" s="1" t="s">
        <v>23</v>
      </c>
      <c r="E671" s="2">
        <v>1.0821E-5</v>
      </c>
      <c r="F671" s="2">
        <v>3.359771E-5</v>
      </c>
      <c r="G671" s="2">
        <v>5.72975E-5</v>
      </c>
      <c r="H671" s="2">
        <v>1.2144483E-4</v>
      </c>
      <c r="I671" s="2">
        <v>1.1290767E-4</v>
      </c>
      <c r="J671" s="2">
        <v>2.1441693E-4</v>
      </c>
      <c r="K671" s="2">
        <v>2.031865E-4</v>
      </c>
      <c r="L671" s="2">
        <v>2.281954E-4</v>
      </c>
      <c r="M671" s="2">
        <v>2.482737E-4</v>
      </c>
      <c r="N671" s="2">
        <v>2.711334E-4</v>
      </c>
      <c r="O671" s="2">
        <v>2.651623E-4</v>
      </c>
      <c r="P671" s="2">
        <v>2.862965E-4</v>
      </c>
      <c r="Q671" s="2">
        <v>3.133643E-4</v>
      </c>
      <c r="R671" s="2">
        <v>3.392022E-4</v>
      </c>
      <c r="S671" s="2">
        <v>3.615537E-4</v>
      </c>
    </row>
    <row r="672" ht="14.25" hidden="1" customHeight="1">
      <c r="A672" s="1" t="s">
        <v>5</v>
      </c>
      <c r="B672" s="1" t="s">
        <v>50</v>
      </c>
      <c r="C672" s="1" t="s">
        <v>21</v>
      </c>
      <c r="D672" s="1" t="s">
        <v>24</v>
      </c>
      <c r="E672" s="1">
        <v>0.001434501</v>
      </c>
      <c r="F672" s="1">
        <v>0.0044626</v>
      </c>
      <c r="G672" s="1">
        <v>0.0076085</v>
      </c>
      <c r="H672" s="1">
        <v>0.0106003089999999</v>
      </c>
      <c r="I672" s="1">
        <v>0.00754235</v>
      </c>
      <c r="J672" s="1">
        <v>0.008512729</v>
      </c>
      <c r="K672" s="1">
        <v>0.00795769</v>
      </c>
      <c r="L672" s="1">
        <v>0.0079837</v>
      </c>
      <c r="M672" s="1">
        <v>0.00800519</v>
      </c>
      <c r="N672" s="1">
        <v>0.00798822</v>
      </c>
      <c r="O672" s="1">
        <v>0.00774357</v>
      </c>
      <c r="P672" s="1">
        <v>0.00778787</v>
      </c>
      <c r="Q672" s="1">
        <v>0.00777341</v>
      </c>
      <c r="R672" s="1">
        <v>0.00769521</v>
      </c>
      <c r="S672" s="1">
        <v>0.00755781</v>
      </c>
    </row>
    <row r="673" ht="14.25" hidden="1" customHeight="1">
      <c r="A673" s="1" t="s">
        <v>5</v>
      </c>
      <c r="B673" s="1" t="s">
        <v>50</v>
      </c>
      <c r="C673" s="1" t="s">
        <v>21</v>
      </c>
      <c r="D673" s="1" t="s">
        <v>12</v>
      </c>
      <c r="E673" s="2">
        <v>1.0981E-6</v>
      </c>
      <c r="F673" s="2">
        <v>3.39896E-6</v>
      </c>
      <c r="G673" s="2">
        <v>5.70611E-6</v>
      </c>
      <c r="H673" s="2">
        <v>1.14378E-5</v>
      </c>
      <c r="I673" s="2">
        <v>2.09147E-5</v>
      </c>
      <c r="J673" s="2">
        <v>4.31741E-5</v>
      </c>
      <c r="K673" s="2">
        <v>3.74643E-5</v>
      </c>
      <c r="L673" s="2">
        <v>3.87659E-5</v>
      </c>
      <c r="M673" s="2">
        <v>3.74053E-5</v>
      </c>
      <c r="N673" s="2">
        <v>3.71143E-5</v>
      </c>
      <c r="O673" s="2">
        <v>3.55187E-5</v>
      </c>
      <c r="P673" s="2">
        <v>3.46358E-5</v>
      </c>
      <c r="Q673" s="2">
        <v>3.41844E-5</v>
      </c>
      <c r="R673" s="2">
        <v>3.38329E-5</v>
      </c>
      <c r="S673" s="2">
        <v>3.32339E-5</v>
      </c>
    </row>
    <row r="674" ht="14.25" hidden="1" customHeight="1">
      <c r="A674" s="1" t="s">
        <v>5</v>
      </c>
      <c r="B674" s="1" t="s">
        <v>50</v>
      </c>
      <c r="C674" s="1" t="s">
        <v>21</v>
      </c>
      <c r="D674" s="1" t="s">
        <v>13</v>
      </c>
      <c r="E674" s="1">
        <v>0.00588688</v>
      </c>
      <c r="F674" s="1">
        <v>0.0183136</v>
      </c>
      <c r="G674" s="1">
        <v>0.0221355</v>
      </c>
      <c r="H674" s="1">
        <v>0.02305282</v>
      </c>
      <c r="I674" s="1">
        <v>0.01443506</v>
      </c>
      <c r="J674" s="1">
        <v>0.03237485</v>
      </c>
      <c r="K674" s="1">
        <v>0.0474079299999999</v>
      </c>
      <c r="L674" s="1">
        <v>0.06477563</v>
      </c>
      <c r="M674" s="1">
        <v>0.08678873</v>
      </c>
      <c r="N674" s="1">
        <v>0.11216831</v>
      </c>
      <c r="O674" s="1">
        <v>0.13841893</v>
      </c>
      <c r="P674" s="1">
        <v>0.16320854</v>
      </c>
      <c r="Q674" s="1">
        <v>0.186862299999999</v>
      </c>
      <c r="R674" s="1">
        <v>0.2095538</v>
      </c>
      <c r="S674" s="1">
        <v>0.2311572</v>
      </c>
    </row>
    <row r="675" ht="14.25" hidden="1" customHeight="1">
      <c r="A675" s="1" t="s">
        <v>5</v>
      </c>
      <c r="B675" s="1" t="s">
        <v>50</v>
      </c>
      <c r="C675" s="1" t="s">
        <v>21</v>
      </c>
      <c r="D675" s="1" t="s">
        <v>14</v>
      </c>
      <c r="E675" s="2">
        <v>1.09001E-5</v>
      </c>
      <c r="F675" s="2">
        <v>3.39E-5</v>
      </c>
      <c r="G675" s="2">
        <v>4.1E-5</v>
      </c>
      <c r="H675" s="1">
        <v>0.0031795319</v>
      </c>
      <c r="I675" s="1">
        <v>0.00905701999999999</v>
      </c>
      <c r="J675" s="1">
        <v>0.0033768716</v>
      </c>
      <c r="K675" s="2">
        <v>2.79133E-5</v>
      </c>
      <c r="L675" s="2">
        <v>1.38695E-5</v>
      </c>
      <c r="M675" s="2">
        <v>1.606577E-5</v>
      </c>
      <c r="N675" s="2">
        <v>2.013365E-5</v>
      </c>
      <c r="O675" s="2">
        <v>2.606714E-5</v>
      </c>
      <c r="P675" s="2">
        <v>3.396219E-5</v>
      </c>
      <c r="Q675" s="2">
        <v>3.9169E-5</v>
      </c>
      <c r="R675" s="2">
        <v>4.50378E-5</v>
      </c>
      <c r="S675" s="2">
        <v>5.14825E-5</v>
      </c>
    </row>
    <row r="676" ht="14.25" hidden="1" customHeight="1">
      <c r="A676" s="1" t="s">
        <v>5</v>
      </c>
      <c r="B676" s="1" t="s">
        <v>50</v>
      </c>
      <c r="C676" s="1" t="s">
        <v>21</v>
      </c>
      <c r="D676" s="1" t="s">
        <v>25</v>
      </c>
      <c r="E676" s="1">
        <v>0.0023765</v>
      </c>
      <c r="F676" s="1">
        <v>0.0073933</v>
      </c>
      <c r="G676" s="1">
        <v>0.0089362</v>
      </c>
      <c r="H676" s="1">
        <v>0.0100555</v>
      </c>
      <c r="I676" s="1">
        <v>0.00963682</v>
      </c>
      <c r="J676" s="1">
        <v>0.00933126</v>
      </c>
      <c r="K676" s="1">
        <v>0.00831982</v>
      </c>
      <c r="L676" s="1">
        <v>0.00786933999999999</v>
      </c>
      <c r="M676" s="1">
        <v>0.00651519</v>
      </c>
      <c r="N676" s="1">
        <v>0.00771076</v>
      </c>
      <c r="O676" s="1">
        <v>0.00912759</v>
      </c>
      <c r="P676" s="1">
        <v>0.01067735</v>
      </c>
      <c r="Q676" s="1">
        <v>0.01235758</v>
      </c>
      <c r="R676" s="1">
        <v>0.01405768</v>
      </c>
      <c r="S676" s="1">
        <v>0.01556617</v>
      </c>
    </row>
    <row r="677" ht="14.25" hidden="1" customHeight="1">
      <c r="A677" s="1" t="s">
        <v>5</v>
      </c>
      <c r="B677" s="1" t="s">
        <v>50</v>
      </c>
      <c r="C677" s="1" t="s">
        <v>21</v>
      </c>
      <c r="D677" s="1" t="s">
        <v>26</v>
      </c>
      <c r="E677" s="2">
        <v>4.360975E-4</v>
      </c>
      <c r="F677" s="1">
        <v>0.00135661199999999</v>
      </c>
      <c r="G677" s="1">
        <v>0.001639724</v>
      </c>
      <c r="H677" s="1">
        <v>0.002476564</v>
      </c>
      <c r="I677" s="1">
        <v>0.00201521829999999</v>
      </c>
      <c r="J677" s="1">
        <v>0.0024615519</v>
      </c>
      <c r="K677" s="1">
        <v>0.00244284</v>
      </c>
      <c r="L677" s="1">
        <v>0.002560462</v>
      </c>
      <c r="M677" s="1">
        <v>0.00259992</v>
      </c>
      <c r="N677" s="1">
        <v>0.003743636</v>
      </c>
      <c r="O677" s="1">
        <v>0.005329103</v>
      </c>
      <c r="P677" s="1">
        <v>0.007339036</v>
      </c>
      <c r="Q677" s="1">
        <v>0.00977778</v>
      </c>
      <c r="R677" s="1">
        <v>0.01265028</v>
      </c>
      <c r="S677" s="1">
        <v>0.01580547</v>
      </c>
    </row>
    <row r="678" ht="14.25" hidden="1" customHeight="1">
      <c r="A678" s="1" t="s">
        <v>5</v>
      </c>
      <c r="B678" s="1" t="s">
        <v>50</v>
      </c>
      <c r="C678" s="1" t="s">
        <v>21</v>
      </c>
      <c r="D678" s="1" t="s">
        <v>27</v>
      </c>
      <c r="E678" s="1">
        <v>0.00258799899999999</v>
      </c>
      <c r="F678" s="1">
        <v>0.0080512</v>
      </c>
      <c r="G678" s="1">
        <v>0.0097315</v>
      </c>
      <c r="H678" s="1">
        <v>0.015889986</v>
      </c>
      <c r="I678" s="1">
        <v>0.013084491</v>
      </c>
      <c r="J678" s="1">
        <v>0.0238872789999999</v>
      </c>
      <c r="K678" s="1">
        <v>0.02797787</v>
      </c>
      <c r="L678" s="1">
        <v>0.03290817</v>
      </c>
      <c r="M678" s="1">
        <v>0.03958773</v>
      </c>
      <c r="N678" s="1">
        <v>0.04621904</v>
      </c>
      <c r="O678" s="1">
        <v>0.05310777</v>
      </c>
      <c r="P678" s="1">
        <v>0.061033</v>
      </c>
      <c r="Q678" s="1">
        <v>0.06913042</v>
      </c>
      <c r="R678" s="1">
        <v>0.0770071</v>
      </c>
      <c r="S678" s="1">
        <v>0.0846794999999999</v>
      </c>
    </row>
    <row r="679" ht="14.25" hidden="1" customHeight="1">
      <c r="A679" s="1" t="s">
        <v>5</v>
      </c>
      <c r="B679" s="1" t="s">
        <v>50</v>
      </c>
      <c r="C679" s="1" t="s">
        <v>21</v>
      </c>
      <c r="D679" s="1" t="s">
        <v>28</v>
      </c>
      <c r="E679" s="2">
        <v>1.1E-6</v>
      </c>
      <c r="F679" s="2">
        <v>3.4E-6</v>
      </c>
      <c r="G679" s="2">
        <v>4.1E-6</v>
      </c>
      <c r="H679" s="2">
        <v>3.6792E-6</v>
      </c>
      <c r="I679" s="2">
        <v>3.40693E-6</v>
      </c>
      <c r="J679" s="2">
        <v>3.75476E-6</v>
      </c>
      <c r="K679" s="2">
        <v>3.28214E-6</v>
      </c>
      <c r="L679" s="2">
        <v>3.04049E-6</v>
      </c>
      <c r="M679" s="2">
        <v>2.44102E-6</v>
      </c>
      <c r="N679" s="2">
        <v>2.84587E-6</v>
      </c>
      <c r="O679" s="2">
        <v>3.35029E-6</v>
      </c>
      <c r="P679" s="2">
        <v>3.91184E-6</v>
      </c>
      <c r="Q679" s="2">
        <v>4.52516E-6</v>
      </c>
      <c r="R679" s="2">
        <v>5.14703E-6</v>
      </c>
      <c r="S679" s="2">
        <v>5.69917E-6</v>
      </c>
    </row>
    <row r="680" ht="14.25" hidden="1" customHeight="1">
      <c r="A680" s="1" t="s">
        <v>5</v>
      </c>
      <c r="B680" s="1" t="s">
        <v>50</v>
      </c>
      <c r="C680" s="1" t="s">
        <v>29</v>
      </c>
      <c r="D680" s="1" t="s">
        <v>16</v>
      </c>
      <c r="E680" s="1">
        <v>0.0109942</v>
      </c>
      <c r="F680" s="1">
        <v>0.0211072</v>
      </c>
      <c r="G680" s="1">
        <v>0.00673814</v>
      </c>
      <c r="H680" s="1">
        <v>0.00741967</v>
      </c>
      <c r="I680" s="1">
        <v>0.007083544</v>
      </c>
      <c r="J680" s="1">
        <v>0.009317647</v>
      </c>
      <c r="K680" s="1">
        <v>0.01052881</v>
      </c>
      <c r="L680" s="1">
        <v>0.01159713</v>
      </c>
      <c r="M680" s="1">
        <v>0.011976695</v>
      </c>
      <c r="N680" s="1">
        <v>0.0130346179999999</v>
      </c>
      <c r="O680" s="1">
        <v>0.014391421</v>
      </c>
      <c r="P680" s="1">
        <v>0.015929205</v>
      </c>
      <c r="Q680" s="1">
        <v>0.017726824</v>
      </c>
      <c r="R680" s="1">
        <v>0.019662554</v>
      </c>
      <c r="S680" s="1">
        <v>0.021446145</v>
      </c>
    </row>
    <row r="681" ht="14.25" hidden="1" customHeight="1">
      <c r="A681" s="1" t="s">
        <v>5</v>
      </c>
      <c r="B681" s="1" t="s">
        <v>50</v>
      </c>
      <c r="C681" s="1" t="s">
        <v>29</v>
      </c>
      <c r="D681" s="1" t="s">
        <v>8</v>
      </c>
      <c r="E681" s="2">
        <v>4.77998E-5</v>
      </c>
      <c r="F681" s="2">
        <v>9.18013E-5</v>
      </c>
      <c r="G681" s="2">
        <v>2.93001E-5</v>
      </c>
      <c r="H681" s="2">
        <v>2.2837833E-5</v>
      </c>
      <c r="I681" s="2">
        <v>9.18530757E-4</v>
      </c>
      <c r="J681" s="2">
        <v>8.75347039E-4</v>
      </c>
      <c r="K681" s="2">
        <v>8.04513367E-4</v>
      </c>
      <c r="L681" s="2">
        <v>6.795952046E-4</v>
      </c>
      <c r="M681" s="2">
        <v>5.429534762E-4</v>
      </c>
      <c r="N681" s="2">
        <v>4.78115099999999E-4</v>
      </c>
      <c r="O681" s="2">
        <v>4.220168E-4</v>
      </c>
      <c r="P681" s="2">
        <v>4.770404E-4</v>
      </c>
      <c r="Q681" s="2">
        <v>5.353765E-4</v>
      </c>
      <c r="R681" s="2">
        <v>5.919184E-4</v>
      </c>
      <c r="S681" s="2">
        <v>6.41760699999999E-4</v>
      </c>
    </row>
    <row r="682" ht="14.25" hidden="1" customHeight="1">
      <c r="A682" s="1" t="s">
        <v>5</v>
      </c>
      <c r="B682" s="1" t="s">
        <v>50</v>
      </c>
      <c r="C682" s="1" t="s">
        <v>29</v>
      </c>
      <c r="D682" s="1" t="s">
        <v>10</v>
      </c>
      <c r="E682" s="2">
        <v>2.38999E-5</v>
      </c>
      <c r="F682" s="2">
        <v>4.6E-5</v>
      </c>
      <c r="G682" s="2">
        <v>4.38998E-5</v>
      </c>
      <c r="H682" s="1">
        <v>0.0021239857</v>
      </c>
      <c r="I682" s="1">
        <v>0.00184436311</v>
      </c>
      <c r="J682" s="1">
        <v>0.00152716584861</v>
      </c>
      <c r="K682" s="1">
        <v>0.00107581680599</v>
      </c>
      <c r="L682" s="2">
        <v>6.17076897799999E-4</v>
      </c>
      <c r="M682" s="2">
        <v>2.98080986809999E-4</v>
      </c>
      <c r="N682" s="2">
        <v>2.11182448099999E-5</v>
      </c>
      <c r="O682" s="2">
        <v>1.8074938622E-5</v>
      </c>
      <c r="P682" s="2">
        <v>1.490284E-5</v>
      </c>
      <c r="Q682" s="2">
        <v>1.176988E-5</v>
      </c>
      <c r="R682" s="2">
        <v>1.0195733E-5</v>
      </c>
      <c r="S682" s="2">
        <v>9.206137E-6</v>
      </c>
    </row>
    <row r="683" ht="14.25" hidden="1" customHeight="1">
      <c r="A683" s="1" t="s">
        <v>5</v>
      </c>
      <c r="B683" s="1" t="s">
        <v>50</v>
      </c>
      <c r="C683" s="1" t="s">
        <v>29</v>
      </c>
      <c r="D683" s="1" t="s">
        <v>11</v>
      </c>
      <c r="E683" s="1">
        <v>0.0156168</v>
      </c>
      <c r="F683" s="1">
        <v>0.0299817</v>
      </c>
      <c r="G683" s="1">
        <v>0.0286192</v>
      </c>
      <c r="H683" s="1">
        <v>0.022223629</v>
      </c>
      <c r="I683" s="1">
        <v>0.019601126</v>
      </c>
      <c r="J683" s="1">
        <v>0.0455006666</v>
      </c>
      <c r="K683" s="1">
        <v>0.0583255894</v>
      </c>
      <c r="L683" s="1">
        <v>0.0598004762</v>
      </c>
      <c r="M683" s="1">
        <v>0.0563320097</v>
      </c>
      <c r="N683" s="1">
        <v>0.055055282</v>
      </c>
      <c r="O683" s="1">
        <v>0.05236428</v>
      </c>
      <c r="P683" s="1">
        <v>0.05050992</v>
      </c>
      <c r="Q683" s="1">
        <v>0.0495815</v>
      </c>
      <c r="R683" s="1">
        <v>0.04891769</v>
      </c>
      <c r="S683" s="1">
        <v>0.04812009</v>
      </c>
    </row>
    <row r="684" ht="14.25" hidden="1" customHeight="1">
      <c r="A684" s="1" t="s">
        <v>5</v>
      </c>
      <c r="B684" s="1" t="s">
        <v>50</v>
      </c>
      <c r="C684" s="1" t="s">
        <v>29</v>
      </c>
      <c r="D684" s="1" t="s">
        <v>13</v>
      </c>
      <c r="E684" s="2">
        <v>2.39999E-5</v>
      </c>
      <c r="F684" s="2">
        <v>4.6E-5</v>
      </c>
      <c r="G684" s="2">
        <v>3.86999E-5</v>
      </c>
      <c r="H684" s="1">
        <v>0.033675772</v>
      </c>
      <c r="I684" s="1">
        <v>0.0253884687</v>
      </c>
      <c r="J684" s="1">
        <v>0.0326247599</v>
      </c>
      <c r="K684" s="1">
        <v>0.0380421291</v>
      </c>
      <c r="L684" s="1">
        <v>0.04291744793</v>
      </c>
      <c r="M684" s="1">
        <v>0.0471523499999999</v>
      </c>
      <c r="N684" s="1">
        <v>0.04828523</v>
      </c>
      <c r="O684" s="1">
        <v>0.05178606</v>
      </c>
      <c r="P684" s="1">
        <v>0.05369403</v>
      </c>
      <c r="Q684" s="1">
        <v>0.0562758899999999</v>
      </c>
      <c r="R684" s="1">
        <v>0.05925494</v>
      </c>
      <c r="S684" s="1">
        <v>0.0620465699999999</v>
      </c>
    </row>
    <row r="685" ht="14.25" hidden="1" customHeight="1">
      <c r="A685" s="1" t="s">
        <v>5</v>
      </c>
      <c r="B685" s="1" t="s">
        <v>50</v>
      </c>
      <c r="C685" s="1" t="s">
        <v>29</v>
      </c>
      <c r="D685" s="1" t="s">
        <v>14</v>
      </c>
      <c r="E685" s="1">
        <v>0.0507093</v>
      </c>
      <c r="F685" s="1">
        <v>0.097353</v>
      </c>
      <c r="G685" s="1">
        <v>0.0819595</v>
      </c>
      <c r="H685" s="1">
        <v>0.0633246138</v>
      </c>
      <c r="I685" s="1">
        <v>0.0566959149999999</v>
      </c>
      <c r="J685" s="1">
        <v>0.0460740639</v>
      </c>
      <c r="K685" s="1">
        <v>0.0347332069</v>
      </c>
      <c r="L685" s="1">
        <v>0.0248752399</v>
      </c>
      <c r="M685" s="1">
        <v>0.00723623376</v>
      </c>
      <c r="N685" s="1">
        <v>0.008521747</v>
      </c>
      <c r="O685" s="1">
        <v>0.010878174</v>
      </c>
      <c r="P685" s="1">
        <v>0.014324294</v>
      </c>
      <c r="Q685" s="1">
        <v>0.017962126</v>
      </c>
      <c r="R685" s="1">
        <v>0.021917084</v>
      </c>
      <c r="S685" s="1">
        <v>0.0256732439999999</v>
      </c>
    </row>
    <row r="686" ht="14.25" hidden="1" customHeight="1">
      <c r="A686" s="1" t="s">
        <v>5</v>
      </c>
      <c r="B686" s="1" t="s">
        <v>50</v>
      </c>
      <c r="C686" s="1" t="s">
        <v>31</v>
      </c>
      <c r="D686" s="1" t="s">
        <v>11</v>
      </c>
      <c r="E686" s="1">
        <v>0.0742737</v>
      </c>
      <c r="F686" s="1">
        <v>0.0870228</v>
      </c>
      <c r="G686" s="1">
        <v>0.0924932</v>
      </c>
      <c r="H686" s="1">
        <v>0.0</v>
      </c>
      <c r="I686" s="1">
        <v>0.0</v>
      </c>
      <c r="J686" s="1">
        <v>0.0</v>
      </c>
      <c r="K686" s="1">
        <v>0.0</v>
      </c>
      <c r="L686" s="1">
        <v>0.0</v>
      </c>
      <c r="M686" s="1">
        <v>0.0</v>
      </c>
      <c r="N686" s="1">
        <v>0.0</v>
      </c>
      <c r="O686" s="1">
        <v>0.0</v>
      </c>
      <c r="P686" s="1">
        <v>0.0</v>
      </c>
      <c r="Q686" s="1">
        <v>0.0</v>
      </c>
      <c r="R686" s="1">
        <v>0.0</v>
      </c>
      <c r="S686" s="1">
        <v>0.0</v>
      </c>
    </row>
    <row r="687" ht="14.25" hidden="1" customHeight="1">
      <c r="A687" s="1" t="s">
        <v>5</v>
      </c>
      <c r="B687" s="1" t="s">
        <v>51</v>
      </c>
      <c r="C687" s="1" t="s">
        <v>7</v>
      </c>
      <c r="D687" s="1" t="s">
        <v>8</v>
      </c>
      <c r="E687" s="2">
        <v>8.78018E-4</v>
      </c>
      <c r="F687" s="1">
        <v>0.00111777</v>
      </c>
      <c r="G687" s="1">
        <v>0.00119616</v>
      </c>
      <c r="H687" s="2">
        <v>6.78913E-6</v>
      </c>
      <c r="I687" s="2">
        <v>3.61868E-5</v>
      </c>
      <c r="J687" s="2">
        <v>4.61716E-7</v>
      </c>
      <c r="K687" s="2">
        <v>2.69669E-7</v>
      </c>
      <c r="L687" s="2">
        <v>2.2786E-7</v>
      </c>
      <c r="M687" s="2">
        <v>1.43872E-7</v>
      </c>
      <c r="N687" s="2">
        <v>7.97281E-8</v>
      </c>
      <c r="O687" s="1">
        <v>0.0</v>
      </c>
      <c r="P687" s="1">
        <v>0.0</v>
      </c>
      <c r="Q687" s="1">
        <v>0.0</v>
      </c>
      <c r="R687" s="1">
        <v>0.0</v>
      </c>
      <c r="S687" s="1">
        <v>0.0</v>
      </c>
    </row>
    <row r="688" ht="14.25" hidden="1" customHeight="1">
      <c r="A688" s="1" t="s">
        <v>5</v>
      </c>
      <c r="B688" s="1" t="s">
        <v>51</v>
      </c>
      <c r="C688" s="1" t="s">
        <v>9</v>
      </c>
      <c r="D688" s="1" t="s">
        <v>8</v>
      </c>
      <c r="E688" s="1">
        <v>0.00102702</v>
      </c>
      <c r="F688" s="2">
        <v>9.00778E-4</v>
      </c>
      <c r="G688" s="1">
        <v>0.00132476</v>
      </c>
      <c r="H688" s="2">
        <v>7.81256E-5</v>
      </c>
      <c r="I688" s="2">
        <v>9.85972E-4</v>
      </c>
      <c r="J688" s="2">
        <v>1.15803E-10</v>
      </c>
      <c r="K688" s="1">
        <v>0.0</v>
      </c>
      <c r="L688" s="1">
        <v>0.0</v>
      </c>
      <c r="M688" s="1">
        <v>0.0</v>
      </c>
      <c r="N688" s="1">
        <v>0.0</v>
      </c>
      <c r="O688" s="1">
        <v>0.0</v>
      </c>
      <c r="P688" s="1">
        <v>0.0</v>
      </c>
      <c r="Q688" s="1">
        <v>0.0</v>
      </c>
      <c r="R688" s="1">
        <v>0.0</v>
      </c>
      <c r="S688" s="1">
        <v>0.0</v>
      </c>
    </row>
    <row r="689" ht="14.25" hidden="1" customHeight="1">
      <c r="A689" s="1" t="s">
        <v>5</v>
      </c>
      <c r="B689" s="1" t="s">
        <v>51</v>
      </c>
      <c r="C689" s="1" t="s">
        <v>9</v>
      </c>
      <c r="D689" s="1" t="s">
        <v>10</v>
      </c>
      <c r="E689" s="1">
        <v>0.00122857</v>
      </c>
      <c r="F689" s="1">
        <v>0.00107727</v>
      </c>
      <c r="G689" s="2">
        <v>2.00562E-4</v>
      </c>
      <c r="H689" s="2">
        <v>1.18434E-6</v>
      </c>
      <c r="I689" s="2">
        <v>1.83713E-5</v>
      </c>
      <c r="J689" s="2">
        <v>4.18142E-4</v>
      </c>
      <c r="K689" s="1">
        <v>0.0</v>
      </c>
      <c r="L689" s="1">
        <v>0.0</v>
      </c>
      <c r="M689" s="1">
        <v>0.0</v>
      </c>
      <c r="N689" s="1">
        <v>0.0</v>
      </c>
      <c r="O689" s="1">
        <v>0.0</v>
      </c>
      <c r="P689" s="1">
        <v>0.0</v>
      </c>
      <c r="Q689" s="1">
        <v>0.0</v>
      </c>
      <c r="R689" s="1">
        <v>0.0</v>
      </c>
      <c r="S689" s="1">
        <v>0.0</v>
      </c>
    </row>
    <row r="690" ht="14.25" hidden="1" customHeight="1">
      <c r="A690" s="1" t="s">
        <v>5</v>
      </c>
      <c r="B690" s="1" t="s">
        <v>51</v>
      </c>
      <c r="C690" s="1" t="s">
        <v>9</v>
      </c>
      <c r="D690" s="1" t="s">
        <v>11</v>
      </c>
      <c r="E690" s="1">
        <v>0.0012287</v>
      </c>
      <c r="F690" s="1">
        <v>0.00107722</v>
      </c>
      <c r="G690" s="2">
        <v>2.00495E-4</v>
      </c>
      <c r="H690" s="2">
        <v>2.33871E-4</v>
      </c>
      <c r="I690" s="2">
        <v>1.94164E-6</v>
      </c>
      <c r="J690" s="2">
        <v>6.55433E-6</v>
      </c>
      <c r="K690" s="1">
        <v>0.0</v>
      </c>
      <c r="L690" s="1">
        <v>0.0</v>
      </c>
      <c r="M690" s="1">
        <v>0.0</v>
      </c>
      <c r="N690" s="1">
        <v>0.0</v>
      </c>
      <c r="O690" s="1">
        <v>0.0</v>
      </c>
      <c r="P690" s="1">
        <v>0.0</v>
      </c>
      <c r="Q690" s="1">
        <v>0.0</v>
      </c>
      <c r="R690" s="1">
        <v>0.0</v>
      </c>
      <c r="S690" s="1">
        <v>0.0</v>
      </c>
    </row>
    <row r="691" ht="14.25" hidden="1" customHeight="1">
      <c r="A691" s="1" t="s">
        <v>5</v>
      </c>
      <c r="B691" s="1" t="s">
        <v>51</v>
      </c>
      <c r="C691" s="1" t="s">
        <v>9</v>
      </c>
      <c r="D691" s="1" t="s">
        <v>12</v>
      </c>
      <c r="E691" s="2">
        <v>1.2267E-4</v>
      </c>
      <c r="F691" s="2">
        <v>1.07568E-4</v>
      </c>
      <c r="G691" s="2">
        <v>2.00457E-5</v>
      </c>
      <c r="H691" s="2">
        <v>4.13688E-5</v>
      </c>
      <c r="I691" s="2">
        <v>2.82525E-5</v>
      </c>
      <c r="J691" s="2">
        <v>1.0706E-5</v>
      </c>
      <c r="K691" s="1">
        <v>0.0</v>
      </c>
      <c r="L691" s="1">
        <v>0.0</v>
      </c>
      <c r="M691" s="1">
        <v>0.0</v>
      </c>
      <c r="N691" s="1">
        <v>0.0</v>
      </c>
      <c r="O691" s="1">
        <v>0.0</v>
      </c>
      <c r="P691" s="1">
        <v>0.0</v>
      </c>
      <c r="Q691" s="1">
        <v>0.0</v>
      </c>
      <c r="R691" s="1">
        <v>0.0</v>
      </c>
      <c r="S691" s="1">
        <v>0.0</v>
      </c>
    </row>
    <row r="692" ht="14.25" hidden="1" customHeight="1">
      <c r="A692" s="1" t="s">
        <v>5</v>
      </c>
      <c r="B692" s="1" t="s">
        <v>51</v>
      </c>
      <c r="C692" s="1" t="s">
        <v>9</v>
      </c>
      <c r="D692" s="1" t="s">
        <v>13</v>
      </c>
      <c r="E692" s="1">
        <v>0.0</v>
      </c>
      <c r="F692" s="1">
        <v>0.0</v>
      </c>
      <c r="G692" s="1">
        <v>0.0</v>
      </c>
      <c r="H692" s="2">
        <v>3.83594E-5</v>
      </c>
      <c r="I692" s="1">
        <v>0.0</v>
      </c>
      <c r="J692" s="1">
        <v>0.0</v>
      </c>
      <c r="K692" s="1">
        <v>0.0</v>
      </c>
      <c r="L692" s="1">
        <v>0.0</v>
      </c>
      <c r="M692" s="1">
        <v>0.0</v>
      </c>
      <c r="N692" s="1">
        <v>0.0</v>
      </c>
      <c r="O692" s="1">
        <v>0.0</v>
      </c>
      <c r="P692" s="1">
        <v>0.0</v>
      </c>
      <c r="Q692" s="1">
        <v>0.0</v>
      </c>
      <c r="R692" s="1">
        <v>0.0</v>
      </c>
      <c r="S692" s="1">
        <v>0.0</v>
      </c>
    </row>
    <row r="693" ht="14.25" hidden="1" customHeight="1">
      <c r="A693" s="1" t="s">
        <v>5</v>
      </c>
      <c r="B693" s="1" t="s">
        <v>51</v>
      </c>
      <c r="C693" s="1" t="s">
        <v>9</v>
      </c>
      <c r="D693" s="1" t="s">
        <v>14</v>
      </c>
      <c r="E693" s="1">
        <v>0.0</v>
      </c>
      <c r="F693" s="1">
        <v>0.0</v>
      </c>
      <c r="G693" s="1">
        <v>0.0</v>
      </c>
      <c r="H693" s="2">
        <v>2.89896E-5</v>
      </c>
      <c r="I693" s="1">
        <v>0.0</v>
      </c>
      <c r="J693" s="1">
        <v>0.0</v>
      </c>
      <c r="K693" s="1">
        <v>0.0</v>
      </c>
      <c r="L693" s="1">
        <v>0.0</v>
      </c>
      <c r="M693" s="1">
        <v>0.0</v>
      </c>
      <c r="N693" s="1">
        <v>0.0</v>
      </c>
      <c r="O693" s="1">
        <v>0.0</v>
      </c>
      <c r="P693" s="1">
        <v>0.0</v>
      </c>
      <c r="Q693" s="1">
        <v>0.0</v>
      </c>
      <c r="R693" s="1">
        <v>0.0</v>
      </c>
      <c r="S693" s="1">
        <v>0.0</v>
      </c>
    </row>
    <row r="694" ht="14.25" hidden="1" customHeight="1">
      <c r="A694" s="1" t="s">
        <v>5</v>
      </c>
      <c r="B694" s="1" t="s">
        <v>51</v>
      </c>
      <c r="C694" s="1" t="s">
        <v>15</v>
      </c>
      <c r="D694" s="1" t="s">
        <v>16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2">
        <v>7.08908E-5</v>
      </c>
      <c r="K694" s="2">
        <v>1.222442E-4</v>
      </c>
      <c r="L694" s="2">
        <v>1.791463E-4</v>
      </c>
      <c r="M694" s="2">
        <v>2.56998E-4</v>
      </c>
      <c r="N694" s="2">
        <v>3.104531E-4</v>
      </c>
      <c r="O694" s="2">
        <v>3.6009631E-4</v>
      </c>
      <c r="P694" s="2">
        <v>4.0621992E-4</v>
      </c>
      <c r="Q694" s="2">
        <v>4.5246177E-4</v>
      </c>
      <c r="R694" s="2">
        <v>4.974526E-4</v>
      </c>
      <c r="S694" s="2">
        <v>5.427067E-4</v>
      </c>
    </row>
    <row r="695" ht="14.25" customHeight="1">
      <c r="A695" s="1" t="s">
        <v>5</v>
      </c>
      <c r="B695" s="1" t="s">
        <v>51</v>
      </c>
      <c r="C695" s="1" t="s">
        <v>15</v>
      </c>
      <c r="D695" s="1" t="s">
        <v>14</v>
      </c>
      <c r="E695" s="1">
        <v>0.0</v>
      </c>
      <c r="F695" s="1">
        <v>0.0</v>
      </c>
      <c r="G695" s="1">
        <v>0.0</v>
      </c>
      <c r="H695" s="1">
        <v>0.0</v>
      </c>
      <c r="I695" s="2">
        <v>3.40288E-6</v>
      </c>
      <c r="J695" s="2">
        <v>2.6605072E-4</v>
      </c>
      <c r="K695" s="2">
        <v>5.1437007E-4</v>
      </c>
      <c r="L695" s="2">
        <v>7.5558444E-4</v>
      </c>
      <c r="M695" s="1">
        <v>0.001054705809</v>
      </c>
      <c r="N695" s="1">
        <v>0.00125543646299999</v>
      </c>
      <c r="O695" s="1">
        <v>0.0014370127</v>
      </c>
      <c r="P695" s="1">
        <v>0.00156154149999999</v>
      </c>
      <c r="Q695" s="1">
        <v>0.00169190449999999</v>
      </c>
      <c r="R695" s="1">
        <v>0.0018193389</v>
      </c>
      <c r="S695" s="1">
        <v>0.00194884219999999</v>
      </c>
    </row>
    <row r="696" ht="14.25" hidden="1" customHeight="1">
      <c r="A696" s="1" t="s">
        <v>5</v>
      </c>
      <c r="B696" s="1" t="s">
        <v>51</v>
      </c>
      <c r="C696" s="1" t="s">
        <v>17</v>
      </c>
      <c r="D696" s="1" t="s">
        <v>16</v>
      </c>
      <c r="E696" s="2">
        <v>1.07049E-5</v>
      </c>
      <c r="F696" s="2">
        <v>3.34044E-5</v>
      </c>
      <c r="G696" s="2">
        <v>5.99755E-7</v>
      </c>
      <c r="H696" s="2">
        <v>1.3732868E-5</v>
      </c>
      <c r="I696" s="2">
        <v>1.0853424E-5</v>
      </c>
      <c r="J696" s="2">
        <v>7.7125007E-5</v>
      </c>
      <c r="K696" s="2">
        <v>1.0763622E-4</v>
      </c>
      <c r="L696" s="2">
        <v>1.34899206599999E-4</v>
      </c>
      <c r="M696" s="2">
        <v>1.7396782E-4</v>
      </c>
      <c r="N696" s="2">
        <v>1.979781E-4</v>
      </c>
      <c r="O696" s="2">
        <v>2.2605096E-4</v>
      </c>
      <c r="P696" s="2">
        <v>2.5828788E-4</v>
      </c>
      <c r="Q696" s="2">
        <v>2.8975378E-4</v>
      </c>
      <c r="R696" s="2">
        <v>3.2209601E-4</v>
      </c>
      <c r="S696" s="2">
        <v>3.5473222E-4</v>
      </c>
    </row>
    <row r="697" ht="14.25" hidden="1" customHeight="1">
      <c r="A697" s="1" t="s">
        <v>5</v>
      </c>
      <c r="B697" s="1" t="s">
        <v>51</v>
      </c>
      <c r="C697" s="1" t="s">
        <v>17</v>
      </c>
      <c r="D697" s="1" t="s">
        <v>18</v>
      </c>
      <c r="E697" s="1">
        <v>0.00551131</v>
      </c>
      <c r="F697" s="1">
        <v>0.0171452</v>
      </c>
      <c r="G697" s="2">
        <v>3.205E-4</v>
      </c>
      <c r="H697" s="2">
        <v>1.23607E-4</v>
      </c>
      <c r="I697" s="2">
        <v>2.09211E-4</v>
      </c>
      <c r="J697" s="2">
        <v>2.2952974E-4</v>
      </c>
      <c r="K697" s="2">
        <v>2.705999E-4</v>
      </c>
      <c r="L697" s="2">
        <v>3.0940905E-4</v>
      </c>
      <c r="M697" s="2">
        <v>3.44858659999999E-4</v>
      </c>
      <c r="N697" s="2">
        <v>3.8471898E-4</v>
      </c>
      <c r="O697" s="2">
        <v>4.198811E-4</v>
      </c>
      <c r="P697" s="2">
        <v>4.504129E-4</v>
      </c>
      <c r="Q697" s="2">
        <v>4.781843E-4</v>
      </c>
      <c r="R697" s="2">
        <v>5.073155E-4</v>
      </c>
      <c r="S697" s="2">
        <v>5.333618E-4</v>
      </c>
    </row>
    <row r="698" ht="14.25" hidden="1" customHeight="1">
      <c r="A698" s="1" t="s">
        <v>5</v>
      </c>
      <c r="B698" s="1" t="s">
        <v>51</v>
      </c>
      <c r="C698" s="1" t="s">
        <v>17</v>
      </c>
      <c r="D698" s="1" t="s">
        <v>19</v>
      </c>
      <c r="E698" s="1">
        <v>0.0025041</v>
      </c>
      <c r="F698" s="1">
        <v>0.0077902</v>
      </c>
      <c r="G698" s="2">
        <v>1.45598E-4</v>
      </c>
      <c r="H698" s="2">
        <v>1.477808E-4</v>
      </c>
      <c r="I698" s="2">
        <v>8.16802E-5</v>
      </c>
      <c r="J698" s="2">
        <v>1.900467E-4</v>
      </c>
      <c r="K698" s="2">
        <v>2.21648699999999E-4</v>
      </c>
      <c r="L698" s="2">
        <v>2.573427E-4</v>
      </c>
      <c r="M698" s="2">
        <v>2.937773E-4</v>
      </c>
      <c r="N698" s="2">
        <v>3.323502E-4</v>
      </c>
      <c r="O698" s="2">
        <v>3.735767E-4</v>
      </c>
      <c r="P698" s="2">
        <v>4.15365E-4</v>
      </c>
      <c r="Q698" s="2">
        <v>4.580918E-4</v>
      </c>
      <c r="R698" s="2">
        <v>5.008711E-4</v>
      </c>
      <c r="S698" s="2">
        <v>5.433062E-4</v>
      </c>
    </row>
    <row r="699" ht="14.25" hidden="1" customHeight="1">
      <c r="A699" s="1" t="s">
        <v>5</v>
      </c>
      <c r="B699" s="1" t="s">
        <v>51</v>
      </c>
      <c r="C699" s="1" t="s">
        <v>17</v>
      </c>
      <c r="D699" s="1" t="s">
        <v>8</v>
      </c>
      <c r="E699" s="1">
        <v>0.00111132</v>
      </c>
      <c r="F699" s="1">
        <v>0.00345701</v>
      </c>
      <c r="G699" s="2">
        <v>6.45978E-5</v>
      </c>
      <c r="H699" s="2">
        <v>4.27961599999999E-4</v>
      </c>
      <c r="I699" s="2">
        <v>3.0839369242E-4</v>
      </c>
      <c r="J699" s="1">
        <v>0.00110269994693</v>
      </c>
      <c r="K699" s="1">
        <v>0.00143779289621</v>
      </c>
      <c r="L699" s="1">
        <v>0.00177668104548999</v>
      </c>
      <c r="M699" s="1">
        <v>0.002095984</v>
      </c>
      <c r="N699" s="1">
        <v>0.002387729</v>
      </c>
      <c r="O699" s="1">
        <v>0.00268753299999999</v>
      </c>
      <c r="P699" s="1">
        <v>0.002971668</v>
      </c>
      <c r="Q699" s="1">
        <v>0.003257322</v>
      </c>
      <c r="R699" s="1">
        <v>0.00353873299999999</v>
      </c>
      <c r="S699" s="1">
        <v>0.003814194</v>
      </c>
    </row>
    <row r="700" ht="14.25" hidden="1" customHeight="1">
      <c r="A700" s="1" t="s">
        <v>5</v>
      </c>
      <c r="B700" s="1" t="s">
        <v>51</v>
      </c>
      <c r="C700" s="1" t="s">
        <v>17</v>
      </c>
      <c r="D700" s="1" t="s">
        <v>20</v>
      </c>
      <c r="E700" s="2">
        <v>8.34211E-4</v>
      </c>
      <c r="F700" s="1">
        <v>0.00259474</v>
      </c>
      <c r="G700" s="2">
        <v>4.84211E-5</v>
      </c>
      <c r="H700" s="2">
        <v>5.08762E-5</v>
      </c>
      <c r="I700" s="2">
        <v>5.05129E-5</v>
      </c>
      <c r="J700" s="2">
        <v>6.708844E-5</v>
      </c>
      <c r="K700" s="2">
        <v>7.953731E-5</v>
      </c>
      <c r="L700" s="2">
        <v>9.01157E-5</v>
      </c>
      <c r="M700" s="2">
        <v>1.019473E-4</v>
      </c>
      <c r="N700" s="2">
        <v>1.147159E-4</v>
      </c>
      <c r="O700" s="2">
        <v>1.281723E-4</v>
      </c>
      <c r="P700" s="2">
        <v>1.415287E-4</v>
      </c>
      <c r="Q700" s="2">
        <v>1.550743E-4</v>
      </c>
      <c r="R700" s="2">
        <v>1.68493E-4</v>
      </c>
      <c r="S700" s="2">
        <v>1.815837E-4</v>
      </c>
    </row>
    <row r="701" ht="14.25" hidden="1" customHeight="1">
      <c r="A701" s="1" t="s">
        <v>5</v>
      </c>
      <c r="B701" s="1" t="s">
        <v>51</v>
      </c>
      <c r="C701" s="1" t="s">
        <v>21</v>
      </c>
      <c r="D701" s="1" t="s">
        <v>10</v>
      </c>
      <c r="E701" s="2">
        <v>1.49033E-5</v>
      </c>
      <c r="F701" s="2">
        <v>4.63986E-5</v>
      </c>
      <c r="G701" s="2">
        <v>7.67855E-5</v>
      </c>
      <c r="H701" s="2">
        <v>6.19339E-5</v>
      </c>
      <c r="I701" s="2">
        <v>5.45394E-5</v>
      </c>
      <c r="J701" s="2">
        <v>3.7521633E-5</v>
      </c>
      <c r="K701" s="2">
        <v>2.64650848E-4</v>
      </c>
      <c r="L701" s="2">
        <v>3.582904229E-4</v>
      </c>
      <c r="M701" s="2">
        <v>4.369652307E-4</v>
      </c>
      <c r="N701" s="2">
        <v>4.932114E-4</v>
      </c>
      <c r="O701" s="2">
        <v>5.104166E-4</v>
      </c>
      <c r="P701" s="2">
        <v>5.247469E-4</v>
      </c>
      <c r="Q701" s="2">
        <v>5.366135E-4</v>
      </c>
      <c r="R701" s="2">
        <v>5.442527E-4</v>
      </c>
      <c r="S701" s="2">
        <v>5.49337999999999E-4</v>
      </c>
    </row>
    <row r="702" ht="14.25" hidden="1" customHeight="1">
      <c r="A702" s="1" t="s">
        <v>5</v>
      </c>
      <c r="B702" s="1" t="s">
        <v>51</v>
      </c>
      <c r="C702" s="1" t="s">
        <v>21</v>
      </c>
      <c r="D702" s="1" t="s">
        <v>11</v>
      </c>
      <c r="E702" s="2">
        <v>7.50242E-6</v>
      </c>
      <c r="F702" s="2">
        <v>2.31983E-5</v>
      </c>
      <c r="G702" s="2">
        <v>3.83799E-5</v>
      </c>
      <c r="H702" s="2">
        <v>1.177731E-4</v>
      </c>
      <c r="I702" s="2">
        <v>2.197557E-4</v>
      </c>
      <c r="J702" s="2">
        <v>2.47285599999999E-4</v>
      </c>
      <c r="K702" s="2">
        <v>2.668266E-4</v>
      </c>
      <c r="L702" s="2">
        <v>2.766782E-4</v>
      </c>
      <c r="M702" s="2">
        <v>2.95997099999999E-4</v>
      </c>
      <c r="N702" s="2">
        <v>2.871745E-4</v>
      </c>
      <c r="O702" s="2">
        <v>2.800363E-4</v>
      </c>
      <c r="P702" s="2">
        <v>2.777242E-4</v>
      </c>
      <c r="Q702" s="2">
        <v>2.762791E-4</v>
      </c>
      <c r="R702" s="2">
        <v>2.761E-4</v>
      </c>
      <c r="S702" s="2">
        <v>2.765542E-4</v>
      </c>
    </row>
    <row r="703" ht="14.25" hidden="1" customHeight="1">
      <c r="A703" s="1" t="s">
        <v>5</v>
      </c>
      <c r="B703" s="1" t="s">
        <v>51</v>
      </c>
      <c r="C703" s="1" t="s">
        <v>21</v>
      </c>
      <c r="D703" s="1" t="s">
        <v>22</v>
      </c>
      <c r="E703" s="2">
        <v>7.5E-6</v>
      </c>
      <c r="F703" s="2">
        <v>2.32E-5</v>
      </c>
      <c r="G703" s="2">
        <v>3.84E-5</v>
      </c>
      <c r="H703" s="2">
        <v>5.54562E-5</v>
      </c>
      <c r="I703" s="2">
        <v>4.9435E-5</v>
      </c>
      <c r="J703" s="2">
        <v>6.82656999999999E-5</v>
      </c>
      <c r="K703" s="2">
        <v>5.18684E-5</v>
      </c>
      <c r="L703" s="2">
        <v>5.07547E-5</v>
      </c>
      <c r="M703" s="2">
        <v>4.79264E-5</v>
      </c>
      <c r="N703" s="2">
        <v>4.90512E-5</v>
      </c>
      <c r="O703" s="2">
        <v>4.99972E-5</v>
      </c>
      <c r="P703" s="2">
        <v>5.08315E-5</v>
      </c>
      <c r="Q703" s="2">
        <v>5.16918E-5</v>
      </c>
      <c r="R703" s="2">
        <v>5.26755999999999E-5</v>
      </c>
      <c r="S703" s="2">
        <v>5.32524E-5</v>
      </c>
    </row>
    <row r="704" ht="14.25" hidden="1" customHeight="1">
      <c r="A704" s="1" t="s">
        <v>5</v>
      </c>
      <c r="B704" s="1" t="s">
        <v>51</v>
      </c>
      <c r="C704" s="1" t="s">
        <v>21</v>
      </c>
      <c r="D704" s="1" t="s">
        <v>23</v>
      </c>
      <c r="E704" s="2">
        <v>7.51236E-6</v>
      </c>
      <c r="F704" s="2">
        <v>2.319366E-5</v>
      </c>
      <c r="G704" s="2">
        <v>3.842484E-5</v>
      </c>
      <c r="H704" s="2">
        <v>1.7059243E-4</v>
      </c>
      <c r="I704" s="2">
        <v>2.05955699999999E-4</v>
      </c>
      <c r="J704" s="2">
        <v>4.7205169E-4</v>
      </c>
      <c r="K704" s="2">
        <v>4.255194E-4</v>
      </c>
      <c r="L704" s="2">
        <v>4.524215E-4</v>
      </c>
      <c r="M704" s="2">
        <v>4.579127E-4</v>
      </c>
      <c r="N704" s="2">
        <v>4.777713E-4</v>
      </c>
      <c r="O704" s="2">
        <v>4.92330999999999E-4</v>
      </c>
      <c r="P704" s="2">
        <v>5.018482E-4</v>
      </c>
      <c r="Q704" s="2">
        <v>5.06490199999999E-4</v>
      </c>
      <c r="R704" s="2">
        <v>5.06852099999999E-4</v>
      </c>
      <c r="S704" s="2">
        <v>5.011073E-4</v>
      </c>
    </row>
    <row r="705" ht="14.25" hidden="1" customHeight="1">
      <c r="A705" s="1" t="s">
        <v>5</v>
      </c>
      <c r="B705" s="1" t="s">
        <v>51</v>
      </c>
      <c r="C705" s="1" t="s">
        <v>21</v>
      </c>
      <c r="D705" s="1" t="s">
        <v>24</v>
      </c>
      <c r="E705" s="2">
        <v>2.980128E-5</v>
      </c>
      <c r="F705" s="2">
        <v>9.2801E-5</v>
      </c>
      <c r="G705" s="2">
        <v>1.537027E-4</v>
      </c>
      <c r="H705" s="2">
        <v>2.943491E-4</v>
      </c>
      <c r="I705" s="2">
        <v>2.376479E-4</v>
      </c>
      <c r="J705" s="2">
        <v>2.100771E-4</v>
      </c>
      <c r="K705" s="2">
        <v>1.975422E-4</v>
      </c>
      <c r="L705" s="2">
        <v>1.946122E-4</v>
      </c>
      <c r="M705" s="2">
        <v>1.94362799999999E-4</v>
      </c>
      <c r="N705" s="2">
        <v>1.94475599999999E-4</v>
      </c>
      <c r="O705" s="2">
        <v>1.949695E-4</v>
      </c>
      <c r="P705" s="2">
        <v>1.992066E-4</v>
      </c>
      <c r="Q705" s="2">
        <v>2.024792E-4</v>
      </c>
      <c r="R705" s="2">
        <v>2.050995E-4</v>
      </c>
      <c r="S705" s="2">
        <v>2.072727E-4</v>
      </c>
    </row>
    <row r="706" ht="14.25" hidden="1" customHeight="1">
      <c r="A706" s="1" t="s">
        <v>5</v>
      </c>
      <c r="B706" s="1" t="s">
        <v>51</v>
      </c>
      <c r="C706" s="1" t="s">
        <v>21</v>
      </c>
      <c r="D706" s="1" t="s">
        <v>12</v>
      </c>
      <c r="E706" s="2">
        <v>6.99259E-7</v>
      </c>
      <c r="F706" s="2">
        <v>2.29718E-6</v>
      </c>
      <c r="G706" s="2">
        <v>3.78973E-6</v>
      </c>
      <c r="H706" s="2">
        <v>4.2127E-8</v>
      </c>
      <c r="I706" s="2">
        <v>3.40121E-6</v>
      </c>
      <c r="J706" s="2">
        <v>9.40491E-6</v>
      </c>
      <c r="K706" s="2">
        <v>8.96887E-6</v>
      </c>
      <c r="L706" s="2">
        <v>8.7756E-6</v>
      </c>
      <c r="M706" s="2">
        <v>8.28651E-6</v>
      </c>
      <c r="N706" s="2">
        <v>8.48099E-6</v>
      </c>
      <c r="O706" s="2">
        <v>8.64457E-6</v>
      </c>
      <c r="P706" s="2">
        <v>8.78881E-6</v>
      </c>
      <c r="Q706" s="2">
        <v>8.93755E-6</v>
      </c>
      <c r="R706" s="2">
        <v>9.10766E-6</v>
      </c>
      <c r="S706" s="2">
        <v>9.20739E-6</v>
      </c>
    </row>
    <row r="707" ht="14.25" hidden="1" customHeight="1">
      <c r="A707" s="1" t="s">
        <v>5</v>
      </c>
      <c r="B707" s="1" t="s">
        <v>51</v>
      </c>
      <c r="C707" s="1" t="s">
        <v>21</v>
      </c>
      <c r="D707" s="1" t="s">
        <v>13</v>
      </c>
      <c r="E707" s="2">
        <v>1.41528E-5</v>
      </c>
      <c r="F707" s="2">
        <v>4.39973E-5</v>
      </c>
      <c r="G707" s="2">
        <v>1.64294E-4</v>
      </c>
      <c r="H707" s="2">
        <v>1.564979E-4</v>
      </c>
      <c r="I707" s="2">
        <v>1.635485E-4</v>
      </c>
      <c r="J707" s="2">
        <v>2.792854E-4</v>
      </c>
      <c r="K707" s="2">
        <v>3.872746E-4</v>
      </c>
      <c r="L707" s="2">
        <v>5.074298E-4</v>
      </c>
      <c r="M707" s="2">
        <v>6.435546E-4</v>
      </c>
      <c r="N707" s="2">
        <v>7.83381099999999E-4</v>
      </c>
      <c r="O707" s="2">
        <v>9.042749E-4</v>
      </c>
      <c r="P707" s="1">
        <v>0.0010057787</v>
      </c>
      <c r="Q707" s="1">
        <v>0.0011025298</v>
      </c>
      <c r="R707" s="1">
        <v>0.0011934593</v>
      </c>
      <c r="S707" s="1">
        <v>0.00127908299999999</v>
      </c>
    </row>
    <row r="708" ht="14.25" hidden="1" customHeight="1">
      <c r="A708" s="1" t="s">
        <v>5</v>
      </c>
      <c r="B708" s="1" t="s">
        <v>51</v>
      </c>
      <c r="C708" s="1" t="s">
        <v>21</v>
      </c>
      <c r="D708" s="1" t="s">
        <v>14</v>
      </c>
      <c r="E708" s="2">
        <v>7.10152E-6</v>
      </c>
      <c r="F708" s="2">
        <v>2.20052E-5</v>
      </c>
      <c r="G708" s="2">
        <v>8.21139E-5</v>
      </c>
      <c r="H708" s="2">
        <v>1.646854E-4</v>
      </c>
      <c r="I708" s="2">
        <v>1.321166E-4</v>
      </c>
      <c r="J708" s="2">
        <v>7.38415E-5</v>
      </c>
      <c r="K708" s="2">
        <v>5.07753E-5</v>
      </c>
      <c r="L708" s="2">
        <v>4.58081999999999E-5</v>
      </c>
      <c r="M708" s="2">
        <v>5.81811E-5</v>
      </c>
      <c r="N708" s="2">
        <v>6.11628E-5</v>
      </c>
      <c r="O708" s="2">
        <v>6.86708E-5</v>
      </c>
      <c r="P708" s="2">
        <v>7.94733E-5</v>
      </c>
      <c r="Q708" s="2">
        <v>8.55859E-5</v>
      </c>
      <c r="R708" s="2">
        <v>9.17762E-5</v>
      </c>
      <c r="S708" s="2">
        <v>9.78739E-5</v>
      </c>
    </row>
    <row r="709" ht="14.25" hidden="1" customHeight="1">
      <c r="A709" s="1" t="s">
        <v>5</v>
      </c>
      <c r="B709" s="1" t="s">
        <v>51</v>
      </c>
      <c r="C709" s="1" t="s">
        <v>21</v>
      </c>
      <c r="D709" s="1" t="s">
        <v>25</v>
      </c>
      <c r="E709" s="2">
        <v>7.1E-6</v>
      </c>
      <c r="F709" s="2">
        <v>2.2E-5</v>
      </c>
      <c r="G709" s="2">
        <v>8.21E-5</v>
      </c>
      <c r="H709" s="2">
        <v>1.235738E-4</v>
      </c>
      <c r="I709" s="2">
        <v>1.298441E-4</v>
      </c>
      <c r="J709" s="2">
        <v>1.274797E-4</v>
      </c>
      <c r="K709" s="2">
        <v>1.092511E-4</v>
      </c>
      <c r="L709" s="2">
        <v>9.38319E-5</v>
      </c>
      <c r="M709" s="2">
        <v>7.21167E-5</v>
      </c>
      <c r="N709" s="2">
        <v>7.42692E-5</v>
      </c>
      <c r="O709" s="2">
        <v>8.02249E-5</v>
      </c>
      <c r="P709" s="2">
        <v>8.88057999999999E-5</v>
      </c>
      <c r="Q709" s="2">
        <v>9.83197E-5</v>
      </c>
      <c r="R709" s="2">
        <v>1.07822E-4</v>
      </c>
      <c r="S709" s="2">
        <v>1.161798E-4</v>
      </c>
    </row>
    <row r="710" ht="14.25" hidden="1" customHeight="1">
      <c r="A710" s="1" t="s">
        <v>5</v>
      </c>
      <c r="B710" s="1" t="s">
        <v>51</v>
      </c>
      <c r="C710" s="1" t="s">
        <v>21</v>
      </c>
      <c r="D710" s="1" t="s">
        <v>26</v>
      </c>
      <c r="E710" s="2">
        <v>7.12345999999999E-6</v>
      </c>
      <c r="F710" s="2">
        <v>2.199886E-5</v>
      </c>
      <c r="G710" s="2">
        <v>8.20989E-5</v>
      </c>
      <c r="H710" s="2">
        <v>3.838655E-4</v>
      </c>
      <c r="I710" s="2">
        <v>5.18336799999999E-4</v>
      </c>
      <c r="J710" s="1">
        <v>0.00100045089999999</v>
      </c>
      <c r="K710" s="1">
        <v>0.001060822</v>
      </c>
      <c r="L710" s="1">
        <v>0.001054924</v>
      </c>
      <c r="M710" s="2">
        <v>9.19174999999999E-4</v>
      </c>
      <c r="N710" s="1">
        <v>0.001038715</v>
      </c>
      <c r="O710" s="1">
        <v>0.001215517</v>
      </c>
      <c r="P710" s="1">
        <v>0.001416078</v>
      </c>
      <c r="Q710" s="1">
        <v>0.001624029</v>
      </c>
      <c r="R710" s="1">
        <v>0.00181992</v>
      </c>
      <c r="S710" s="1">
        <v>0.001984157</v>
      </c>
    </row>
    <row r="711" ht="14.25" hidden="1" customHeight="1">
      <c r="A711" s="1" t="s">
        <v>5</v>
      </c>
      <c r="B711" s="1" t="s">
        <v>51</v>
      </c>
      <c r="C711" s="1" t="s">
        <v>21</v>
      </c>
      <c r="D711" s="1" t="s">
        <v>27</v>
      </c>
      <c r="E711" s="2">
        <v>1.69943499999999E-5</v>
      </c>
      <c r="F711" s="2">
        <v>5.27963999999999E-5</v>
      </c>
      <c r="G711" s="2">
        <v>1.971014E-4</v>
      </c>
      <c r="H711" s="2">
        <v>4.269331E-4</v>
      </c>
      <c r="I711" s="2">
        <v>4.274957E-4</v>
      </c>
      <c r="J711" s="2">
        <v>5.482842E-4</v>
      </c>
      <c r="K711" s="2">
        <v>5.496736E-4</v>
      </c>
      <c r="L711" s="2">
        <v>5.673841E-4</v>
      </c>
      <c r="M711" s="2">
        <v>6.061751E-4</v>
      </c>
      <c r="N711" s="2">
        <v>6.540637E-4</v>
      </c>
      <c r="O711" s="2">
        <v>7.065928E-4</v>
      </c>
      <c r="P711" s="2">
        <v>7.737276E-4</v>
      </c>
      <c r="Q711" s="2">
        <v>8.44604E-4</v>
      </c>
      <c r="R711" s="2">
        <v>9.12087E-4</v>
      </c>
      <c r="S711" s="2">
        <v>9.7765E-4</v>
      </c>
    </row>
    <row r="712" ht="14.25" hidden="1" customHeight="1">
      <c r="A712" s="1" t="s">
        <v>5</v>
      </c>
      <c r="B712" s="1" t="s">
        <v>51</v>
      </c>
      <c r="C712" s="1" t="s">
        <v>21</v>
      </c>
      <c r="D712" s="1" t="s">
        <v>28</v>
      </c>
      <c r="E712" s="2">
        <v>7.0E-7</v>
      </c>
      <c r="F712" s="2">
        <v>2.2E-6</v>
      </c>
      <c r="G712" s="2">
        <v>8.2E-6</v>
      </c>
      <c r="H712" s="2">
        <v>9.39526E-6</v>
      </c>
      <c r="I712" s="2">
        <v>1.08772E-5</v>
      </c>
      <c r="J712" s="2">
        <v>1.01859E-5</v>
      </c>
      <c r="K712" s="2">
        <v>8.7294E-6</v>
      </c>
      <c r="L712" s="2">
        <v>7.49737E-6</v>
      </c>
      <c r="M712" s="2">
        <v>5.76227E-6</v>
      </c>
      <c r="N712" s="2">
        <v>5.93428E-6</v>
      </c>
      <c r="O712" s="2">
        <v>6.41014E-6</v>
      </c>
      <c r="P712" s="2">
        <v>7.09578E-6</v>
      </c>
      <c r="Q712" s="2">
        <v>7.85596E-6</v>
      </c>
      <c r="R712" s="2">
        <v>8.61521E-6</v>
      </c>
      <c r="S712" s="2">
        <v>9.28302E-6</v>
      </c>
    </row>
    <row r="713" ht="14.25" hidden="1" customHeight="1">
      <c r="A713" s="1" t="s">
        <v>5</v>
      </c>
      <c r="B713" s="1" t="s">
        <v>51</v>
      </c>
      <c r="C713" s="1" t="s">
        <v>29</v>
      </c>
      <c r="D713" s="1" t="s">
        <v>16</v>
      </c>
      <c r="E713" s="2">
        <v>7.8736E-5</v>
      </c>
      <c r="F713" s="2">
        <v>1.5102E-4</v>
      </c>
      <c r="G713" s="2">
        <v>2.30506E-4</v>
      </c>
      <c r="H713" s="2">
        <v>1.944444E-4</v>
      </c>
      <c r="I713" s="2">
        <v>1.483785E-4</v>
      </c>
      <c r="J713" s="2">
        <v>1.68344699999999E-4</v>
      </c>
      <c r="K713" s="2">
        <v>1.4884968E-4</v>
      </c>
      <c r="L713" s="2">
        <v>1.3032249E-4</v>
      </c>
      <c r="M713" s="2">
        <v>8.843802E-5</v>
      </c>
      <c r="N713" s="2">
        <v>8.81734E-5</v>
      </c>
      <c r="O713" s="2">
        <v>8.99364199999999E-5</v>
      </c>
      <c r="P713" s="2">
        <v>9.151134E-5</v>
      </c>
      <c r="Q713" s="2">
        <v>9.640485E-5</v>
      </c>
      <c r="R713" s="2">
        <v>1.0248917E-4</v>
      </c>
      <c r="S713" s="2">
        <v>1.08246129999999E-4</v>
      </c>
    </row>
    <row r="714" ht="14.25" hidden="1" customHeight="1">
      <c r="A714" s="1" t="s">
        <v>5</v>
      </c>
      <c r="B714" s="1" t="s">
        <v>51</v>
      </c>
      <c r="C714" s="1" t="s">
        <v>29</v>
      </c>
      <c r="D714" s="1" t="s">
        <v>8</v>
      </c>
      <c r="E714" s="2">
        <v>3.93008E-5</v>
      </c>
      <c r="F714" s="2">
        <v>7.54981E-5</v>
      </c>
      <c r="G714" s="2">
        <v>1.15296E-4</v>
      </c>
      <c r="H714" s="2">
        <v>8.89997419E-5</v>
      </c>
      <c r="I714" s="2">
        <v>2.2128449641E-4</v>
      </c>
      <c r="J714" s="2">
        <v>1.8593632095E-4</v>
      </c>
      <c r="K714" s="2">
        <v>1.4771145995E-4</v>
      </c>
      <c r="L714" s="2">
        <v>1.0180599395E-4</v>
      </c>
      <c r="M714" s="2">
        <v>4.37222154939999E-5</v>
      </c>
      <c r="N714" s="2">
        <v>2.2333292E-5</v>
      </c>
      <c r="O714" s="2">
        <v>3.305877E-6</v>
      </c>
      <c r="P714" s="2">
        <v>3.50011399999999E-6</v>
      </c>
      <c r="Q714" s="2">
        <v>3.753453E-6</v>
      </c>
      <c r="R714" s="2">
        <v>4.015802E-6</v>
      </c>
      <c r="S714" s="2">
        <v>4.261532E-6</v>
      </c>
    </row>
    <row r="715" ht="14.25" hidden="1" customHeight="1">
      <c r="A715" s="1" t="s">
        <v>5</v>
      </c>
      <c r="B715" s="1" t="s">
        <v>51</v>
      </c>
      <c r="C715" s="1" t="s">
        <v>29</v>
      </c>
      <c r="D715" s="1" t="s">
        <v>10</v>
      </c>
      <c r="E715" s="2">
        <v>1.85041E-5</v>
      </c>
      <c r="F715" s="2">
        <v>3.53989E-5</v>
      </c>
      <c r="G715" s="2">
        <v>1.15078E-4</v>
      </c>
      <c r="H715" s="2">
        <v>5.061755E-4</v>
      </c>
      <c r="I715" s="2">
        <v>4.44106779999999E-4</v>
      </c>
      <c r="J715" s="2">
        <v>3.641651795E-4</v>
      </c>
      <c r="K715" s="2">
        <v>2.918920777E-4</v>
      </c>
      <c r="L715" s="2">
        <v>2.01712777399999E-4</v>
      </c>
      <c r="M715" s="2">
        <v>1.20350894799999E-4</v>
      </c>
      <c r="N715" s="2">
        <v>6.331619311E-5</v>
      </c>
      <c r="O715" s="2">
        <v>5.61952418499999E-5</v>
      </c>
      <c r="P715" s="2">
        <v>4.86817E-5</v>
      </c>
      <c r="Q715" s="2">
        <v>4.115131E-5</v>
      </c>
      <c r="R715" s="2">
        <v>3.744232E-5</v>
      </c>
      <c r="S715" s="2">
        <v>3.519414E-5</v>
      </c>
    </row>
    <row r="716" ht="14.25" hidden="1" customHeight="1">
      <c r="A716" s="1" t="s">
        <v>5</v>
      </c>
      <c r="B716" s="1" t="s">
        <v>51</v>
      </c>
      <c r="C716" s="1" t="s">
        <v>29</v>
      </c>
      <c r="D716" s="1" t="s">
        <v>11</v>
      </c>
      <c r="E716" s="2">
        <v>6.28203E-5</v>
      </c>
      <c r="F716" s="2">
        <v>1.20491E-4</v>
      </c>
      <c r="G716" s="2">
        <v>3.91195E-4</v>
      </c>
      <c r="H716" s="2">
        <v>3.0310015E-4</v>
      </c>
      <c r="I716" s="2">
        <v>2.84085361E-4</v>
      </c>
      <c r="J716" s="2">
        <v>2.50130193E-4</v>
      </c>
      <c r="K716" s="2">
        <v>2.20679976E-4</v>
      </c>
      <c r="L716" s="2">
        <v>2.02105259E-4</v>
      </c>
      <c r="M716" s="2">
        <v>1.45185441E-4</v>
      </c>
      <c r="N716" s="2">
        <v>1.7079307E-4</v>
      </c>
      <c r="O716" s="2">
        <v>1.8984933E-4</v>
      </c>
      <c r="P716" s="2">
        <v>2.02160729999999E-4</v>
      </c>
      <c r="Q716" s="2">
        <v>2.13155539999999E-4</v>
      </c>
      <c r="R716" s="2">
        <v>2.2258703E-4</v>
      </c>
      <c r="S716" s="2">
        <v>2.3103976E-4</v>
      </c>
    </row>
    <row r="717" ht="14.25" hidden="1" customHeight="1">
      <c r="A717" s="1" t="s">
        <v>5</v>
      </c>
      <c r="B717" s="1" t="s">
        <v>51</v>
      </c>
      <c r="C717" s="1" t="s">
        <v>29</v>
      </c>
      <c r="D717" s="1" t="s">
        <v>13</v>
      </c>
      <c r="E717" s="2">
        <v>2.28853E-5</v>
      </c>
      <c r="F717" s="2">
        <v>4.36973E-5</v>
      </c>
      <c r="G717" s="2">
        <v>7.70972E-5</v>
      </c>
      <c r="H717" s="2">
        <v>4.127024E-4</v>
      </c>
      <c r="I717" s="2">
        <v>4.345409E-4</v>
      </c>
      <c r="J717" s="2">
        <v>4.091864E-4</v>
      </c>
      <c r="K717" s="2">
        <v>3.658455E-4</v>
      </c>
      <c r="L717" s="2">
        <v>3.05257799999999E-4</v>
      </c>
      <c r="M717" s="2">
        <v>2.470818E-4</v>
      </c>
      <c r="N717" s="2">
        <v>2.013776E-4</v>
      </c>
      <c r="O717" s="2">
        <v>1.9268305E-4</v>
      </c>
      <c r="P717" s="2">
        <v>1.877701E-4</v>
      </c>
      <c r="Q717" s="2">
        <v>1.8757232E-4</v>
      </c>
      <c r="R717" s="2">
        <v>1.91012819999999E-4</v>
      </c>
      <c r="S717" s="2">
        <v>1.95720869999999E-4</v>
      </c>
    </row>
    <row r="718" ht="14.25" hidden="1" customHeight="1">
      <c r="A718" s="1" t="s">
        <v>5</v>
      </c>
      <c r="B718" s="1" t="s">
        <v>51</v>
      </c>
      <c r="C718" s="1" t="s">
        <v>29</v>
      </c>
      <c r="D718" s="1" t="s">
        <v>14</v>
      </c>
      <c r="E718" s="2">
        <v>4.05187E-4</v>
      </c>
      <c r="F718" s="2">
        <v>7.77984E-4</v>
      </c>
      <c r="G718" s="1">
        <v>0.00137223</v>
      </c>
      <c r="H718" s="1">
        <v>0.001219859</v>
      </c>
      <c r="I718" s="1">
        <v>0.001288245</v>
      </c>
      <c r="J718" s="1">
        <v>0.0011136651</v>
      </c>
      <c r="K718" s="2">
        <v>8.939639E-4</v>
      </c>
      <c r="L718" s="2">
        <v>6.804904E-4</v>
      </c>
      <c r="M718" s="2">
        <v>3.515539E-4</v>
      </c>
      <c r="N718" s="2">
        <v>3.368088E-4</v>
      </c>
      <c r="O718" s="2">
        <v>3.565404E-4</v>
      </c>
      <c r="P718" s="2">
        <v>4.0607785E-4</v>
      </c>
      <c r="Q718" s="2">
        <v>4.60578689999999E-4</v>
      </c>
      <c r="R718" s="2">
        <v>5.181278E-4</v>
      </c>
      <c r="S718" s="2">
        <v>5.721644E-4</v>
      </c>
    </row>
    <row r="719" ht="14.25" hidden="1" customHeight="1">
      <c r="A719" s="1" t="s">
        <v>5</v>
      </c>
      <c r="B719" s="1" t="s">
        <v>51</v>
      </c>
      <c r="C719" s="1" t="s">
        <v>31</v>
      </c>
      <c r="D719" s="1" t="s">
        <v>11</v>
      </c>
      <c r="E719" s="2">
        <v>2.07767E-4</v>
      </c>
      <c r="F719" s="2">
        <v>2.43283E-4</v>
      </c>
      <c r="G719" s="2">
        <v>2.58465E-4</v>
      </c>
      <c r="H719" s="1">
        <v>0.0</v>
      </c>
      <c r="I719" s="1">
        <v>0.0</v>
      </c>
      <c r="J719" s="1">
        <v>0.0</v>
      </c>
      <c r="K719" s="1">
        <v>0.0</v>
      </c>
      <c r="L719" s="1">
        <v>0.0</v>
      </c>
      <c r="M719" s="1">
        <v>0.0</v>
      </c>
      <c r="N719" s="1">
        <v>0.0</v>
      </c>
      <c r="O719" s="1">
        <v>0.0</v>
      </c>
      <c r="P719" s="1">
        <v>0.0</v>
      </c>
      <c r="Q719" s="1">
        <v>0.0</v>
      </c>
      <c r="R719" s="1">
        <v>0.0</v>
      </c>
      <c r="S719" s="1">
        <v>0.0</v>
      </c>
    </row>
    <row r="720" ht="14.25" hidden="1" customHeight="1">
      <c r="A720" s="1" t="s">
        <v>5</v>
      </c>
      <c r="B720" s="1" t="s">
        <v>52</v>
      </c>
      <c r="C720" s="1" t="s">
        <v>7</v>
      </c>
      <c r="D720" s="1" t="s">
        <v>8</v>
      </c>
      <c r="E720" s="2">
        <v>4.29136E-4</v>
      </c>
      <c r="F720" s="2">
        <v>5.46483E-4</v>
      </c>
      <c r="G720" s="2">
        <v>5.84599E-4</v>
      </c>
      <c r="H720" s="2">
        <v>1.37681E-4</v>
      </c>
      <c r="I720" s="2">
        <v>5.01679E-4</v>
      </c>
      <c r="J720" s="2">
        <v>2.66622E-5</v>
      </c>
      <c r="K720" s="2">
        <v>1.31368E-5</v>
      </c>
      <c r="L720" s="2">
        <v>1.10247E-5</v>
      </c>
      <c r="M720" s="2">
        <v>8.37838E-6</v>
      </c>
      <c r="N720" s="2">
        <v>4.7494E-6</v>
      </c>
      <c r="O720" s="1">
        <v>0.0</v>
      </c>
      <c r="P720" s="1">
        <v>0.0</v>
      </c>
      <c r="Q720" s="1">
        <v>0.0</v>
      </c>
      <c r="R720" s="1">
        <v>0.0</v>
      </c>
      <c r="S720" s="1">
        <v>0.0</v>
      </c>
    </row>
    <row r="721" ht="14.25" hidden="1" customHeight="1">
      <c r="A721" s="1" t="s">
        <v>5</v>
      </c>
      <c r="B721" s="1" t="s">
        <v>52</v>
      </c>
      <c r="C721" s="1" t="s">
        <v>9</v>
      </c>
      <c r="D721" s="1" t="s">
        <v>8</v>
      </c>
      <c r="E721" s="2">
        <v>9.44779E-4</v>
      </c>
      <c r="F721" s="2">
        <v>8.28626E-4</v>
      </c>
      <c r="G721" s="1">
        <v>0.00121839</v>
      </c>
      <c r="H721" s="2">
        <v>8.42861E-4</v>
      </c>
      <c r="I721" s="2">
        <v>9.72525E-6</v>
      </c>
      <c r="J721" s="1">
        <v>0.0</v>
      </c>
      <c r="K721" s="1">
        <v>0.0</v>
      </c>
      <c r="L721" s="1">
        <v>0.0</v>
      </c>
      <c r="M721" s="1">
        <v>0.0</v>
      </c>
      <c r="N721" s="1">
        <v>0.0</v>
      </c>
      <c r="O721" s="1">
        <v>0.0</v>
      </c>
      <c r="P721" s="1">
        <v>0.0</v>
      </c>
      <c r="Q721" s="1">
        <v>0.0</v>
      </c>
      <c r="R721" s="1">
        <v>0.0</v>
      </c>
      <c r="S721" s="1">
        <v>0.0</v>
      </c>
    </row>
    <row r="722" ht="14.25" hidden="1" customHeight="1">
      <c r="A722" s="1" t="s">
        <v>5</v>
      </c>
      <c r="B722" s="1" t="s">
        <v>52</v>
      </c>
      <c r="C722" s="1" t="s">
        <v>9</v>
      </c>
      <c r="D722" s="1" t="s">
        <v>10</v>
      </c>
      <c r="E722" s="1">
        <v>0.00162567</v>
      </c>
      <c r="F722" s="1">
        <v>0.00142564</v>
      </c>
      <c r="G722" s="2">
        <v>1.33484E-4</v>
      </c>
      <c r="H722" s="2">
        <v>2.22457E-6</v>
      </c>
      <c r="I722" s="2">
        <v>2.45411E-5</v>
      </c>
      <c r="J722" s="2">
        <v>1.92589E-4</v>
      </c>
      <c r="K722" s="1">
        <v>0.0</v>
      </c>
      <c r="L722" s="1">
        <v>0.0</v>
      </c>
      <c r="M722" s="1">
        <v>0.0</v>
      </c>
      <c r="N722" s="1">
        <v>0.0</v>
      </c>
      <c r="O722" s="1">
        <v>0.0</v>
      </c>
      <c r="P722" s="1">
        <v>0.0</v>
      </c>
      <c r="Q722" s="1">
        <v>0.0</v>
      </c>
      <c r="R722" s="1">
        <v>0.0</v>
      </c>
      <c r="S722" s="1">
        <v>0.0</v>
      </c>
    </row>
    <row r="723" ht="14.25" hidden="1" customHeight="1">
      <c r="A723" s="1" t="s">
        <v>5</v>
      </c>
      <c r="B723" s="1" t="s">
        <v>52</v>
      </c>
      <c r="C723" s="1" t="s">
        <v>9</v>
      </c>
      <c r="D723" s="1" t="s">
        <v>11</v>
      </c>
      <c r="E723" s="1">
        <v>0.00162538</v>
      </c>
      <c r="F723" s="1">
        <v>0.00142582</v>
      </c>
      <c r="G723" s="2">
        <v>1.33508E-4</v>
      </c>
      <c r="H723" s="2">
        <v>1.3799E-4</v>
      </c>
      <c r="I723" s="1">
        <v>0.0</v>
      </c>
      <c r="J723" s="2">
        <v>1.60798E-5</v>
      </c>
      <c r="K723" s="1">
        <v>0.0</v>
      </c>
      <c r="L723" s="1">
        <v>0.0</v>
      </c>
      <c r="M723" s="1">
        <v>0.0</v>
      </c>
      <c r="N723" s="1">
        <v>0.0</v>
      </c>
      <c r="O723" s="1">
        <v>0.0</v>
      </c>
      <c r="P723" s="1">
        <v>0.0</v>
      </c>
      <c r="Q723" s="1">
        <v>0.0</v>
      </c>
      <c r="R723" s="1">
        <v>0.0</v>
      </c>
      <c r="S723" s="1">
        <v>0.0</v>
      </c>
    </row>
    <row r="724" ht="14.25" hidden="1" customHeight="1">
      <c r="A724" s="1" t="s">
        <v>5</v>
      </c>
      <c r="B724" s="1" t="s">
        <v>52</v>
      </c>
      <c r="C724" s="1" t="s">
        <v>9</v>
      </c>
      <c r="D724" s="1" t="s">
        <v>12</v>
      </c>
      <c r="E724" s="2">
        <v>1.62665E-4</v>
      </c>
      <c r="F724" s="2">
        <v>1.42662E-4</v>
      </c>
      <c r="G724" s="2">
        <v>1.33217E-5</v>
      </c>
      <c r="H724" s="2">
        <v>1.97048E-5</v>
      </c>
      <c r="I724" s="2">
        <v>1.90212E-5</v>
      </c>
      <c r="J724" s="2">
        <v>1.67021E-5</v>
      </c>
      <c r="K724" s="1">
        <v>0.0</v>
      </c>
      <c r="L724" s="1">
        <v>0.0</v>
      </c>
      <c r="M724" s="1">
        <v>0.0</v>
      </c>
      <c r="N724" s="1">
        <v>0.0</v>
      </c>
      <c r="O724" s="1">
        <v>0.0</v>
      </c>
      <c r="P724" s="1">
        <v>0.0</v>
      </c>
      <c r="Q724" s="1">
        <v>0.0</v>
      </c>
      <c r="R724" s="1">
        <v>0.0</v>
      </c>
      <c r="S724" s="1">
        <v>0.0</v>
      </c>
    </row>
    <row r="725" ht="14.25" hidden="1" customHeight="1">
      <c r="A725" s="1" t="s">
        <v>5</v>
      </c>
      <c r="B725" s="1" t="s">
        <v>52</v>
      </c>
      <c r="C725" s="1" t="s">
        <v>9</v>
      </c>
      <c r="D725" s="1" t="s">
        <v>13</v>
      </c>
      <c r="E725" s="1">
        <v>0.0</v>
      </c>
      <c r="F725" s="1">
        <v>0.0</v>
      </c>
      <c r="G725" s="1">
        <v>0.0</v>
      </c>
      <c r="H725" s="2">
        <v>6.56046E-7</v>
      </c>
      <c r="I725" s="1">
        <v>0.0</v>
      </c>
      <c r="J725" s="1">
        <v>0.0</v>
      </c>
      <c r="K725" s="1">
        <v>0.0</v>
      </c>
      <c r="L725" s="1">
        <v>0.0</v>
      </c>
      <c r="M725" s="1">
        <v>0.0</v>
      </c>
      <c r="N725" s="1">
        <v>0.0</v>
      </c>
      <c r="O725" s="1">
        <v>0.0</v>
      </c>
      <c r="P725" s="1">
        <v>0.0</v>
      </c>
      <c r="Q725" s="1">
        <v>0.0</v>
      </c>
      <c r="R725" s="1">
        <v>0.0</v>
      </c>
      <c r="S725" s="1">
        <v>0.0</v>
      </c>
    </row>
    <row r="726" ht="14.25" hidden="1" customHeight="1">
      <c r="A726" s="1" t="s">
        <v>5</v>
      </c>
      <c r="B726" s="1" t="s">
        <v>52</v>
      </c>
      <c r="C726" s="1" t="s">
        <v>9</v>
      </c>
      <c r="D726" s="1" t="s">
        <v>14</v>
      </c>
      <c r="E726" s="1">
        <v>0.0</v>
      </c>
      <c r="F726" s="1">
        <v>0.0</v>
      </c>
      <c r="G726" s="1">
        <v>0.0</v>
      </c>
      <c r="H726" s="2">
        <v>1.38327E-5</v>
      </c>
      <c r="I726" s="1">
        <v>0.0</v>
      </c>
      <c r="J726" s="1">
        <v>0.0</v>
      </c>
      <c r="K726" s="1">
        <v>0.0</v>
      </c>
      <c r="L726" s="1">
        <v>0.0</v>
      </c>
      <c r="M726" s="1">
        <v>0.0</v>
      </c>
      <c r="N726" s="1">
        <v>0.0</v>
      </c>
      <c r="O726" s="1">
        <v>0.0</v>
      </c>
      <c r="P726" s="1">
        <v>0.0</v>
      </c>
      <c r="Q726" s="1">
        <v>0.0</v>
      </c>
      <c r="R726" s="1">
        <v>0.0</v>
      </c>
      <c r="S726" s="1">
        <v>0.0</v>
      </c>
    </row>
    <row r="727" ht="14.25" hidden="1" customHeight="1">
      <c r="A727" s="1" t="s">
        <v>5</v>
      </c>
      <c r="B727" s="1" t="s">
        <v>52</v>
      </c>
      <c r="C727" s="1" t="s">
        <v>15</v>
      </c>
      <c r="D727" s="1" t="s">
        <v>16</v>
      </c>
      <c r="E727" s="1">
        <v>0.0</v>
      </c>
      <c r="F727" s="1">
        <v>0.0</v>
      </c>
      <c r="G727" s="1">
        <v>0.0</v>
      </c>
      <c r="H727" s="1">
        <v>0.0</v>
      </c>
      <c r="I727" s="2">
        <v>1.65172E-5</v>
      </c>
      <c r="J727" s="2">
        <v>2.400131E-5</v>
      </c>
      <c r="K727" s="2">
        <v>3.509934E-5</v>
      </c>
      <c r="L727" s="2">
        <v>4.743488E-5</v>
      </c>
      <c r="M727" s="2">
        <v>6.34470299999999E-5</v>
      </c>
      <c r="N727" s="2">
        <v>7.774417E-5</v>
      </c>
      <c r="O727" s="2">
        <v>9.077321E-5</v>
      </c>
      <c r="P727" s="2">
        <v>1.03232429999999E-4</v>
      </c>
      <c r="Q727" s="2">
        <v>1.1641458E-4</v>
      </c>
      <c r="R727" s="2">
        <v>1.29309499999999E-4</v>
      </c>
      <c r="S727" s="2">
        <v>1.4270333E-4</v>
      </c>
    </row>
    <row r="728" ht="14.25" customHeight="1">
      <c r="A728" s="1" t="s">
        <v>5</v>
      </c>
      <c r="B728" s="1" t="s">
        <v>52</v>
      </c>
      <c r="C728" s="1" t="s">
        <v>15</v>
      </c>
      <c r="D728" s="1" t="s">
        <v>14</v>
      </c>
      <c r="E728" s="1">
        <v>0.0</v>
      </c>
      <c r="F728" s="1">
        <v>0.0</v>
      </c>
      <c r="G728" s="1">
        <v>0.0</v>
      </c>
      <c r="H728" s="1">
        <v>0.0</v>
      </c>
      <c r="I728" s="2">
        <v>2.30333E-6</v>
      </c>
      <c r="J728" s="2">
        <v>1.4557098E-4</v>
      </c>
      <c r="K728" s="2">
        <v>2.8566072E-4</v>
      </c>
      <c r="L728" s="2">
        <v>4.0740167E-4</v>
      </c>
      <c r="M728" s="2">
        <v>5.50617311999999E-4</v>
      </c>
      <c r="N728" s="2">
        <v>6.03985852E-4</v>
      </c>
      <c r="O728" s="2">
        <v>6.350729E-4</v>
      </c>
      <c r="P728" s="2">
        <v>6.403973E-4</v>
      </c>
      <c r="Q728" s="2">
        <v>6.456804E-4</v>
      </c>
      <c r="R728" s="2">
        <v>6.497612E-4</v>
      </c>
      <c r="S728" s="2">
        <v>6.515448E-4</v>
      </c>
    </row>
    <row r="729" ht="14.25" hidden="1" customHeight="1">
      <c r="A729" s="1" t="s">
        <v>5</v>
      </c>
      <c r="B729" s="1" t="s">
        <v>52</v>
      </c>
      <c r="C729" s="1" t="s">
        <v>17</v>
      </c>
      <c r="D729" s="1" t="s">
        <v>16</v>
      </c>
      <c r="E729" s="2">
        <v>1.00058E-5</v>
      </c>
      <c r="F729" s="2">
        <v>3.10516E-5</v>
      </c>
      <c r="G729" s="2">
        <v>2.40742E-5</v>
      </c>
      <c r="H729" s="2">
        <v>3.99276E-5</v>
      </c>
      <c r="I729" s="2">
        <v>3.831049E-5</v>
      </c>
      <c r="J729" s="2">
        <v>5.748062E-5</v>
      </c>
      <c r="K729" s="2">
        <v>7.66141E-5</v>
      </c>
      <c r="L729" s="2">
        <v>9.453358E-5</v>
      </c>
      <c r="M729" s="2">
        <v>1.1837052E-4</v>
      </c>
      <c r="N729" s="2">
        <v>1.36238115E-4</v>
      </c>
      <c r="O729" s="2">
        <v>1.5550566E-4</v>
      </c>
      <c r="P729" s="2">
        <v>1.75150019999999E-4</v>
      </c>
      <c r="Q729" s="2">
        <v>1.94350269999999E-4</v>
      </c>
      <c r="R729" s="2">
        <v>2.1360404E-4</v>
      </c>
      <c r="S729" s="2">
        <v>2.3196054E-4</v>
      </c>
    </row>
    <row r="730" ht="14.25" hidden="1" customHeight="1">
      <c r="A730" s="1" t="s">
        <v>5</v>
      </c>
      <c r="B730" s="1" t="s">
        <v>52</v>
      </c>
      <c r="C730" s="1" t="s">
        <v>17</v>
      </c>
      <c r="D730" s="1" t="s">
        <v>18</v>
      </c>
      <c r="E730" s="2">
        <v>6.2E-5</v>
      </c>
      <c r="F730" s="2">
        <v>1.92808E-4</v>
      </c>
      <c r="G730" s="2">
        <v>1.49385E-4</v>
      </c>
      <c r="H730" s="2">
        <v>1.16622E-4</v>
      </c>
      <c r="I730" s="2">
        <v>8.47608E-5</v>
      </c>
      <c r="J730" s="2">
        <v>1.454282E-4</v>
      </c>
      <c r="K730" s="2">
        <v>1.745177E-4</v>
      </c>
      <c r="L730" s="2">
        <v>2.00737E-4</v>
      </c>
      <c r="M730" s="2">
        <v>2.30880299999999E-4</v>
      </c>
      <c r="N730" s="2">
        <v>2.596658E-4</v>
      </c>
      <c r="O730" s="2">
        <v>2.8588308E-4</v>
      </c>
      <c r="P730" s="2">
        <v>3.09786E-4</v>
      </c>
      <c r="Q730" s="2">
        <v>3.3129282E-4</v>
      </c>
      <c r="R730" s="2">
        <v>3.52655989999999E-4</v>
      </c>
      <c r="S730" s="2">
        <v>3.70731909999999E-4</v>
      </c>
    </row>
    <row r="731" ht="14.25" hidden="1" customHeight="1">
      <c r="A731" s="1" t="s">
        <v>5</v>
      </c>
      <c r="B731" s="1" t="s">
        <v>52</v>
      </c>
      <c r="C731" s="1" t="s">
        <v>17</v>
      </c>
      <c r="D731" s="1" t="s">
        <v>19</v>
      </c>
      <c r="E731" s="2">
        <v>2.79977E-5</v>
      </c>
      <c r="F731" s="2">
        <v>8.70992E-5</v>
      </c>
      <c r="G731" s="2">
        <v>6.7497E-5</v>
      </c>
      <c r="H731" s="2">
        <v>7.63276E-5</v>
      </c>
      <c r="I731" s="2">
        <v>5.31799E-5</v>
      </c>
      <c r="J731" s="2">
        <v>1.1886E-4</v>
      </c>
      <c r="K731" s="2">
        <v>1.4720138E-4</v>
      </c>
      <c r="L731" s="2">
        <v>1.75981499999999E-4</v>
      </c>
      <c r="M731" s="2">
        <v>2.09698799999999E-4</v>
      </c>
      <c r="N731" s="2">
        <v>2.419921E-4</v>
      </c>
      <c r="O731" s="2">
        <v>2.760056E-4</v>
      </c>
      <c r="P731" s="2">
        <v>3.104548E-4</v>
      </c>
      <c r="Q731" s="2">
        <v>3.448412E-4</v>
      </c>
      <c r="R731" s="2">
        <v>3.787361E-4</v>
      </c>
      <c r="S731" s="2">
        <v>4.116333E-4</v>
      </c>
    </row>
    <row r="732" ht="14.25" hidden="1" customHeight="1">
      <c r="A732" s="1" t="s">
        <v>5</v>
      </c>
      <c r="B732" s="1" t="s">
        <v>52</v>
      </c>
      <c r="C732" s="1" t="s">
        <v>17</v>
      </c>
      <c r="D732" s="1" t="s">
        <v>8</v>
      </c>
      <c r="E732" s="2">
        <v>1.2001E-5</v>
      </c>
      <c r="F732" s="2">
        <v>3.73057E-5</v>
      </c>
      <c r="G732" s="2">
        <v>2.8895E-5</v>
      </c>
      <c r="H732" s="2">
        <v>1.337533E-4</v>
      </c>
      <c r="I732" s="2">
        <v>9.617018239E-5</v>
      </c>
      <c r="J732" s="1">
        <v>0.00117752913832</v>
      </c>
      <c r="K732" s="1">
        <v>0.0015431871412</v>
      </c>
      <c r="L732" s="1">
        <v>0.001894694574071</v>
      </c>
      <c r="M732" s="1">
        <v>0.002308648</v>
      </c>
      <c r="N732" s="1">
        <v>0.002673342</v>
      </c>
      <c r="O732" s="1">
        <v>0.003051794</v>
      </c>
      <c r="P732" s="1">
        <v>0.003412849</v>
      </c>
      <c r="Q732" s="1">
        <v>0.003766687</v>
      </c>
      <c r="R732" s="1">
        <v>0.004110149</v>
      </c>
      <c r="S732" s="1">
        <v>0.00443911999999999</v>
      </c>
    </row>
    <row r="733" ht="14.25" hidden="1" customHeight="1">
      <c r="A733" s="1" t="s">
        <v>5</v>
      </c>
      <c r="B733" s="1" t="s">
        <v>52</v>
      </c>
      <c r="C733" s="1" t="s">
        <v>17</v>
      </c>
      <c r="D733" s="1" t="s">
        <v>20</v>
      </c>
      <c r="E733" s="2">
        <v>1.0E-5</v>
      </c>
      <c r="F733" s="2">
        <v>3.10526E-5</v>
      </c>
      <c r="G733" s="2">
        <v>2.42105E-5</v>
      </c>
      <c r="H733" s="2">
        <v>2.84375E-5</v>
      </c>
      <c r="I733" s="2">
        <v>3.347611E-5</v>
      </c>
      <c r="J733" s="2">
        <v>4.542045E-5</v>
      </c>
      <c r="K733" s="2">
        <v>5.694214E-5</v>
      </c>
      <c r="L733" s="2">
        <v>6.64319E-5</v>
      </c>
      <c r="M733" s="2">
        <v>7.85042E-5</v>
      </c>
      <c r="N733" s="2">
        <v>9.00935E-5</v>
      </c>
      <c r="O733" s="2">
        <v>1.021262E-4</v>
      </c>
      <c r="P733" s="2">
        <v>1.140906E-4</v>
      </c>
      <c r="Q733" s="2">
        <v>1.259106E-4</v>
      </c>
      <c r="R733" s="2">
        <v>1.374157E-4</v>
      </c>
      <c r="S733" s="2">
        <v>1.483836E-4</v>
      </c>
    </row>
    <row r="734" ht="14.25" hidden="1" customHeight="1">
      <c r="A734" s="1" t="s">
        <v>5</v>
      </c>
      <c r="B734" s="1" t="s">
        <v>52</v>
      </c>
      <c r="C734" s="1" t="s">
        <v>21</v>
      </c>
      <c r="D734" s="1" t="s">
        <v>10</v>
      </c>
      <c r="E734" s="2">
        <v>2.8703E-5</v>
      </c>
      <c r="F734" s="2">
        <v>8.91966E-5</v>
      </c>
      <c r="G734" s="2">
        <v>6.30925E-5</v>
      </c>
      <c r="H734" s="2">
        <v>5.95396999999999E-5</v>
      </c>
      <c r="I734" s="2">
        <v>6.22526E-5</v>
      </c>
      <c r="J734" s="2">
        <v>4.21341229999999E-5</v>
      </c>
      <c r="K734" s="2">
        <v>1.53896317E-4</v>
      </c>
      <c r="L734" s="2">
        <v>1.87781556999999E-4</v>
      </c>
      <c r="M734" s="2">
        <v>2.11920834399999E-4</v>
      </c>
      <c r="N734" s="2">
        <v>2.283422E-4</v>
      </c>
      <c r="O734" s="2">
        <v>2.242612E-4</v>
      </c>
      <c r="P734" s="2">
        <v>2.17112299999999E-4</v>
      </c>
      <c r="Q734" s="2">
        <v>2.085842E-4</v>
      </c>
      <c r="R734" s="2">
        <v>1.985465E-4</v>
      </c>
      <c r="S734" s="2">
        <v>1.879626E-4</v>
      </c>
    </row>
    <row r="735" ht="14.25" hidden="1" customHeight="1">
      <c r="A735" s="1" t="s">
        <v>5</v>
      </c>
      <c r="B735" s="1" t="s">
        <v>52</v>
      </c>
      <c r="C735" s="1" t="s">
        <v>21</v>
      </c>
      <c r="D735" s="1" t="s">
        <v>11</v>
      </c>
      <c r="E735" s="2">
        <v>7.19949E-6</v>
      </c>
      <c r="F735" s="2">
        <v>2.23019E-5</v>
      </c>
      <c r="G735" s="2">
        <v>1.5801E-5</v>
      </c>
      <c r="H735" s="2">
        <v>3.87806399999999E-5</v>
      </c>
      <c r="I735" s="2">
        <v>1.389013235E-5</v>
      </c>
      <c r="J735" s="1">
        <v>0.00109929</v>
      </c>
      <c r="K735" s="1">
        <v>0.001141847</v>
      </c>
      <c r="L735" s="1">
        <v>0.001119224</v>
      </c>
      <c r="M735" s="1">
        <v>0.00112327599999999</v>
      </c>
      <c r="N735" s="1">
        <v>0.001104028</v>
      </c>
      <c r="O735" s="1">
        <v>0.001090721</v>
      </c>
      <c r="P735" s="1">
        <v>0.001066698</v>
      </c>
      <c r="Q735" s="1">
        <v>0.001032903</v>
      </c>
      <c r="R735" s="2">
        <v>9.96571E-4</v>
      </c>
      <c r="S735" s="2">
        <v>9.57487E-4</v>
      </c>
    </row>
    <row r="736" ht="14.25" hidden="1" customHeight="1">
      <c r="A736" s="1" t="s">
        <v>5</v>
      </c>
      <c r="B736" s="1" t="s">
        <v>52</v>
      </c>
      <c r="C736" s="1" t="s">
        <v>21</v>
      </c>
      <c r="D736" s="1" t="s">
        <v>22</v>
      </c>
      <c r="E736" s="2">
        <v>7.2E-6</v>
      </c>
      <c r="F736" s="2">
        <v>2.23E-5</v>
      </c>
      <c r="G736" s="2">
        <v>1.58E-5</v>
      </c>
      <c r="H736" s="2">
        <v>2.000172E-5</v>
      </c>
      <c r="I736" s="2">
        <v>2.092575E-5</v>
      </c>
      <c r="J736" s="2">
        <v>5.446735E-5</v>
      </c>
      <c r="K736" s="2">
        <v>5.19321E-5</v>
      </c>
      <c r="L736" s="2">
        <v>5.09508E-5</v>
      </c>
      <c r="M736" s="2">
        <v>4.92581999999999E-5</v>
      </c>
      <c r="N736" s="2">
        <v>4.85004999999999E-5</v>
      </c>
      <c r="O736" s="2">
        <v>4.76921E-5</v>
      </c>
      <c r="P736" s="2">
        <v>4.61433E-5</v>
      </c>
      <c r="Q736" s="2">
        <v>4.44182E-5</v>
      </c>
      <c r="R736" s="2">
        <v>4.25911E-5</v>
      </c>
      <c r="S736" s="2">
        <v>4.06753E-5</v>
      </c>
    </row>
    <row r="737" ht="14.25" hidden="1" customHeight="1">
      <c r="A737" s="1" t="s">
        <v>5</v>
      </c>
      <c r="B737" s="1" t="s">
        <v>52</v>
      </c>
      <c r="C737" s="1" t="s">
        <v>21</v>
      </c>
      <c r="D737" s="1" t="s">
        <v>23</v>
      </c>
      <c r="E737" s="2">
        <v>7.21268E-6</v>
      </c>
      <c r="F737" s="2">
        <v>2.22985999999999E-5</v>
      </c>
      <c r="G737" s="2">
        <v>1.579849E-5</v>
      </c>
      <c r="H737" s="2">
        <v>7.16493399999999E-5</v>
      </c>
      <c r="I737" s="2">
        <v>1.1246398E-4</v>
      </c>
      <c r="J737" s="2">
        <v>4.7773393E-4</v>
      </c>
      <c r="K737" s="2">
        <v>5.055573E-4</v>
      </c>
      <c r="L737" s="2">
        <v>5.118688E-4</v>
      </c>
      <c r="M737" s="2">
        <v>5.11941E-4</v>
      </c>
      <c r="N737" s="2">
        <v>5.015941E-4</v>
      </c>
      <c r="O737" s="2">
        <v>4.919673E-4</v>
      </c>
      <c r="P737" s="2">
        <v>4.696613E-4</v>
      </c>
      <c r="Q737" s="2">
        <v>4.437909E-4</v>
      </c>
      <c r="R737" s="2">
        <v>4.152524E-4</v>
      </c>
      <c r="S737" s="2">
        <v>3.863504E-4</v>
      </c>
    </row>
    <row r="738" ht="14.25" hidden="1" customHeight="1">
      <c r="A738" s="1" t="s">
        <v>5</v>
      </c>
      <c r="B738" s="1" t="s">
        <v>52</v>
      </c>
      <c r="C738" s="1" t="s">
        <v>21</v>
      </c>
      <c r="D738" s="1" t="s">
        <v>24</v>
      </c>
      <c r="E738" s="2">
        <v>2.579974E-5</v>
      </c>
      <c r="F738" s="2">
        <v>8.03021999999999E-5</v>
      </c>
      <c r="G738" s="2">
        <v>5.67979E-5</v>
      </c>
      <c r="H738" s="2">
        <v>1.1173904E-4</v>
      </c>
      <c r="I738" s="2">
        <v>9.54061E-5</v>
      </c>
      <c r="J738" s="2">
        <v>7.749976E-5</v>
      </c>
      <c r="K738" s="2">
        <v>7.02653E-5</v>
      </c>
      <c r="L738" s="2">
        <v>6.4894E-5</v>
      </c>
      <c r="M738" s="2">
        <v>6.11704999999999E-5</v>
      </c>
      <c r="N738" s="2">
        <v>5.77234E-5</v>
      </c>
      <c r="O738" s="2">
        <v>5.49135E-5</v>
      </c>
      <c r="P738" s="2">
        <v>5.29883E-5</v>
      </c>
      <c r="Q738" s="2">
        <v>5.0712E-5</v>
      </c>
      <c r="R738" s="2">
        <v>4.82534E-5</v>
      </c>
      <c r="S738" s="2">
        <v>4.57576E-5</v>
      </c>
    </row>
    <row r="739" ht="14.25" hidden="1" customHeight="1">
      <c r="A739" s="1" t="s">
        <v>5</v>
      </c>
      <c r="B739" s="1" t="s">
        <v>52</v>
      </c>
      <c r="C739" s="1" t="s">
        <v>21</v>
      </c>
      <c r="D739" s="1" t="s">
        <v>12</v>
      </c>
      <c r="E739" s="2">
        <v>7.00282E-7</v>
      </c>
      <c r="F739" s="2">
        <v>2.20096E-6</v>
      </c>
      <c r="G739" s="2">
        <v>1.60261E-6</v>
      </c>
      <c r="H739" s="2">
        <v>1.19675E-8</v>
      </c>
      <c r="I739" s="2">
        <v>9.77431E-7</v>
      </c>
      <c r="J739" s="2">
        <v>8.9267E-6</v>
      </c>
      <c r="K739" s="2">
        <v>1.20933E-5</v>
      </c>
      <c r="L739" s="2">
        <v>1.18648E-5</v>
      </c>
      <c r="M739" s="2">
        <v>1.14706E-5</v>
      </c>
      <c r="N739" s="2">
        <v>1.12942E-5</v>
      </c>
      <c r="O739" s="2">
        <v>1.11059E-5</v>
      </c>
      <c r="P739" s="2">
        <v>1.07453E-5</v>
      </c>
      <c r="Q739" s="2">
        <v>1.03435E-5</v>
      </c>
      <c r="R739" s="2">
        <v>9.91807E-6</v>
      </c>
      <c r="S739" s="2">
        <v>9.47194E-6</v>
      </c>
    </row>
    <row r="740" ht="14.25" hidden="1" customHeight="1">
      <c r="A740" s="1" t="s">
        <v>5</v>
      </c>
      <c r="B740" s="1" t="s">
        <v>52</v>
      </c>
      <c r="C740" s="1" t="s">
        <v>21</v>
      </c>
      <c r="D740" s="1" t="s">
        <v>13</v>
      </c>
      <c r="E740" s="2">
        <v>4.46189E-5</v>
      </c>
      <c r="F740" s="2">
        <v>1.38704E-4</v>
      </c>
      <c r="G740" s="2">
        <v>1.40466E-4</v>
      </c>
      <c r="H740" s="2">
        <v>9.246222E-5</v>
      </c>
      <c r="I740" s="2">
        <v>7.3295146E-5</v>
      </c>
      <c r="J740" s="2">
        <v>6.6488721E-5</v>
      </c>
      <c r="K740" s="2">
        <v>3.6226749E-5</v>
      </c>
      <c r="L740" s="2">
        <v>4.8463953E-5</v>
      </c>
      <c r="M740" s="2">
        <v>6.615525E-5</v>
      </c>
      <c r="N740" s="2">
        <v>8.344451E-5</v>
      </c>
      <c r="O740" s="2">
        <v>9.60825E-5</v>
      </c>
      <c r="P740" s="2">
        <v>1.0783536E-4</v>
      </c>
      <c r="Q740" s="2">
        <v>1.1583516E-4</v>
      </c>
      <c r="R740" s="2">
        <v>1.209836E-4</v>
      </c>
      <c r="S740" s="2">
        <v>1.24853199999999E-4</v>
      </c>
    </row>
    <row r="741" ht="14.25" hidden="1" customHeight="1">
      <c r="A741" s="1" t="s">
        <v>5</v>
      </c>
      <c r="B741" s="1" t="s">
        <v>52</v>
      </c>
      <c r="C741" s="1" t="s">
        <v>21</v>
      </c>
      <c r="D741" s="1" t="s">
        <v>14</v>
      </c>
      <c r="E741" s="2">
        <v>7.40175E-6</v>
      </c>
      <c r="F741" s="2">
        <v>2.31046E-5</v>
      </c>
      <c r="G741" s="2">
        <v>2.33946E-5</v>
      </c>
      <c r="H741" s="2">
        <v>7.07856E-5</v>
      </c>
      <c r="I741" s="2">
        <v>8.09151E-5</v>
      </c>
      <c r="J741" s="2">
        <v>5.54626E-5</v>
      </c>
      <c r="K741" s="2">
        <v>4.06371E-5</v>
      </c>
      <c r="L741" s="2">
        <v>3.4249E-5</v>
      </c>
      <c r="M741" s="2">
        <v>4.00693E-5</v>
      </c>
      <c r="N741" s="2">
        <v>3.53565E-5</v>
      </c>
      <c r="O741" s="2">
        <v>3.426436E-5</v>
      </c>
      <c r="P741" s="2">
        <v>3.81052999999999E-5</v>
      </c>
      <c r="Q741" s="2">
        <v>3.8872E-5</v>
      </c>
      <c r="R741" s="2">
        <v>3.86557E-5</v>
      </c>
      <c r="S741" s="2">
        <v>3.79864E-5</v>
      </c>
    </row>
    <row r="742" ht="14.25" hidden="1" customHeight="1">
      <c r="A742" s="1" t="s">
        <v>5</v>
      </c>
      <c r="B742" s="1" t="s">
        <v>52</v>
      </c>
      <c r="C742" s="1" t="s">
        <v>21</v>
      </c>
      <c r="D742" s="1" t="s">
        <v>25</v>
      </c>
      <c r="E742" s="2">
        <v>7.4E-6</v>
      </c>
      <c r="F742" s="2">
        <v>2.31E-5</v>
      </c>
      <c r="G742" s="2">
        <v>2.34E-5</v>
      </c>
      <c r="H742" s="2">
        <v>3.48742E-5</v>
      </c>
      <c r="I742" s="2">
        <v>3.8197E-5</v>
      </c>
      <c r="J742" s="2">
        <v>3.5935E-5</v>
      </c>
      <c r="K742" s="2">
        <v>3.01880999999999E-5</v>
      </c>
      <c r="L742" s="2">
        <v>2.48402E-5</v>
      </c>
      <c r="M742" s="2">
        <v>1.732946E-5</v>
      </c>
      <c r="N742" s="2">
        <v>1.606868E-5</v>
      </c>
      <c r="O742" s="2">
        <v>1.560776E-5</v>
      </c>
      <c r="P742" s="2">
        <v>1.605066E-5</v>
      </c>
      <c r="Q742" s="2">
        <v>1.651429E-5</v>
      </c>
      <c r="R742" s="2">
        <v>1.689211E-5</v>
      </c>
      <c r="S742" s="2">
        <v>1.700332E-5</v>
      </c>
    </row>
    <row r="743" ht="14.25" hidden="1" customHeight="1">
      <c r="A743" s="1" t="s">
        <v>5</v>
      </c>
      <c r="B743" s="1" t="s">
        <v>52</v>
      </c>
      <c r="C743" s="1" t="s">
        <v>21</v>
      </c>
      <c r="D743" s="1" t="s">
        <v>26</v>
      </c>
      <c r="E743" s="2">
        <v>7.39511E-6</v>
      </c>
      <c r="F743" s="2">
        <v>2.31044399999999E-5</v>
      </c>
      <c r="G743" s="2">
        <v>2.340012E-5</v>
      </c>
      <c r="H743" s="2">
        <v>1.3113318E-4</v>
      </c>
      <c r="I743" s="2">
        <v>2.181407E-4</v>
      </c>
      <c r="J743" s="2">
        <v>3.953424E-4</v>
      </c>
      <c r="K743" s="2">
        <v>3.868225E-4</v>
      </c>
      <c r="L743" s="2">
        <v>3.484174E-4</v>
      </c>
      <c r="M743" s="2">
        <v>2.696606E-4</v>
      </c>
      <c r="N743" s="2">
        <v>2.685886E-4</v>
      </c>
      <c r="O743" s="2">
        <v>2.733725E-4</v>
      </c>
      <c r="P743" s="2">
        <v>2.911392E-4</v>
      </c>
      <c r="Q743" s="2">
        <v>3.06019599999999E-4</v>
      </c>
      <c r="R743" s="2">
        <v>3.144609E-4</v>
      </c>
      <c r="S743" s="2">
        <v>3.146651E-4</v>
      </c>
    </row>
    <row r="744" ht="14.25" hidden="1" customHeight="1">
      <c r="A744" s="1" t="s">
        <v>5</v>
      </c>
      <c r="B744" s="1" t="s">
        <v>52</v>
      </c>
      <c r="C744" s="1" t="s">
        <v>21</v>
      </c>
      <c r="D744" s="1" t="s">
        <v>27</v>
      </c>
      <c r="E744" s="2">
        <v>2.680309E-5</v>
      </c>
      <c r="F744" s="2">
        <v>8.32021E-5</v>
      </c>
      <c r="G744" s="2">
        <v>8.43036999999999E-5</v>
      </c>
      <c r="H744" s="2">
        <v>1.9999976E-4</v>
      </c>
      <c r="I744" s="2">
        <v>2.240264E-4</v>
      </c>
      <c r="J744" s="2">
        <v>2.5453419E-4</v>
      </c>
      <c r="K744" s="2">
        <v>2.487118E-4</v>
      </c>
      <c r="L744" s="2">
        <v>2.449772E-4</v>
      </c>
      <c r="M744" s="2">
        <v>2.484426E-4</v>
      </c>
      <c r="N744" s="2">
        <v>2.429355E-4</v>
      </c>
      <c r="O744" s="2">
        <v>2.38329199999999E-4</v>
      </c>
      <c r="P744" s="2">
        <v>2.420347E-4</v>
      </c>
      <c r="Q744" s="2">
        <v>2.45444E-4</v>
      </c>
      <c r="R744" s="2">
        <v>2.474138E-4</v>
      </c>
      <c r="S744" s="2">
        <v>2.47627E-4</v>
      </c>
    </row>
    <row r="745" ht="14.25" hidden="1" customHeight="1">
      <c r="A745" s="1" t="s">
        <v>5</v>
      </c>
      <c r="B745" s="1" t="s">
        <v>52</v>
      </c>
      <c r="C745" s="1" t="s">
        <v>21</v>
      </c>
      <c r="D745" s="1" t="s">
        <v>28</v>
      </c>
      <c r="E745" s="2">
        <v>7.0E-7</v>
      </c>
      <c r="F745" s="2">
        <v>2.3E-6</v>
      </c>
      <c r="G745" s="2">
        <v>2.3E-6</v>
      </c>
      <c r="H745" s="2">
        <v>2.60411E-6</v>
      </c>
      <c r="I745" s="2">
        <v>3.14837E-6</v>
      </c>
      <c r="J745" s="2">
        <v>2.82555E-6</v>
      </c>
      <c r="K745" s="2">
        <v>2.37368E-6</v>
      </c>
      <c r="L745" s="2">
        <v>1.95317E-6</v>
      </c>
      <c r="M745" s="2">
        <v>1.36261E-6</v>
      </c>
      <c r="N745" s="2">
        <v>1.26347E-6</v>
      </c>
      <c r="O745" s="2">
        <v>1.22723E-6</v>
      </c>
      <c r="P745" s="2">
        <v>1.26206E-6</v>
      </c>
      <c r="Q745" s="2">
        <v>1.29851E-6</v>
      </c>
      <c r="R745" s="2">
        <v>1.32822E-6</v>
      </c>
      <c r="S745" s="2">
        <v>1.33697E-6</v>
      </c>
    </row>
    <row r="746" ht="14.25" hidden="1" customHeight="1">
      <c r="A746" s="1" t="s">
        <v>5</v>
      </c>
      <c r="B746" s="1" t="s">
        <v>52</v>
      </c>
      <c r="C746" s="1" t="s">
        <v>29</v>
      </c>
      <c r="D746" s="1" t="s">
        <v>16</v>
      </c>
      <c r="E746" s="2">
        <v>1.2007E-6</v>
      </c>
      <c r="F746" s="2">
        <v>2.29642E-6</v>
      </c>
      <c r="G746" s="2">
        <v>3.16661E-5</v>
      </c>
      <c r="H746" s="2">
        <v>2.52399579999999E-5</v>
      </c>
      <c r="I746" s="2">
        <v>2.7201955E-5</v>
      </c>
      <c r="J746" s="2">
        <v>2.26873629999999E-5</v>
      </c>
      <c r="K746" s="2">
        <v>1.8315362E-5</v>
      </c>
      <c r="L746" s="2">
        <v>1.4455738E-5</v>
      </c>
      <c r="M746" s="2">
        <v>7.695498E-6</v>
      </c>
      <c r="N746" s="2">
        <v>8.201921E-6</v>
      </c>
      <c r="O746" s="2">
        <v>9.016826E-6</v>
      </c>
      <c r="P746" s="2">
        <v>1.0610232E-5</v>
      </c>
      <c r="Q746" s="2">
        <v>1.2474945E-5</v>
      </c>
      <c r="R746" s="2">
        <v>1.44872019999999E-5</v>
      </c>
      <c r="S746" s="2">
        <v>1.6504346E-5</v>
      </c>
    </row>
    <row r="747" ht="14.25" hidden="1" customHeight="1">
      <c r="A747" s="1" t="s">
        <v>5</v>
      </c>
      <c r="B747" s="1" t="s">
        <v>52</v>
      </c>
      <c r="C747" s="1" t="s">
        <v>29</v>
      </c>
      <c r="D747" s="1" t="s">
        <v>8</v>
      </c>
      <c r="E747" s="2">
        <v>2.4002E-6</v>
      </c>
      <c r="F747" s="2">
        <v>4.70072E-6</v>
      </c>
      <c r="G747" s="2">
        <v>6.32891E-5</v>
      </c>
      <c r="H747" s="2">
        <v>4.885934498E-5</v>
      </c>
      <c r="I747" s="2">
        <v>2.1954167764E-4</v>
      </c>
      <c r="J747" s="2">
        <v>1.9202685622E-4</v>
      </c>
      <c r="K747" s="2">
        <v>1.5874412249E-4</v>
      </c>
      <c r="L747" s="2">
        <v>1.1424620876E-4</v>
      </c>
      <c r="M747" s="2">
        <v>6.3080367343E-5</v>
      </c>
      <c r="N747" s="2">
        <v>3.907658E-5</v>
      </c>
      <c r="O747" s="2">
        <v>1.7491373E-5</v>
      </c>
      <c r="P747" s="2">
        <v>1.9068763E-5</v>
      </c>
      <c r="Q747" s="2">
        <v>2.1067667E-5</v>
      </c>
      <c r="R747" s="2">
        <v>2.3074647E-5</v>
      </c>
      <c r="S747" s="2">
        <v>2.49284819999999E-5</v>
      </c>
    </row>
    <row r="748" ht="14.25" hidden="1" customHeight="1">
      <c r="A748" s="1" t="s">
        <v>5</v>
      </c>
      <c r="B748" s="1" t="s">
        <v>52</v>
      </c>
      <c r="C748" s="1" t="s">
        <v>29</v>
      </c>
      <c r="D748" s="1" t="s">
        <v>10</v>
      </c>
      <c r="E748" s="2">
        <v>2.20023E-5</v>
      </c>
      <c r="F748" s="2">
        <v>4.21984E-5</v>
      </c>
      <c r="G748" s="2">
        <v>2.62969E-5</v>
      </c>
      <c r="H748" s="2">
        <v>2.479432E-4</v>
      </c>
      <c r="I748" s="2">
        <v>2.264361E-4</v>
      </c>
      <c r="J748" s="2">
        <v>1.8721151E-4</v>
      </c>
      <c r="K748" s="2">
        <v>1.449201833E-4</v>
      </c>
      <c r="L748" s="2">
        <v>9.45386867E-5</v>
      </c>
      <c r="M748" s="2">
        <v>5.4505555E-5</v>
      </c>
      <c r="N748" s="2">
        <v>2.210734327E-5</v>
      </c>
      <c r="O748" s="2">
        <v>1.818194671E-5</v>
      </c>
      <c r="P748" s="2">
        <v>1.52505399999999E-5</v>
      </c>
      <c r="Q748" s="2">
        <v>1.22237519999999E-5</v>
      </c>
      <c r="R748" s="2">
        <v>1.0569114E-5</v>
      </c>
      <c r="S748" s="2">
        <v>9.416011E-6</v>
      </c>
    </row>
    <row r="749" ht="14.25" hidden="1" customHeight="1">
      <c r="A749" s="1" t="s">
        <v>5</v>
      </c>
      <c r="B749" s="1" t="s">
        <v>52</v>
      </c>
      <c r="C749" s="1" t="s">
        <v>29</v>
      </c>
      <c r="D749" s="1" t="s">
        <v>11</v>
      </c>
      <c r="E749" s="2">
        <v>2.28884E-4</v>
      </c>
      <c r="F749" s="2">
        <v>4.39437E-4</v>
      </c>
      <c r="G749" s="2">
        <v>2.73217E-4</v>
      </c>
      <c r="H749" s="2">
        <v>2.1323487E-4</v>
      </c>
      <c r="I749" s="2">
        <v>1.7903044E-4</v>
      </c>
      <c r="J749" s="2">
        <v>2.3146176E-4</v>
      </c>
      <c r="K749" s="2">
        <v>2.2426824E-4</v>
      </c>
      <c r="L749" s="2">
        <v>2.27384914E-4</v>
      </c>
      <c r="M749" s="2">
        <v>1.79173727E-4</v>
      </c>
      <c r="N749" s="2">
        <v>1.829161E-4</v>
      </c>
      <c r="O749" s="2">
        <v>1.769931E-4</v>
      </c>
      <c r="P749" s="2">
        <v>1.59705E-4</v>
      </c>
      <c r="Q749" s="2">
        <v>1.4773584E-4</v>
      </c>
      <c r="R749" s="2">
        <v>1.34996769999999E-4</v>
      </c>
      <c r="S749" s="2">
        <v>1.23732509999999E-4</v>
      </c>
    </row>
    <row r="750" ht="14.25" hidden="1" customHeight="1">
      <c r="A750" s="1" t="s">
        <v>5</v>
      </c>
      <c r="B750" s="1" t="s">
        <v>52</v>
      </c>
      <c r="C750" s="1" t="s">
        <v>29</v>
      </c>
      <c r="D750" s="1" t="s">
        <v>13</v>
      </c>
      <c r="E750" s="2">
        <v>2.26096E-5</v>
      </c>
      <c r="F750" s="2">
        <v>4.33011E-5</v>
      </c>
      <c r="G750" s="2">
        <v>5.48869E-5</v>
      </c>
      <c r="H750" s="2">
        <v>4.304195E-4</v>
      </c>
      <c r="I750" s="2">
        <v>5.411382E-4</v>
      </c>
      <c r="J750" s="2">
        <v>6.446284E-4</v>
      </c>
      <c r="K750" s="2">
        <v>7.93444699999999E-4</v>
      </c>
      <c r="L750" s="2">
        <v>8.574237E-4</v>
      </c>
      <c r="M750" s="2">
        <v>9.23604499999999E-4</v>
      </c>
      <c r="N750" s="2">
        <v>9.496371E-4</v>
      </c>
      <c r="O750" s="2">
        <v>9.655955E-4</v>
      </c>
      <c r="P750" s="2">
        <v>9.741067E-4</v>
      </c>
      <c r="Q750" s="2">
        <v>9.822718E-4</v>
      </c>
      <c r="R750" s="2">
        <v>9.902541E-4</v>
      </c>
      <c r="S750" s="2">
        <v>9.915165E-4</v>
      </c>
    </row>
    <row r="751" ht="14.25" hidden="1" customHeight="1">
      <c r="A751" s="1" t="s">
        <v>5</v>
      </c>
      <c r="B751" s="1" t="s">
        <v>52</v>
      </c>
      <c r="C751" s="1" t="s">
        <v>29</v>
      </c>
      <c r="D751" s="1" t="s">
        <v>14</v>
      </c>
      <c r="E751" s="2">
        <v>3.29678E-4</v>
      </c>
      <c r="F751" s="2">
        <v>6.32927E-4</v>
      </c>
      <c r="G751" s="2">
        <v>8.01617E-4</v>
      </c>
      <c r="H751" s="2">
        <v>7.144472E-4</v>
      </c>
      <c r="I751" s="2">
        <v>7.358148E-4</v>
      </c>
      <c r="J751" s="2">
        <v>6.203643E-4</v>
      </c>
      <c r="K751" s="2">
        <v>4.847983E-4</v>
      </c>
      <c r="L751" s="2">
        <v>3.530373E-4</v>
      </c>
      <c r="M751" s="2">
        <v>1.490752E-4</v>
      </c>
      <c r="N751" s="2">
        <v>1.24495239999999E-4</v>
      </c>
      <c r="O751" s="2">
        <v>1.1490225E-4</v>
      </c>
      <c r="P751" s="2">
        <v>1.20903389999999E-4</v>
      </c>
      <c r="Q751" s="2">
        <v>1.2789565E-4</v>
      </c>
      <c r="R751" s="2">
        <v>1.3508191E-4</v>
      </c>
      <c r="S751" s="2">
        <v>1.4015307E-4</v>
      </c>
    </row>
    <row r="752" ht="14.25" hidden="1" customHeight="1">
      <c r="A752" s="1" t="s">
        <v>5</v>
      </c>
      <c r="B752" s="1" t="s">
        <v>52</v>
      </c>
      <c r="C752" s="1" t="s">
        <v>31</v>
      </c>
      <c r="D752" s="1" t="s">
        <v>11</v>
      </c>
      <c r="E752" s="1">
        <v>0.00296579</v>
      </c>
      <c r="F752" s="1">
        <v>0.0034755</v>
      </c>
      <c r="G752" s="1">
        <v>0.00369383</v>
      </c>
      <c r="H752" s="1">
        <v>0.00332263</v>
      </c>
      <c r="I752" s="1">
        <v>0.00592566</v>
      </c>
      <c r="J752" s="2">
        <v>9.22289E-5</v>
      </c>
      <c r="K752" s="2">
        <v>4.20182E-5</v>
      </c>
      <c r="L752" s="2">
        <v>4.59496E-5</v>
      </c>
      <c r="M752" s="2">
        <v>3.29041E-5</v>
      </c>
      <c r="N752" s="2">
        <v>1.66444E-5</v>
      </c>
      <c r="O752" s="1">
        <v>0.0</v>
      </c>
      <c r="P752" s="1">
        <v>0.0</v>
      </c>
      <c r="Q752" s="1">
        <v>0.0</v>
      </c>
      <c r="R752" s="1">
        <v>0.0</v>
      </c>
      <c r="S752" s="1">
        <v>0.0</v>
      </c>
    </row>
    <row r="753" ht="14.25" hidden="1" customHeight="1">
      <c r="A753" s="1" t="s">
        <v>5</v>
      </c>
      <c r="B753" s="1" t="s">
        <v>53</v>
      </c>
      <c r="C753" s="1" t="s">
        <v>7</v>
      </c>
      <c r="D753" s="1" t="s">
        <v>8</v>
      </c>
      <c r="E753" s="1">
        <v>0.0112039</v>
      </c>
      <c r="F753" s="1">
        <v>0.0142641</v>
      </c>
      <c r="G753" s="1">
        <v>0.0152651</v>
      </c>
      <c r="H753" s="1">
        <v>0.0137034</v>
      </c>
      <c r="I753" s="1">
        <v>0.00379685</v>
      </c>
      <c r="J753" s="1">
        <v>0.00799848</v>
      </c>
      <c r="K753" s="1">
        <v>0.00489409</v>
      </c>
      <c r="L753" s="1">
        <v>0.0041129</v>
      </c>
      <c r="M753" s="1">
        <v>0.00307122</v>
      </c>
      <c r="N753" s="1">
        <v>0.0017848</v>
      </c>
      <c r="O753" s="1">
        <v>0.0</v>
      </c>
      <c r="P753" s="1">
        <v>0.0</v>
      </c>
      <c r="Q753" s="1">
        <v>0.0</v>
      </c>
      <c r="R753" s="1">
        <v>0.0</v>
      </c>
      <c r="S753" s="1">
        <v>0.0</v>
      </c>
    </row>
    <row r="754" ht="14.25" hidden="1" customHeight="1">
      <c r="A754" s="1" t="s">
        <v>5</v>
      </c>
      <c r="B754" s="1" t="s">
        <v>53</v>
      </c>
      <c r="C754" s="1" t="s">
        <v>9</v>
      </c>
      <c r="D754" s="1" t="s">
        <v>8</v>
      </c>
      <c r="E754" s="1">
        <v>0.00514241</v>
      </c>
      <c r="F754" s="1">
        <v>0.00451009</v>
      </c>
      <c r="G754" s="1">
        <v>0.00663338</v>
      </c>
      <c r="H754" s="1">
        <v>0.00396106</v>
      </c>
      <c r="I754" s="1">
        <v>0.0146205</v>
      </c>
      <c r="J754" s="2">
        <v>1.83514E-9</v>
      </c>
      <c r="K754" s="1">
        <v>0.0</v>
      </c>
      <c r="L754" s="1">
        <v>0.0</v>
      </c>
      <c r="M754" s="1">
        <v>0.0</v>
      </c>
      <c r="N754" s="1">
        <v>0.0</v>
      </c>
      <c r="O754" s="1">
        <v>0.0</v>
      </c>
      <c r="P754" s="1">
        <v>0.0</v>
      </c>
      <c r="Q754" s="1">
        <v>0.0</v>
      </c>
      <c r="R754" s="1">
        <v>0.0</v>
      </c>
      <c r="S754" s="1">
        <v>0.0</v>
      </c>
    </row>
    <row r="755" ht="14.25" hidden="1" customHeight="1">
      <c r="A755" s="1" t="s">
        <v>5</v>
      </c>
      <c r="B755" s="1" t="s">
        <v>53</v>
      </c>
      <c r="C755" s="1" t="s">
        <v>9</v>
      </c>
      <c r="D755" s="1" t="s">
        <v>10</v>
      </c>
      <c r="E755" s="1">
        <v>0.0</v>
      </c>
      <c r="F755" s="1">
        <v>0.0</v>
      </c>
      <c r="G755" s="2">
        <v>9.86979E-4</v>
      </c>
      <c r="H755" s="1">
        <v>0.0</v>
      </c>
      <c r="I755" s="1">
        <v>0.00291341</v>
      </c>
      <c r="J755" s="1">
        <v>0.0124437</v>
      </c>
      <c r="K755" s="1">
        <v>0.0</v>
      </c>
      <c r="L755" s="1">
        <v>0.0</v>
      </c>
      <c r="M755" s="1">
        <v>0.0</v>
      </c>
      <c r="N755" s="1">
        <v>0.0</v>
      </c>
      <c r="O755" s="1">
        <v>0.0</v>
      </c>
      <c r="P755" s="1">
        <v>0.0</v>
      </c>
      <c r="Q755" s="1">
        <v>0.0</v>
      </c>
      <c r="R755" s="1">
        <v>0.0</v>
      </c>
      <c r="S755" s="1">
        <v>0.0</v>
      </c>
    </row>
    <row r="756" ht="14.25" hidden="1" customHeight="1">
      <c r="A756" s="1" t="s">
        <v>5</v>
      </c>
      <c r="B756" s="1" t="s">
        <v>53</v>
      </c>
      <c r="C756" s="1" t="s">
        <v>9</v>
      </c>
      <c r="D756" s="1" t="s">
        <v>11</v>
      </c>
      <c r="E756" s="1">
        <v>0.0</v>
      </c>
      <c r="F756" s="1">
        <v>0.0</v>
      </c>
      <c r="G756" s="2">
        <v>9.87001E-4</v>
      </c>
      <c r="H756" s="1">
        <v>0.0</v>
      </c>
      <c r="I756" s="1">
        <v>0.0</v>
      </c>
      <c r="J756" s="1">
        <v>0.0</v>
      </c>
      <c r="K756" s="1">
        <v>0.0</v>
      </c>
      <c r="L756" s="1">
        <v>0.0</v>
      </c>
      <c r="M756" s="1">
        <v>0.0</v>
      </c>
      <c r="N756" s="1">
        <v>0.0</v>
      </c>
      <c r="O756" s="1">
        <v>0.0</v>
      </c>
      <c r="P756" s="1">
        <v>0.0</v>
      </c>
      <c r="Q756" s="1">
        <v>0.0</v>
      </c>
      <c r="R756" s="1">
        <v>0.0</v>
      </c>
      <c r="S756" s="1">
        <v>0.0</v>
      </c>
    </row>
    <row r="757" ht="14.25" hidden="1" customHeight="1">
      <c r="A757" s="1" t="s">
        <v>5</v>
      </c>
      <c r="B757" s="1" t="s">
        <v>53</v>
      </c>
      <c r="C757" s="1" t="s">
        <v>9</v>
      </c>
      <c r="D757" s="1" t="s">
        <v>12</v>
      </c>
      <c r="E757" s="1">
        <v>0.0</v>
      </c>
      <c r="F757" s="1">
        <v>0.0</v>
      </c>
      <c r="G757" s="2">
        <v>9.86699E-5</v>
      </c>
      <c r="H757" s="1">
        <v>0.0</v>
      </c>
      <c r="I757" s="1">
        <v>0.0</v>
      </c>
      <c r="J757" s="1">
        <v>0.0</v>
      </c>
      <c r="K757" s="1">
        <v>0.0</v>
      </c>
      <c r="L757" s="1">
        <v>0.0</v>
      </c>
      <c r="M757" s="1">
        <v>0.0</v>
      </c>
      <c r="N757" s="1">
        <v>0.0</v>
      </c>
      <c r="O757" s="1">
        <v>0.0</v>
      </c>
      <c r="P757" s="1">
        <v>0.0</v>
      </c>
      <c r="Q757" s="1">
        <v>0.0</v>
      </c>
      <c r="R757" s="1">
        <v>0.0</v>
      </c>
      <c r="S757" s="1">
        <v>0.0</v>
      </c>
    </row>
    <row r="758" ht="14.25" hidden="1" customHeight="1">
      <c r="A758" s="1" t="s">
        <v>5</v>
      </c>
      <c r="B758" s="1" t="s">
        <v>53</v>
      </c>
      <c r="C758" s="1" t="s">
        <v>9</v>
      </c>
      <c r="D758" s="1" t="s">
        <v>13</v>
      </c>
      <c r="E758" s="1">
        <v>0.0</v>
      </c>
      <c r="F758" s="1">
        <v>0.0</v>
      </c>
      <c r="G758" s="1">
        <v>0.0</v>
      </c>
      <c r="H758" s="2">
        <v>3.35334E-4</v>
      </c>
      <c r="I758" s="1">
        <v>0.0</v>
      </c>
      <c r="J758" s="1">
        <v>0.0</v>
      </c>
      <c r="K758" s="1">
        <v>0.0</v>
      </c>
      <c r="L758" s="1">
        <v>0.0</v>
      </c>
      <c r="M758" s="1">
        <v>0.0</v>
      </c>
      <c r="N758" s="1">
        <v>0.0</v>
      </c>
      <c r="O758" s="1">
        <v>0.0</v>
      </c>
      <c r="P758" s="1">
        <v>0.0</v>
      </c>
      <c r="Q758" s="1">
        <v>0.0</v>
      </c>
      <c r="R758" s="1">
        <v>0.0</v>
      </c>
      <c r="S758" s="1">
        <v>0.0</v>
      </c>
    </row>
    <row r="759" ht="14.25" hidden="1" customHeight="1">
      <c r="A759" s="1" t="s">
        <v>5</v>
      </c>
      <c r="B759" s="1" t="s">
        <v>53</v>
      </c>
      <c r="C759" s="1" t="s">
        <v>9</v>
      </c>
      <c r="D759" s="1" t="s">
        <v>14</v>
      </c>
      <c r="E759" s="1">
        <v>0.0</v>
      </c>
      <c r="F759" s="1">
        <v>0.0</v>
      </c>
      <c r="G759" s="1">
        <v>0.0</v>
      </c>
      <c r="H759" s="2">
        <v>6.04456E-5</v>
      </c>
      <c r="I759" s="1">
        <v>0.0</v>
      </c>
      <c r="J759" s="1">
        <v>0.0</v>
      </c>
      <c r="K759" s="1">
        <v>0.0</v>
      </c>
      <c r="L759" s="1">
        <v>0.0</v>
      </c>
      <c r="M759" s="1">
        <v>0.0</v>
      </c>
      <c r="N759" s="1">
        <v>0.0</v>
      </c>
      <c r="O759" s="1">
        <v>0.0</v>
      </c>
      <c r="P759" s="1">
        <v>0.0</v>
      </c>
      <c r="Q759" s="1">
        <v>0.0</v>
      </c>
      <c r="R759" s="1">
        <v>0.0</v>
      </c>
      <c r="S759" s="1">
        <v>0.0</v>
      </c>
    </row>
    <row r="760" ht="14.25" hidden="1" customHeight="1">
      <c r="A760" s="1" t="s">
        <v>5</v>
      </c>
      <c r="B760" s="1" t="s">
        <v>53</v>
      </c>
      <c r="C760" s="1" t="s">
        <v>15</v>
      </c>
      <c r="D760" s="1" t="s">
        <v>16</v>
      </c>
      <c r="E760" s="1">
        <v>0.0</v>
      </c>
      <c r="F760" s="1">
        <v>0.0</v>
      </c>
      <c r="G760" s="1">
        <v>0.0</v>
      </c>
      <c r="H760" s="1">
        <v>0.0</v>
      </c>
      <c r="I760" s="1">
        <v>0.00131781</v>
      </c>
      <c r="J760" s="1">
        <v>0.00314990999999999</v>
      </c>
      <c r="K760" s="1">
        <v>0.005570652</v>
      </c>
      <c r="L760" s="1">
        <v>0.008443123</v>
      </c>
      <c r="M760" s="1">
        <v>0.012035994</v>
      </c>
      <c r="N760" s="1">
        <v>0.0150777929999999</v>
      </c>
      <c r="O760" s="1">
        <v>0.018034587</v>
      </c>
      <c r="P760" s="1">
        <v>0.021077774</v>
      </c>
      <c r="Q760" s="1">
        <v>0.024109787</v>
      </c>
      <c r="R760" s="1">
        <v>0.027126041</v>
      </c>
      <c r="S760" s="1">
        <v>0.0301978839999999</v>
      </c>
    </row>
    <row r="761" ht="14.25" customHeight="1">
      <c r="A761" s="1" t="s">
        <v>5</v>
      </c>
      <c r="B761" s="1" t="s">
        <v>53</v>
      </c>
      <c r="C761" s="1" t="s">
        <v>15</v>
      </c>
      <c r="D761" s="1" t="s">
        <v>14</v>
      </c>
      <c r="E761" s="1">
        <v>0.0</v>
      </c>
      <c r="F761" s="1">
        <v>0.0</v>
      </c>
      <c r="G761" s="1">
        <v>0.0</v>
      </c>
      <c r="H761" s="1">
        <v>0.0</v>
      </c>
      <c r="I761" s="1">
        <v>0.0</v>
      </c>
      <c r="J761" s="1">
        <v>0.0072093</v>
      </c>
      <c r="K761" s="1">
        <v>0.01601999</v>
      </c>
      <c r="L761" s="1">
        <v>0.02056602</v>
      </c>
      <c r="M761" s="1">
        <v>0.02647646</v>
      </c>
      <c r="N761" s="1">
        <v>0.03013021</v>
      </c>
      <c r="O761" s="1">
        <v>0.033626214</v>
      </c>
      <c r="P761" s="1">
        <v>0.03669034</v>
      </c>
      <c r="Q761" s="1">
        <v>0.039840576</v>
      </c>
      <c r="R761" s="1">
        <v>0.04299477</v>
      </c>
      <c r="S761" s="1">
        <v>0.04620534</v>
      </c>
    </row>
    <row r="762" ht="14.25" hidden="1" customHeight="1">
      <c r="A762" s="1" t="s">
        <v>5</v>
      </c>
      <c r="B762" s="1" t="s">
        <v>53</v>
      </c>
      <c r="C762" s="1" t="s">
        <v>17</v>
      </c>
      <c r="D762" s="1" t="s">
        <v>16</v>
      </c>
      <c r="E762" s="2">
        <v>9.40035E-6</v>
      </c>
      <c r="F762" s="2">
        <v>2.91996E-5</v>
      </c>
      <c r="G762" s="1">
        <v>0.00203841</v>
      </c>
      <c r="H762" s="1">
        <v>0.00311846</v>
      </c>
      <c r="I762" s="1">
        <v>0.00313025</v>
      </c>
      <c r="J762" s="1">
        <v>0.00294860899999999</v>
      </c>
      <c r="K762" s="1">
        <v>0.002351532</v>
      </c>
      <c r="L762" s="1">
        <v>0.001731706</v>
      </c>
      <c r="M762" s="1">
        <v>0.001245418</v>
      </c>
      <c r="N762" s="1">
        <v>0.0010336844</v>
      </c>
      <c r="O762" s="1">
        <v>0.0010157645</v>
      </c>
      <c r="P762" s="1">
        <v>0.0010905718</v>
      </c>
      <c r="Q762" s="1">
        <v>0.0012097293</v>
      </c>
      <c r="R762" s="1">
        <v>0.0013552298</v>
      </c>
      <c r="S762" s="1">
        <v>0.0015145896</v>
      </c>
    </row>
    <row r="763" ht="14.25" hidden="1" customHeight="1">
      <c r="A763" s="1" t="s">
        <v>5</v>
      </c>
      <c r="B763" s="1" t="s">
        <v>53</v>
      </c>
      <c r="C763" s="1" t="s">
        <v>17</v>
      </c>
      <c r="D763" s="1" t="s">
        <v>18</v>
      </c>
      <c r="E763" s="2">
        <v>3.0E-5</v>
      </c>
      <c r="F763" s="2">
        <v>9.33077E-5</v>
      </c>
      <c r="G763" s="1">
        <v>0.006523</v>
      </c>
      <c r="H763" s="1">
        <v>0.006585808</v>
      </c>
      <c r="I763" s="1">
        <v>0.002624744</v>
      </c>
      <c r="J763" s="1">
        <v>0.008361137</v>
      </c>
      <c r="K763" s="1">
        <v>0.009237931</v>
      </c>
      <c r="L763" s="1">
        <v>0.01052319</v>
      </c>
      <c r="M763" s="1">
        <v>0.0117891572999999</v>
      </c>
      <c r="N763" s="1">
        <v>0.01306802</v>
      </c>
      <c r="O763" s="1">
        <v>0.014195783</v>
      </c>
      <c r="P763" s="1">
        <v>0.015538592</v>
      </c>
      <c r="Q763" s="1">
        <v>0.016888965</v>
      </c>
      <c r="R763" s="1">
        <v>0.018228644</v>
      </c>
      <c r="S763" s="1">
        <v>0.019465776</v>
      </c>
    </row>
    <row r="764" ht="14.25" hidden="1" customHeight="1">
      <c r="A764" s="1" t="s">
        <v>5</v>
      </c>
      <c r="B764" s="1" t="s">
        <v>53</v>
      </c>
      <c r="C764" s="1" t="s">
        <v>17</v>
      </c>
      <c r="D764" s="1" t="s">
        <v>19</v>
      </c>
      <c r="E764" s="2">
        <v>1.31016E-5</v>
      </c>
      <c r="F764" s="2">
        <v>4.07981E-5</v>
      </c>
      <c r="G764" s="1">
        <v>0.0028538</v>
      </c>
      <c r="H764" s="1">
        <v>0.002944843</v>
      </c>
      <c r="I764" s="2">
        <v>7.29868E-4</v>
      </c>
      <c r="J764" s="1">
        <v>0.00433855799999999</v>
      </c>
      <c r="K764" s="1">
        <v>0.005139393</v>
      </c>
      <c r="L764" s="1">
        <v>0.00606336</v>
      </c>
      <c r="M764" s="1">
        <v>0.007013821</v>
      </c>
      <c r="N764" s="1">
        <v>0.008043708</v>
      </c>
      <c r="O764" s="1">
        <v>0.009164702</v>
      </c>
      <c r="P764" s="1">
        <v>0.010358355</v>
      </c>
      <c r="Q764" s="1">
        <v>0.01160115</v>
      </c>
      <c r="R764" s="1">
        <v>0.01286773</v>
      </c>
      <c r="S764" s="1">
        <v>0.01413797</v>
      </c>
    </row>
    <row r="765" ht="14.25" hidden="1" customHeight="1">
      <c r="A765" s="1" t="s">
        <v>5</v>
      </c>
      <c r="B765" s="1" t="s">
        <v>53</v>
      </c>
      <c r="C765" s="1" t="s">
        <v>17</v>
      </c>
      <c r="D765" s="1" t="s">
        <v>8</v>
      </c>
      <c r="E765" s="2">
        <v>5.60001E-6</v>
      </c>
      <c r="F765" s="2">
        <v>1.75E-5</v>
      </c>
      <c r="G765" s="1">
        <v>0.0012231</v>
      </c>
      <c r="H765" s="1">
        <v>0.00134412</v>
      </c>
      <c r="I765" s="2">
        <v>9.43436507246E-4</v>
      </c>
      <c r="J765" s="1">
        <v>0.008803283367409</v>
      </c>
      <c r="K765" s="1">
        <v>0.011833767253623</v>
      </c>
      <c r="L765" s="1">
        <v>0.014432540139837</v>
      </c>
      <c r="M765" s="1">
        <v>0.01732236</v>
      </c>
      <c r="N765" s="1">
        <v>0.0202841</v>
      </c>
      <c r="O765" s="1">
        <v>0.02370806</v>
      </c>
      <c r="P765" s="1">
        <v>0.02677691</v>
      </c>
      <c r="Q765" s="1">
        <v>0.0298787</v>
      </c>
      <c r="R765" s="1">
        <v>0.03300685</v>
      </c>
      <c r="S765" s="1">
        <v>0.03615105</v>
      </c>
    </row>
    <row r="766" ht="14.25" hidden="1" customHeight="1">
      <c r="A766" s="1" t="s">
        <v>5</v>
      </c>
      <c r="B766" s="1" t="s">
        <v>53</v>
      </c>
      <c r="C766" s="1" t="s">
        <v>17</v>
      </c>
      <c r="D766" s="1" t="s">
        <v>20</v>
      </c>
      <c r="E766" s="2">
        <v>3.68421E-6</v>
      </c>
      <c r="F766" s="2">
        <v>1.15789E-5</v>
      </c>
      <c r="G766" s="2">
        <v>8.15263E-4</v>
      </c>
      <c r="H766" s="2">
        <v>8.64001E-4</v>
      </c>
      <c r="I766" s="2">
        <v>3.73555E-4</v>
      </c>
      <c r="J766" s="1">
        <v>0.00131343</v>
      </c>
      <c r="K766" s="1">
        <v>0.001578913</v>
      </c>
      <c r="L766" s="1">
        <v>0.00182572999999999</v>
      </c>
      <c r="M766" s="1">
        <v>0.00208996</v>
      </c>
      <c r="N766" s="1">
        <v>0.002384663</v>
      </c>
      <c r="O766" s="1">
        <v>0.002701396</v>
      </c>
      <c r="P766" s="1">
        <v>0.003031488</v>
      </c>
      <c r="Q766" s="1">
        <v>0.003373372</v>
      </c>
      <c r="R766" s="1">
        <v>0.003718426</v>
      </c>
      <c r="S766" s="1">
        <v>0.004058784</v>
      </c>
    </row>
    <row r="767" ht="14.25" hidden="1" customHeight="1">
      <c r="A767" s="1" t="s">
        <v>5</v>
      </c>
      <c r="B767" s="1" t="s">
        <v>53</v>
      </c>
      <c r="C767" s="1" t="s">
        <v>21</v>
      </c>
      <c r="D767" s="1" t="s">
        <v>10</v>
      </c>
      <c r="E767" s="1">
        <v>0.00163038</v>
      </c>
      <c r="F767" s="1">
        <v>0.00507176</v>
      </c>
      <c r="G767" s="1">
        <v>0.00371082</v>
      </c>
      <c r="H767" s="1">
        <v>0.00491512</v>
      </c>
      <c r="I767" s="1">
        <v>0.00470573</v>
      </c>
      <c r="J767" s="1">
        <v>0.00313086793</v>
      </c>
      <c r="K767" s="1">
        <v>0.00797437433</v>
      </c>
      <c r="L767" s="1">
        <v>0.00882301330999999</v>
      </c>
      <c r="M767" s="1">
        <v>0.00941308481</v>
      </c>
      <c r="N767" s="1">
        <v>0.00976753</v>
      </c>
      <c r="O767" s="1">
        <v>0.009903377</v>
      </c>
      <c r="P767" s="1">
        <v>0.010057721</v>
      </c>
      <c r="Q767" s="1">
        <v>0.010166008</v>
      </c>
      <c r="R767" s="1">
        <v>0.01023425</v>
      </c>
      <c r="S767" s="1">
        <v>0.010265222</v>
      </c>
    </row>
    <row r="768" ht="14.25" hidden="1" customHeight="1">
      <c r="A768" s="1" t="s">
        <v>5</v>
      </c>
      <c r="B768" s="1" t="s">
        <v>53</v>
      </c>
      <c r="C768" s="1" t="s">
        <v>21</v>
      </c>
      <c r="D768" s="1" t="s">
        <v>11</v>
      </c>
      <c r="E768" s="2">
        <v>1.07E-5</v>
      </c>
      <c r="F768" s="2">
        <v>3.34E-5</v>
      </c>
      <c r="G768" s="2">
        <v>2.44E-5</v>
      </c>
      <c r="H768" s="1">
        <v>0.0274045240999999</v>
      </c>
      <c r="I768" s="1">
        <v>0.01192760039933</v>
      </c>
      <c r="J768" s="1">
        <v>0.080654600173874</v>
      </c>
      <c r="K768" s="1">
        <v>0.0738143</v>
      </c>
      <c r="L768" s="1">
        <v>0.0442607</v>
      </c>
      <c r="M768" s="1">
        <v>0.0361239</v>
      </c>
      <c r="N768" s="1">
        <v>0.034842</v>
      </c>
      <c r="O768" s="1">
        <v>0.0342036</v>
      </c>
      <c r="P768" s="1">
        <v>0.0310847</v>
      </c>
      <c r="Q768" s="1">
        <v>0.02993872</v>
      </c>
      <c r="R768" s="1">
        <v>0.0304522799999999</v>
      </c>
      <c r="S768" s="1">
        <v>0.03120166</v>
      </c>
    </row>
    <row r="769" ht="14.25" hidden="1" customHeight="1">
      <c r="A769" s="1" t="s">
        <v>5</v>
      </c>
      <c r="B769" s="1" t="s">
        <v>53</v>
      </c>
      <c r="C769" s="1" t="s">
        <v>21</v>
      </c>
      <c r="D769" s="1" t="s">
        <v>22</v>
      </c>
      <c r="E769" s="2">
        <v>2.574E-4</v>
      </c>
      <c r="F769" s="2">
        <v>8.008E-4</v>
      </c>
      <c r="G769" s="2">
        <v>5.859E-4</v>
      </c>
      <c r="H769" s="2">
        <v>9.54034E-4</v>
      </c>
      <c r="I769" s="2">
        <v>8.93513E-4</v>
      </c>
      <c r="J769" s="1">
        <v>0.00272823</v>
      </c>
      <c r="K769" s="1">
        <v>0.00308212999999999</v>
      </c>
      <c r="L769" s="1">
        <v>0.003327011</v>
      </c>
      <c r="M769" s="1">
        <v>0.00374899</v>
      </c>
      <c r="N769" s="1">
        <v>0.00420211</v>
      </c>
      <c r="O769" s="1">
        <v>0.00455164</v>
      </c>
      <c r="P769" s="1">
        <v>0.00457186</v>
      </c>
      <c r="Q769" s="1">
        <v>0.00460131</v>
      </c>
      <c r="R769" s="1">
        <v>0.0046428</v>
      </c>
      <c r="S769" s="1">
        <v>0.00469351</v>
      </c>
    </row>
    <row r="770" ht="14.25" hidden="1" customHeight="1">
      <c r="A770" s="1" t="s">
        <v>5</v>
      </c>
      <c r="B770" s="1" t="s">
        <v>53</v>
      </c>
      <c r="C770" s="1" t="s">
        <v>21</v>
      </c>
      <c r="D770" s="1" t="s">
        <v>23</v>
      </c>
      <c r="E770" s="2">
        <v>2.149267E-5</v>
      </c>
      <c r="F770" s="2">
        <v>6.67133E-5</v>
      </c>
      <c r="G770" s="2">
        <v>4.88009E-5</v>
      </c>
      <c r="H770" s="2">
        <v>1.2342827E-4</v>
      </c>
      <c r="I770" s="2">
        <v>1.6646716E-4</v>
      </c>
      <c r="J770" s="2">
        <v>4.00742279999999E-4</v>
      </c>
      <c r="K770" s="2">
        <v>4.854794E-4</v>
      </c>
      <c r="L770" s="2">
        <v>5.689856E-4</v>
      </c>
      <c r="M770" s="2">
        <v>7.67349E-4</v>
      </c>
      <c r="N770" s="2">
        <v>9.96541E-4</v>
      </c>
      <c r="O770" s="1">
        <v>0.00120714</v>
      </c>
      <c r="P770" s="1">
        <v>0.001417832</v>
      </c>
      <c r="Q770" s="1">
        <v>0.001632122</v>
      </c>
      <c r="R770" s="1">
        <v>0.001853604</v>
      </c>
      <c r="S770" s="1">
        <v>0.002081481</v>
      </c>
    </row>
    <row r="771" ht="14.25" hidden="1" customHeight="1">
      <c r="A771" s="1" t="s">
        <v>5</v>
      </c>
      <c r="B771" s="1" t="s">
        <v>53</v>
      </c>
      <c r="C771" s="1" t="s">
        <v>21</v>
      </c>
      <c r="D771" s="1" t="s">
        <v>24</v>
      </c>
      <c r="E771" s="1">
        <v>0.001091896</v>
      </c>
      <c r="F771" s="1">
        <v>0.0033967</v>
      </c>
      <c r="G771" s="1">
        <v>0.0024853</v>
      </c>
      <c r="H771" s="1">
        <v>0.00366791</v>
      </c>
      <c r="I771" s="1">
        <v>0.003328307</v>
      </c>
      <c r="J771" s="1">
        <v>0.003538042</v>
      </c>
      <c r="K771" s="1">
        <v>0.003167607</v>
      </c>
      <c r="L771" s="1">
        <v>0.003088678</v>
      </c>
      <c r="M771" s="1">
        <v>0.003083418</v>
      </c>
      <c r="N771" s="1">
        <v>0.003079921</v>
      </c>
      <c r="O771" s="1">
        <v>0.00305596699999999</v>
      </c>
      <c r="P771" s="1">
        <v>0.003109171</v>
      </c>
      <c r="Q771" s="1">
        <v>0.003149957</v>
      </c>
      <c r="R771" s="1">
        <v>0.00318243</v>
      </c>
      <c r="S771" s="1">
        <v>0.00320907399999999</v>
      </c>
    </row>
    <row r="772" ht="14.25" hidden="1" customHeight="1">
      <c r="A772" s="1" t="s">
        <v>5</v>
      </c>
      <c r="B772" s="1" t="s">
        <v>53</v>
      </c>
      <c r="C772" s="1" t="s">
        <v>21</v>
      </c>
      <c r="D772" s="1" t="s">
        <v>12</v>
      </c>
      <c r="E772" s="2">
        <v>1.1E-6</v>
      </c>
      <c r="F772" s="2">
        <v>3.3E-6</v>
      </c>
      <c r="G772" s="2">
        <v>2.39927E-6</v>
      </c>
      <c r="H772" s="2">
        <v>2.99883E-5</v>
      </c>
      <c r="I772" s="2">
        <v>3.26703E-5</v>
      </c>
      <c r="J772" s="2">
        <v>8.98377E-5</v>
      </c>
      <c r="K772" s="2">
        <v>1.01854E-4</v>
      </c>
      <c r="L772" s="2">
        <v>1.10537E-4</v>
      </c>
      <c r="M772" s="2">
        <v>1.25344E-4</v>
      </c>
      <c r="N772" s="2">
        <v>1.40892E-4</v>
      </c>
      <c r="O772" s="2">
        <v>1.52788E-4</v>
      </c>
      <c r="P772" s="2">
        <v>1.53561E-4</v>
      </c>
      <c r="Q772" s="2">
        <v>1.54573E-4</v>
      </c>
      <c r="R772" s="2">
        <v>1.55971E-4</v>
      </c>
      <c r="S772" s="2">
        <v>1.57675E-4</v>
      </c>
    </row>
    <row r="773" ht="14.25" hidden="1" customHeight="1">
      <c r="A773" s="1" t="s">
        <v>5</v>
      </c>
      <c r="B773" s="1" t="s">
        <v>53</v>
      </c>
      <c r="C773" s="1" t="s">
        <v>21</v>
      </c>
      <c r="D773" s="1" t="s">
        <v>13</v>
      </c>
      <c r="E773" s="1">
        <v>0.00180807</v>
      </c>
      <c r="F773" s="1">
        <v>0.00562453</v>
      </c>
      <c r="G773" s="1">
        <v>0.00575885</v>
      </c>
      <c r="H773" s="1">
        <v>0.0047776</v>
      </c>
      <c r="I773" s="1">
        <v>0.003862862</v>
      </c>
      <c r="J773" s="1">
        <v>0.006254186</v>
      </c>
      <c r="K773" s="1">
        <v>0.007617805</v>
      </c>
      <c r="L773" s="1">
        <v>0.0096102763</v>
      </c>
      <c r="M773" s="1">
        <v>0.012151667</v>
      </c>
      <c r="N773" s="1">
        <v>0.01555926</v>
      </c>
      <c r="O773" s="1">
        <v>0.01878661</v>
      </c>
      <c r="P773" s="1">
        <v>0.02192599</v>
      </c>
      <c r="Q773" s="1">
        <v>0.02484989</v>
      </c>
      <c r="R773" s="1">
        <v>0.02756029</v>
      </c>
      <c r="S773" s="1">
        <v>0.03016246</v>
      </c>
    </row>
    <row r="774" ht="14.25" hidden="1" customHeight="1">
      <c r="A774" s="1" t="s">
        <v>5</v>
      </c>
      <c r="B774" s="1" t="s">
        <v>53</v>
      </c>
      <c r="C774" s="1" t="s">
        <v>21</v>
      </c>
      <c r="D774" s="1" t="s">
        <v>14</v>
      </c>
      <c r="E774" s="2">
        <v>1.09001E-5</v>
      </c>
      <c r="F774" s="2">
        <v>3.39003E-5</v>
      </c>
      <c r="G774" s="2">
        <v>3.47E-5</v>
      </c>
      <c r="H774" s="1">
        <v>0.0040011188</v>
      </c>
      <c r="I774" s="1">
        <v>0.01132582</v>
      </c>
      <c r="J774" s="1">
        <v>0.004434724</v>
      </c>
      <c r="K774" s="2">
        <v>2.14497E-4</v>
      </c>
      <c r="L774" s="2">
        <v>7.64161E-5</v>
      </c>
      <c r="M774" s="2">
        <v>5.82317E-5</v>
      </c>
      <c r="N774" s="2">
        <v>6.2994E-5</v>
      </c>
      <c r="O774" s="2">
        <v>6.82915E-5</v>
      </c>
      <c r="P774" s="2">
        <v>7.93995E-5</v>
      </c>
      <c r="Q774" s="2">
        <v>8.60593E-5</v>
      </c>
      <c r="R774" s="2">
        <v>9.17515E-5</v>
      </c>
      <c r="S774" s="2">
        <v>1.005608E-4</v>
      </c>
    </row>
    <row r="775" ht="14.25" hidden="1" customHeight="1">
      <c r="A775" s="1" t="s">
        <v>5</v>
      </c>
      <c r="B775" s="1" t="s">
        <v>53</v>
      </c>
      <c r="C775" s="1" t="s">
        <v>21</v>
      </c>
      <c r="D775" s="1" t="s">
        <v>25</v>
      </c>
      <c r="E775" s="2">
        <v>8.713E-4</v>
      </c>
      <c r="F775" s="1">
        <v>0.0027106</v>
      </c>
      <c r="G775" s="1">
        <v>0.0027753</v>
      </c>
      <c r="H775" s="1">
        <v>0.00327140999999999</v>
      </c>
      <c r="I775" s="1">
        <v>0.003780646</v>
      </c>
      <c r="J775" s="1">
        <v>0.00336434</v>
      </c>
      <c r="K775" s="1">
        <v>0.00279902</v>
      </c>
      <c r="L775" s="1">
        <v>0.00257415</v>
      </c>
      <c r="M775" s="1">
        <v>0.002064566</v>
      </c>
      <c r="N775" s="1">
        <v>0.002316991</v>
      </c>
      <c r="O775" s="1">
        <v>0.00260278199999999</v>
      </c>
      <c r="P775" s="1">
        <v>0.002911752</v>
      </c>
      <c r="Q775" s="1">
        <v>0.00325439</v>
      </c>
      <c r="R775" s="1">
        <v>0.00360132</v>
      </c>
      <c r="S775" s="1">
        <v>0.00391297</v>
      </c>
    </row>
    <row r="776" ht="14.25" hidden="1" customHeight="1">
      <c r="A776" s="1" t="s">
        <v>5</v>
      </c>
      <c r="B776" s="1" t="s">
        <v>53</v>
      </c>
      <c r="C776" s="1" t="s">
        <v>21</v>
      </c>
      <c r="D776" s="1" t="s">
        <v>26</v>
      </c>
      <c r="E776" s="2">
        <v>1.960051E-4</v>
      </c>
      <c r="F776" s="2">
        <v>6.09894E-4</v>
      </c>
      <c r="G776" s="2">
        <v>6.2438E-4</v>
      </c>
      <c r="H776" s="1">
        <v>0.0010097893</v>
      </c>
      <c r="I776" s="1">
        <v>0.0012724038</v>
      </c>
      <c r="J776" s="1">
        <v>0.0012863344</v>
      </c>
      <c r="K776" s="1">
        <v>0.001120482</v>
      </c>
      <c r="L776" s="1">
        <v>0.001102012</v>
      </c>
      <c r="M776" s="1">
        <v>0.001045605</v>
      </c>
      <c r="N776" s="1">
        <v>0.001401394</v>
      </c>
      <c r="O776" s="1">
        <v>0.001837513</v>
      </c>
      <c r="P776" s="1">
        <v>0.002363934</v>
      </c>
      <c r="Q776" s="1">
        <v>0.00298863</v>
      </c>
      <c r="R776" s="1">
        <v>0.003699671</v>
      </c>
      <c r="S776" s="1">
        <v>0.004466962</v>
      </c>
    </row>
    <row r="777" ht="14.25" hidden="1" customHeight="1">
      <c r="A777" s="1" t="s">
        <v>5</v>
      </c>
      <c r="B777" s="1" t="s">
        <v>53</v>
      </c>
      <c r="C777" s="1" t="s">
        <v>21</v>
      </c>
      <c r="D777" s="1" t="s">
        <v>27</v>
      </c>
      <c r="E777" s="2">
        <v>9.06199E-4</v>
      </c>
      <c r="F777" s="1">
        <v>0.002819</v>
      </c>
      <c r="G777" s="1">
        <v>0.002886301</v>
      </c>
      <c r="H777" s="1">
        <v>0.004580871</v>
      </c>
      <c r="I777" s="1">
        <v>0.002845988</v>
      </c>
      <c r="J777" s="1">
        <v>0.0077245616</v>
      </c>
      <c r="K777" s="1">
        <v>0.008139867</v>
      </c>
      <c r="L777" s="1">
        <v>0.008842707</v>
      </c>
      <c r="M777" s="1">
        <v>0.009783708</v>
      </c>
      <c r="N777" s="1">
        <v>0.0107874199999999</v>
      </c>
      <c r="O777" s="1">
        <v>0.0117224699999999</v>
      </c>
      <c r="P777" s="1">
        <v>0.01296812</v>
      </c>
      <c r="Q777" s="1">
        <v>0.01426657</v>
      </c>
      <c r="R777" s="1">
        <v>0.01551311</v>
      </c>
      <c r="S777" s="1">
        <v>0.01672825</v>
      </c>
    </row>
    <row r="778" ht="14.25" hidden="1" customHeight="1">
      <c r="A778" s="1" t="s">
        <v>5</v>
      </c>
      <c r="B778" s="1" t="s">
        <v>53</v>
      </c>
      <c r="C778" s="1" t="s">
        <v>21</v>
      </c>
      <c r="D778" s="1" t="s">
        <v>28</v>
      </c>
      <c r="E778" s="2">
        <v>1.1E-6</v>
      </c>
      <c r="F778" s="2">
        <v>3.4E-6</v>
      </c>
      <c r="G778" s="2">
        <v>3.5E-6</v>
      </c>
      <c r="H778" s="2">
        <v>3.25377E-6</v>
      </c>
      <c r="I778" s="2">
        <v>3.57384E-6</v>
      </c>
      <c r="J778" s="2">
        <v>3.60253E-6</v>
      </c>
      <c r="K778" s="2">
        <v>2.98728E-6</v>
      </c>
      <c r="L778" s="2">
        <v>2.72136E-6</v>
      </c>
      <c r="M778" s="2">
        <v>2.13076E-6</v>
      </c>
      <c r="N778" s="2">
        <v>2.35963E-6</v>
      </c>
      <c r="O778" s="2">
        <v>2.63762E-6</v>
      </c>
      <c r="P778" s="2">
        <v>2.94477E-6</v>
      </c>
      <c r="Q778" s="2">
        <v>3.2891E-6</v>
      </c>
      <c r="R778" s="2">
        <v>3.63894E-6</v>
      </c>
      <c r="S778" s="2">
        <v>3.95359E-6</v>
      </c>
    </row>
    <row r="779" ht="14.25" hidden="1" customHeight="1">
      <c r="A779" s="1" t="s">
        <v>5</v>
      </c>
      <c r="B779" s="1" t="s">
        <v>53</v>
      </c>
      <c r="C779" s="1" t="s">
        <v>29</v>
      </c>
      <c r="D779" s="1" t="s">
        <v>16</v>
      </c>
      <c r="E779" s="1">
        <v>0.00135045</v>
      </c>
      <c r="F779" s="1">
        <v>0.00259256</v>
      </c>
      <c r="G779" s="1">
        <v>0.00391802</v>
      </c>
      <c r="H779" s="1">
        <v>0.00334627899999999</v>
      </c>
      <c r="I779" s="1">
        <v>0.003025275</v>
      </c>
      <c r="J779" s="1">
        <v>0.003857392</v>
      </c>
      <c r="K779" s="1">
        <v>0.004406896</v>
      </c>
      <c r="L779" s="1">
        <v>0.0048707445</v>
      </c>
      <c r="M779" s="1">
        <v>0.00483186409999999</v>
      </c>
      <c r="N779" s="1">
        <v>0.0051635057</v>
      </c>
      <c r="O779" s="1">
        <v>0.005493131</v>
      </c>
      <c r="P779" s="1">
        <v>0.005845489</v>
      </c>
      <c r="Q779" s="1">
        <v>0.006308823</v>
      </c>
      <c r="R779" s="1">
        <v>0.00685232</v>
      </c>
      <c r="S779" s="1">
        <v>0.007376835</v>
      </c>
    </row>
    <row r="780" ht="14.25" hidden="1" customHeight="1">
      <c r="A780" s="1" t="s">
        <v>5</v>
      </c>
      <c r="B780" s="1" t="s">
        <v>53</v>
      </c>
      <c r="C780" s="1" t="s">
        <v>29</v>
      </c>
      <c r="D780" s="1" t="s">
        <v>8</v>
      </c>
      <c r="E780" s="2">
        <v>4.66001E-5</v>
      </c>
      <c r="F780" s="2">
        <v>8.93999E-5</v>
      </c>
      <c r="G780" s="2">
        <v>1.351E-4</v>
      </c>
      <c r="H780" s="2">
        <v>1.0548731E-4</v>
      </c>
      <c r="I780" s="1">
        <v>0.00221620767</v>
      </c>
      <c r="J780" s="1">
        <v>0.003769357265</v>
      </c>
      <c r="K780" s="1">
        <v>0.004610641153</v>
      </c>
      <c r="L780" s="1">
        <v>0.005302665741</v>
      </c>
      <c r="M780" s="1">
        <v>0.00593935974</v>
      </c>
      <c r="N780" s="1">
        <v>0.006824203</v>
      </c>
      <c r="O780" s="1">
        <v>0.007584245</v>
      </c>
      <c r="P780" s="1">
        <v>0.008382125</v>
      </c>
      <c r="Q780" s="1">
        <v>0.009302909</v>
      </c>
      <c r="R780" s="1">
        <v>0.010233474</v>
      </c>
      <c r="S780" s="1">
        <v>0.0110935469999999</v>
      </c>
    </row>
    <row r="781" ht="14.25" hidden="1" customHeight="1">
      <c r="A781" s="1" t="s">
        <v>5</v>
      </c>
      <c r="B781" s="1" t="s">
        <v>53</v>
      </c>
      <c r="C781" s="1" t="s">
        <v>29</v>
      </c>
      <c r="D781" s="1" t="s">
        <v>10</v>
      </c>
      <c r="E781" s="2">
        <v>2.37012E-5</v>
      </c>
      <c r="F781" s="2">
        <v>4.55996E-5</v>
      </c>
      <c r="G781" s="2">
        <v>1.09098E-4</v>
      </c>
      <c r="H781" s="2">
        <v>7.97678099999999E-4</v>
      </c>
      <c r="I781" s="2">
        <v>6.917312E-4</v>
      </c>
      <c r="J781" s="2">
        <v>5.6938835571E-4</v>
      </c>
      <c r="K781" s="2">
        <v>4.0395697763E-4</v>
      </c>
      <c r="L781" s="2">
        <v>2.367082449E-4</v>
      </c>
      <c r="M781" s="2">
        <v>1.0664789886E-4</v>
      </c>
      <c r="N781" s="2">
        <v>1.17611438099999E-5</v>
      </c>
      <c r="O781" s="2">
        <v>1.02035580809999E-5</v>
      </c>
      <c r="P781" s="2">
        <v>8.60235E-6</v>
      </c>
      <c r="Q781" s="2">
        <v>7.013082E-6</v>
      </c>
      <c r="R781" s="2">
        <v>6.242436E-6</v>
      </c>
      <c r="S781" s="2">
        <v>5.79222099999999E-6</v>
      </c>
    </row>
    <row r="782" ht="14.25" hidden="1" customHeight="1">
      <c r="A782" s="1" t="s">
        <v>5</v>
      </c>
      <c r="B782" s="1" t="s">
        <v>53</v>
      </c>
      <c r="C782" s="1" t="s">
        <v>29</v>
      </c>
      <c r="D782" s="1" t="s">
        <v>11</v>
      </c>
      <c r="E782" s="1">
        <v>0.0024544</v>
      </c>
      <c r="F782" s="1">
        <v>0.004712</v>
      </c>
      <c r="G782" s="1">
        <v>0.0112824</v>
      </c>
      <c r="H782" s="1">
        <v>0.0087197462</v>
      </c>
      <c r="I782" s="1">
        <v>0.007318598134301</v>
      </c>
      <c r="J782" s="1">
        <v>0.030528514153979</v>
      </c>
      <c r="K782" s="1">
        <v>0.0573766582110509</v>
      </c>
      <c r="L782" s="1">
        <v>0.09740114217</v>
      </c>
      <c r="M782" s="1">
        <v>0.12745784821</v>
      </c>
      <c r="N782" s="1">
        <v>0.15326717</v>
      </c>
      <c r="O782" s="1">
        <v>0.17335311</v>
      </c>
      <c r="P782" s="1">
        <v>0.17759524</v>
      </c>
      <c r="Q782" s="1">
        <v>0.18017213</v>
      </c>
      <c r="R782" s="1">
        <v>0.181498</v>
      </c>
      <c r="S782" s="1">
        <v>0.18308733</v>
      </c>
    </row>
    <row r="783" ht="14.25" hidden="1" customHeight="1">
      <c r="A783" s="1" t="s">
        <v>5</v>
      </c>
      <c r="B783" s="1" t="s">
        <v>53</v>
      </c>
      <c r="C783" s="1" t="s">
        <v>29</v>
      </c>
      <c r="D783" s="1" t="s">
        <v>13</v>
      </c>
      <c r="E783" s="2">
        <v>2.3901E-5</v>
      </c>
      <c r="F783" s="2">
        <v>4.60003E-5</v>
      </c>
      <c r="G783" s="2">
        <v>4.38003E-5</v>
      </c>
      <c r="H783" s="1">
        <v>0.0115051089</v>
      </c>
      <c r="I783" s="1">
        <v>0.012217305</v>
      </c>
      <c r="J783" s="1">
        <v>0.0144960901999999</v>
      </c>
      <c r="K783" s="1">
        <v>0.0177968853</v>
      </c>
      <c r="L783" s="1">
        <v>0.02008385141</v>
      </c>
      <c r="M783" s="1">
        <v>0.021730668</v>
      </c>
      <c r="N783" s="1">
        <v>0.022424233</v>
      </c>
      <c r="O783" s="1">
        <v>0.023540427</v>
      </c>
      <c r="P783" s="1">
        <v>0.024269783</v>
      </c>
      <c r="Q783" s="1">
        <v>0.0253067129999999</v>
      </c>
      <c r="R783" s="1">
        <v>0.026540275</v>
      </c>
      <c r="S783" s="1">
        <v>0.0276947379999999</v>
      </c>
    </row>
    <row r="784" ht="14.25" hidden="1" customHeight="1">
      <c r="A784" s="1" t="s">
        <v>5</v>
      </c>
      <c r="B784" s="1" t="s">
        <v>53</v>
      </c>
      <c r="C784" s="1" t="s">
        <v>29</v>
      </c>
      <c r="D784" s="1" t="s">
        <v>14</v>
      </c>
      <c r="E784" s="1">
        <v>0.0178101</v>
      </c>
      <c r="F784" s="1">
        <v>0.0341926</v>
      </c>
      <c r="G784" s="1">
        <v>0.0325447</v>
      </c>
      <c r="H784" s="1">
        <v>0.0252414059999999</v>
      </c>
      <c r="I784" s="1">
        <v>0.021188022</v>
      </c>
      <c r="J784" s="1">
        <v>0.0192677505</v>
      </c>
      <c r="K784" s="1">
        <v>0.0169476228</v>
      </c>
      <c r="L784" s="1">
        <v>0.0139706151</v>
      </c>
      <c r="M784" s="1">
        <v>0.0080679939</v>
      </c>
      <c r="N784" s="1">
        <v>0.00902514</v>
      </c>
      <c r="O784" s="1">
        <v>0.010341233</v>
      </c>
      <c r="P784" s="1">
        <v>0.01182703</v>
      </c>
      <c r="Q784" s="1">
        <v>0.013438734</v>
      </c>
      <c r="R784" s="1">
        <v>0.01513663</v>
      </c>
      <c r="S784" s="1">
        <v>0.016743761</v>
      </c>
    </row>
    <row r="785" ht="14.25" hidden="1" customHeight="1">
      <c r="A785" s="1" t="s">
        <v>5</v>
      </c>
      <c r="B785" s="1" t="s">
        <v>53</v>
      </c>
      <c r="C785" s="1" t="s">
        <v>31</v>
      </c>
      <c r="D785" s="1" t="s">
        <v>11</v>
      </c>
      <c r="E785" s="1">
        <v>0.353184</v>
      </c>
      <c r="F785" s="1">
        <v>0.413808</v>
      </c>
      <c r="G785" s="1">
        <v>0.43982</v>
      </c>
      <c r="H785" s="1">
        <v>0.313043</v>
      </c>
      <c r="I785" s="1">
        <v>0.657114</v>
      </c>
      <c r="J785" s="1">
        <v>0.147802</v>
      </c>
      <c r="K785" s="1">
        <v>0.140661</v>
      </c>
      <c r="L785" s="1">
        <v>0.158743</v>
      </c>
      <c r="M785" s="1">
        <v>0.113308</v>
      </c>
      <c r="N785" s="1">
        <v>0.0527303</v>
      </c>
      <c r="O785" s="1">
        <v>0.0</v>
      </c>
      <c r="P785" s="1">
        <v>0.0</v>
      </c>
      <c r="Q785" s="1">
        <v>0.0</v>
      </c>
      <c r="R785" s="1">
        <v>0.0</v>
      </c>
      <c r="S785" s="1">
        <v>0.0</v>
      </c>
    </row>
    <row r="786" ht="14.25" hidden="1" customHeight="1">
      <c r="A786" s="1" t="s">
        <v>5</v>
      </c>
      <c r="B786" s="1" t="s">
        <v>54</v>
      </c>
      <c r="C786" s="1" t="s">
        <v>7</v>
      </c>
      <c r="D786" s="1" t="s">
        <v>8</v>
      </c>
      <c r="E786" s="2">
        <v>3.761E-4</v>
      </c>
      <c r="F786" s="2">
        <v>4.7878E-4</v>
      </c>
      <c r="G786" s="2">
        <v>5.12497E-4</v>
      </c>
      <c r="H786" s="2">
        <v>1.0196E-4</v>
      </c>
      <c r="I786" s="2">
        <v>1.43567E-4</v>
      </c>
      <c r="J786" s="2">
        <v>3.07482E-5</v>
      </c>
      <c r="K786" s="2">
        <v>1.55163E-5</v>
      </c>
      <c r="L786" s="2">
        <v>1.30752E-5</v>
      </c>
      <c r="M786" s="2">
        <v>9.92891E-6</v>
      </c>
      <c r="N786" s="2">
        <v>5.57572E-6</v>
      </c>
      <c r="O786" s="1">
        <v>0.0</v>
      </c>
      <c r="P786" s="1">
        <v>0.0</v>
      </c>
      <c r="Q786" s="1">
        <v>0.0</v>
      </c>
      <c r="R786" s="1">
        <v>0.0</v>
      </c>
      <c r="S786" s="1">
        <v>0.0</v>
      </c>
    </row>
    <row r="787" ht="14.25" hidden="1" customHeight="1">
      <c r="A787" s="1" t="s">
        <v>5</v>
      </c>
      <c r="B787" s="1" t="s">
        <v>54</v>
      </c>
      <c r="C787" s="1" t="s">
        <v>9</v>
      </c>
      <c r="D787" s="1" t="s">
        <v>8</v>
      </c>
      <c r="E787" s="2">
        <v>1.39763E-4</v>
      </c>
      <c r="F787" s="2">
        <v>1.22569E-4</v>
      </c>
      <c r="G787" s="2">
        <v>1.80264E-4</v>
      </c>
      <c r="H787" s="2">
        <v>3.65561E-4</v>
      </c>
      <c r="I787" s="2">
        <v>3.4802E-6</v>
      </c>
      <c r="J787" s="1">
        <v>0.0</v>
      </c>
      <c r="K787" s="1">
        <v>0.0</v>
      </c>
      <c r="L787" s="1">
        <v>0.0</v>
      </c>
      <c r="M787" s="1">
        <v>0.0</v>
      </c>
      <c r="N787" s="1">
        <v>0.0</v>
      </c>
      <c r="O787" s="1">
        <v>0.0</v>
      </c>
      <c r="P787" s="1">
        <v>0.0</v>
      </c>
      <c r="Q787" s="1">
        <v>0.0</v>
      </c>
      <c r="R787" s="1">
        <v>0.0</v>
      </c>
      <c r="S787" s="1">
        <v>0.0</v>
      </c>
    </row>
    <row r="788" ht="14.25" hidden="1" customHeight="1">
      <c r="A788" s="1" t="s">
        <v>5</v>
      </c>
      <c r="B788" s="1" t="s">
        <v>54</v>
      </c>
      <c r="C788" s="1" t="s">
        <v>9</v>
      </c>
      <c r="D788" s="1" t="s">
        <v>10</v>
      </c>
      <c r="E788" s="2">
        <v>2.61532E-5</v>
      </c>
      <c r="F788" s="2">
        <v>2.29643E-5</v>
      </c>
      <c r="G788" s="2">
        <v>3.29647E-5</v>
      </c>
      <c r="H788" s="2">
        <v>1.79236E-7</v>
      </c>
      <c r="I788" s="2">
        <v>4.32775E-8</v>
      </c>
      <c r="J788" s="2">
        <v>4.28136E-5</v>
      </c>
      <c r="K788" s="1">
        <v>0.0</v>
      </c>
      <c r="L788" s="1">
        <v>0.0</v>
      </c>
      <c r="M788" s="1">
        <v>0.0</v>
      </c>
      <c r="N788" s="1">
        <v>0.0</v>
      </c>
      <c r="O788" s="1">
        <v>0.0</v>
      </c>
      <c r="P788" s="1">
        <v>0.0</v>
      </c>
      <c r="Q788" s="1">
        <v>0.0</v>
      </c>
      <c r="R788" s="1">
        <v>0.0</v>
      </c>
      <c r="S788" s="1">
        <v>0.0</v>
      </c>
    </row>
    <row r="789" ht="14.25" hidden="1" customHeight="1">
      <c r="A789" s="1" t="s">
        <v>5</v>
      </c>
      <c r="B789" s="1" t="s">
        <v>54</v>
      </c>
      <c r="C789" s="1" t="s">
        <v>9</v>
      </c>
      <c r="D789" s="1" t="s">
        <v>11</v>
      </c>
      <c r="E789" s="2">
        <v>2.60995E-5</v>
      </c>
      <c r="F789" s="2">
        <v>2.29056E-5</v>
      </c>
      <c r="G789" s="2">
        <v>3.2994E-5</v>
      </c>
      <c r="H789" s="2">
        <v>3.92374E-5</v>
      </c>
      <c r="I789" s="1">
        <v>0.0</v>
      </c>
      <c r="J789" s="2">
        <v>1.2332E-5</v>
      </c>
      <c r="K789" s="1">
        <v>0.0</v>
      </c>
      <c r="L789" s="1">
        <v>0.0</v>
      </c>
      <c r="M789" s="1">
        <v>0.0</v>
      </c>
      <c r="N789" s="1">
        <v>0.0</v>
      </c>
      <c r="O789" s="1">
        <v>0.0</v>
      </c>
      <c r="P789" s="1">
        <v>0.0</v>
      </c>
      <c r="Q789" s="1">
        <v>0.0</v>
      </c>
      <c r="R789" s="1">
        <v>0.0</v>
      </c>
      <c r="S789" s="1">
        <v>0.0</v>
      </c>
    </row>
    <row r="790" ht="14.25" hidden="1" customHeight="1">
      <c r="A790" s="1" t="s">
        <v>5</v>
      </c>
      <c r="B790" s="1" t="s">
        <v>54</v>
      </c>
      <c r="C790" s="1" t="s">
        <v>9</v>
      </c>
      <c r="D790" s="1" t="s">
        <v>12</v>
      </c>
      <c r="E790" s="2">
        <v>2.63959E-6</v>
      </c>
      <c r="F790" s="2">
        <v>2.27785E-6</v>
      </c>
      <c r="G790" s="2">
        <v>3.26614E-6</v>
      </c>
      <c r="H790" s="2">
        <v>1.59399E-5</v>
      </c>
      <c r="I790" s="2">
        <v>1.05503E-6</v>
      </c>
      <c r="J790" s="2">
        <v>3.28905E-7</v>
      </c>
      <c r="K790" s="1">
        <v>0.0</v>
      </c>
      <c r="L790" s="1">
        <v>0.0</v>
      </c>
      <c r="M790" s="1">
        <v>0.0</v>
      </c>
      <c r="N790" s="1">
        <v>0.0</v>
      </c>
      <c r="O790" s="1">
        <v>0.0</v>
      </c>
      <c r="P790" s="1">
        <v>0.0</v>
      </c>
      <c r="Q790" s="1">
        <v>0.0</v>
      </c>
      <c r="R790" s="1">
        <v>0.0</v>
      </c>
      <c r="S790" s="1">
        <v>0.0</v>
      </c>
    </row>
    <row r="791" ht="14.25" hidden="1" customHeight="1">
      <c r="A791" s="1" t="s">
        <v>5</v>
      </c>
      <c r="B791" s="1" t="s">
        <v>54</v>
      </c>
      <c r="C791" s="1" t="s">
        <v>9</v>
      </c>
      <c r="D791" s="1" t="s">
        <v>13</v>
      </c>
      <c r="E791" s="1">
        <v>0.0</v>
      </c>
      <c r="F791" s="1">
        <v>0.0</v>
      </c>
      <c r="G791" s="1">
        <v>0.0</v>
      </c>
      <c r="H791" s="2">
        <v>4.47866E-7</v>
      </c>
      <c r="I791" s="1">
        <v>0.0</v>
      </c>
      <c r="J791" s="1">
        <v>0.0</v>
      </c>
      <c r="K791" s="1">
        <v>0.0</v>
      </c>
      <c r="L791" s="1">
        <v>0.0</v>
      </c>
      <c r="M791" s="1">
        <v>0.0</v>
      </c>
      <c r="N791" s="1">
        <v>0.0</v>
      </c>
      <c r="O791" s="1">
        <v>0.0</v>
      </c>
      <c r="P791" s="1">
        <v>0.0</v>
      </c>
      <c r="Q791" s="1">
        <v>0.0</v>
      </c>
      <c r="R791" s="1">
        <v>0.0</v>
      </c>
      <c r="S791" s="1">
        <v>0.0</v>
      </c>
    </row>
    <row r="792" ht="14.25" hidden="1" customHeight="1">
      <c r="A792" s="1" t="s">
        <v>5</v>
      </c>
      <c r="B792" s="1" t="s">
        <v>54</v>
      </c>
      <c r="C792" s="1" t="s">
        <v>9</v>
      </c>
      <c r="D792" s="1" t="s">
        <v>14</v>
      </c>
      <c r="E792" s="1">
        <v>0.0</v>
      </c>
      <c r="F792" s="1">
        <v>0.0</v>
      </c>
      <c r="G792" s="1">
        <v>0.0</v>
      </c>
      <c r="H792" s="2">
        <v>1.76234E-5</v>
      </c>
      <c r="I792" s="1">
        <v>0.0</v>
      </c>
      <c r="J792" s="1">
        <v>0.0</v>
      </c>
      <c r="K792" s="1">
        <v>0.0</v>
      </c>
      <c r="L792" s="1">
        <v>0.0</v>
      </c>
      <c r="M792" s="1">
        <v>0.0</v>
      </c>
      <c r="N792" s="1">
        <v>0.0</v>
      </c>
      <c r="O792" s="1">
        <v>0.0</v>
      </c>
      <c r="P792" s="1">
        <v>0.0</v>
      </c>
      <c r="Q792" s="1">
        <v>0.0</v>
      </c>
      <c r="R792" s="1">
        <v>0.0</v>
      </c>
      <c r="S792" s="1">
        <v>0.0</v>
      </c>
    </row>
    <row r="793" ht="14.25" hidden="1" customHeight="1">
      <c r="A793" s="1" t="s">
        <v>5</v>
      </c>
      <c r="B793" s="1" t="s">
        <v>54</v>
      </c>
      <c r="C793" s="1" t="s">
        <v>15</v>
      </c>
      <c r="D793" s="1" t="s">
        <v>16</v>
      </c>
      <c r="E793" s="1">
        <v>0.0</v>
      </c>
      <c r="F793" s="1">
        <v>0.0</v>
      </c>
      <c r="G793" s="1">
        <v>0.0</v>
      </c>
      <c r="H793" s="1">
        <v>0.0</v>
      </c>
      <c r="I793" s="2">
        <v>2.44544E-5</v>
      </c>
      <c r="J793" s="2">
        <v>4.71943999999999E-5</v>
      </c>
      <c r="K793" s="2">
        <v>7.76116E-5</v>
      </c>
      <c r="L793" s="2">
        <v>1.092965E-4</v>
      </c>
      <c r="M793" s="2">
        <v>1.4554025E-4</v>
      </c>
      <c r="N793" s="2">
        <v>1.767789E-4</v>
      </c>
      <c r="O793" s="2">
        <v>2.04607339999999E-4</v>
      </c>
      <c r="P793" s="2">
        <v>2.3056804E-4</v>
      </c>
      <c r="Q793" s="2">
        <v>2.5669023E-4</v>
      </c>
      <c r="R793" s="2">
        <v>2.8140839E-4</v>
      </c>
      <c r="S793" s="2">
        <v>3.05708709999999E-4</v>
      </c>
    </row>
    <row r="794" ht="14.25" customHeight="1">
      <c r="A794" s="1" t="s">
        <v>5</v>
      </c>
      <c r="B794" s="1" t="s">
        <v>54</v>
      </c>
      <c r="C794" s="1" t="s">
        <v>15</v>
      </c>
      <c r="D794" s="1" t="s">
        <v>14</v>
      </c>
      <c r="E794" s="1">
        <v>0.0</v>
      </c>
      <c r="F794" s="1">
        <v>0.0</v>
      </c>
      <c r="G794" s="1">
        <v>0.0</v>
      </c>
      <c r="H794" s="1">
        <v>0.0</v>
      </c>
      <c r="I794" s="2">
        <v>1.72132E-6</v>
      </c>
      <c r="J794" s="2">
        <v>9.019112E-5</v>
      </c>
      <c r="K794" s="2">
        <v>1.7205554E-4</v>
      </c>
      <c r="L794" s="2">
        <v>2.45122559E-4</v>
      </c>
      <c r="M794" s="2">
        <v>3.31429376999999E-4</v>
      </c>
      <c r="N794" s="2">
        <v>3.762903E-4</v>
      </c>
      <c r="O794" s="2">
        <v>4.11696299999999E-4</v>
      </c>
      <c r="P794" s="2">
        <v>4.27237499999999E-4</v>
      </c>
      <c r="Q794" s="2">
        <v>4.425173E-4</v>
      </c>
      <c r="R794" s="2">
        <v>4.561052E-4</v>
      </c>
      <c r="S794" s="2">
        <v>4.693755E-4</v>
      </c>
    </row>
    <row r="795" ht="14.25" hidden="1" customHeight="1">
      <c r="A795" s="1" t="s">
        <v>5</v>
      </c>
      <c r="B795" s="1" t="s">
        <v>54</v>
      </c>
      <c r="C795" s="1" t="s">
        <v>17</v>
      </c>
      <c r="D795" s="1" t="s">
        <v>16</v>
      </c>
      <c r="E795" s="2">
        <v>8.68416E-6</v>
      </c>
      <c r="F795" s="2">
        <v>2.67879E-5</v>
      </c>
      <c r="G795" s="2">
        <v>4.01205E-5</v>
      </c>
      <c r="H795" s="2">
        <v>5.68844E-5</v>
      </c>
      <c r="I795" s="2">
        <v>5.067016E-5</v>
      </c>
      <c r="J795" s="2">
        <v>5.99699399999999E-5</v>
      </c>
      <c r="K795" s="2">
        <v>6.672082E-5</v>
      </c>
      <c r="L795" s="2">
        <v>7.353031E-5</v>
      </c>
      <c r="M795" s="2">
        <v>8.3969577E-5</v>
      </c>
      <c r="N795" s="2">
        <v>9.4802109E-5</v>
      </c>
      <c r="O795" s="2">
        <v>1.079717E-4</v>
      </c>
      <c r="P795" s="2">
        <v>1.2171393E-4</v>
      </c>
      <c r="Q795" s="2">
        <v>1.3477606E-4</v>
      </c>
      <c r="R795" s="2">
        <v>1.4770217E-4</v>
      </c>
      <c r="S795" s="2">
        <v>1.5976478E-4</v>
      </c>
    </row>
    <row r="796" ht="14.25" hidden="1" customHeight="1">
      <c r="A796" s="1" t="s">
        <v>5</v>
      </c>
      <c r="B796" s="1" t="s">
        <v>54</v>
      </c>
      <c r="C796" s="1" t="s">
        <v>17</v>
      </c>
      <c r="D796" s="1" t="s">
        <v>18</v>
      </c>
      <c r="E796" s="2">
        <v>2.06923E-5</v>
      </c>
      <c r="F796" s="2">
        <v>6.43077E-5</v>
      </c>
      <c r="G796" s="2">
        <v>9.61154E-5</v>
      </c>
      <c r="H796" s="2">
        <v>9.09372E-5</v>
      </c>
      <c r="I796" s="2">
        <v>7.02563E-5</v>
      </c>
      <c r="J796" s="2">
        <v>1.201773E-4</v>
      </c>
      <c r="K796" s="2">
        <v>1.415637E-4</v>
      </c>
      <c r="L796" s="2">
        <v>1.620638E-4</v>
      </c>
      <c r="M796" s="2">
        <v>1.84895E-4</v>
      </c>
      <c r="N796" s="2">
        <v>2.069719E-4</v>
      </c>
      <c r="O796" s="2">
        <v>2.2690053E-4</v>
      </c>
      <c r="P796" s="2">
        <v>2.4580435E-4</v>
      </c>
      <c r="Q796" s="2">
        <v>2.6303766E-4</v>
      </c>
      <c r="R796" s="2">
        <v>2.7905459E-4</v>
      </c>
      <c r="S796" s="2">
        <v>2.9211868E-4</v>
      </c>
    </row>
    <row r="797" ht="14.25" hidden="1" customHeight="1">
      <c r="A797" s="1" t="s">
        <v>5</v>
      </c>
      <c r="B797" s="1" t="s">
        <v>54</v>
      </c>
      <c r="C797" s="1" t="s">
        <v>17</v>
      </c>
      <c r="D797" s="1" t="s">
        <v>19</v>
      </c>
      <c r="E797" s="2">
        <v>8.60262E-6</v>
      </c>
      <c r="F797" s="2">
        <v>2.67993E-5</v>
      </c>
      <c r="G797" s="2">
        <v>4.01017E-5</v>
      </c>
      <c r="H797" s="2">
        <v>4.87062E-5</v>
      </c>
      <c r="I797" s="2">
        <v>4.21430499999999E-5</v>
      </c>
      <c r="J797" s="2">
        <v>8.113627E-5</v>
      </c>
      <c r="K797" s="2">
        <v>1.0112513E-4</v>
      </c>
      <c r="L797" s="2">
        <v>1.2186252E-4</v>
      </c>
      <c r="M797" s="2">
        <v>1.45097399999999E-4</v>
      </c>
      <c r="N797" s="2">
        <v>1.67779399999999E-4</v>
      </c>
      <c r="O797" s="2">
        <v>1.91280599999999E-4</v>
      </c>
      <c r="P797" s="2">
        <v>2.14799099999999E-4</v>
      </c>
      <c r="Q797" s="2">
        <v>2.378996E-4</v>
      </c>
      <c r="R797" s="2">
        <v>2.600379E-4</v>
      </c>
      <c r="S797" s="2">
        <v>2.810187E-4</v>
      </c>
    </row>
    <row r="798" ht="14.25" hidden="1" customHeight="1">
      <c r="A798" s="1" t="s">
        <v>5</v>
      </c>
      <c r="B798" s="1" t="s">
        <v>54</v>
      </c>
      <c r="C798" s="1" t="s">
        <v>17</v>
      </c>
      <c r="D798" s="1" t="s">
        <v>8</v>
      </c>
      <c r="E798" s="2">
        <v>3.3991E-6</v>
      </c>
      <c r="F798" s="2">
        <v>1.06973E-5</v>
      </c>
      <c r="G798" s="2">
        <v>1.59968E-5</v>
      </c>
      <c r="H798" s="2">
        <v>4.31473E-5</v>
      </c>
      <c r="I798" s="2">
        <v>3.0858443426E-5</v>
      </c>
      <c r="J798" s="2">
        <v>4.4598328113E-4</v>
      </c>
      <c r="K798" s="2">
        <v>5.9581855E-4</v>
      </c>
      <c r="L798" s="2">
        <v>7.45978E-4</v>
      </c>
      <c r="M798" s="2">
        <v>9.20459E-4</v>
      </c>
      <c r="N798" s="1">
        <v>0.00107589749999999</v>
      </c>
      <c r="O798" s="1">
        <v>0.0012363928</v>
      </c>
      <c r="P798" s="1">
        <v>0.001381673</v>
      </c>
      <c r="Q798" s="1">
        <v>0.001521095</v>
      </c>
      <c r="R798" s="1">
        <v>0.001652407</v>
      </c>
      <c r="S798" s="1">
        <v>0.00177523</v>
      </c>
    </row>
    <row r="799" ht="14.25" hidden="1" customHeight="1">
      <c r="A799" s="1" t="s">
        <v>5</v>
      </c>
      <c r="B799" s="1" t="s">
        <v>54</v>
      </c>
      <c r="C799" s="1" t="s">
        <v>17</v>
      </c>
      <c r="D799" s="1" t="s">
        <v>20</v>
      </c>
      <c r="E799" s="2">
        <v>3.15789E-6</v>
      </c>
      <c r="F799" s="2">
        <v>1.05263E-5</v>
      </c>
      <c r="G799" s="2">
        <v>1.57895E-5</v>
      </c>
      <c r="H799" s="2">
        <v>1.995975E-5</v>
      </c>
      <c r="I799" s="2">
        <v>2.569076E-5</v>
      </c>
      <c r="J799" s="2">
        <v>3.408047E-5</v>
      </c>
      <c r="K799" s="2">
        <v>4.296539E-5</v>
      </c>
      <c r="L799" s="2">
        <v>5.048262E-5</v>
      </c>
      <c r="M799" s="2">
        <v>5.964104E-5</v>
      </c>
      <c r="N799" s="2">
        <v>6.85657E-5</v>
      </c>
      <c r="O799" s="2">
        <v>7.76844999999999E-5</v>
      </c>
      <c r="P799" s="2">
        <v>8.66516E-5</v>
      </c>
      <c r="Q799" s="2">
        <v>9.53517E-5</v>
      </c>
      <c r="R799" s="2">
        <v>1.035649E-4</v>
      </c>
      <c r="S799" s="2">
        <v>1.111972E-4</v>
      </c>
    </row>
    <row r="800" ht="14.25" hidden="1" customHeight="1">
      <c r="A800" s="1" t="s">
        <v>5</v>
      </c>
      <c r="B800" s="1" t="s">
        <v>54</v>
      </c>
      <c r="C800" s="1" t="s">
        <v>21</v>
      </c>
      <c r="D800" s="1" t="s">
        <v>10</v>
      </c>
      <c r="E800" s="2">
        <v>4.10835E-6</v>
      </c>
      <c r="F800" s="2">
        <v>1.28359E-5</v>
      </c>
      <c r="G800" s="2">
        <v>3.34641E-5</v>
      </c>
      <c r="H800" s="2">
        <v>2.29057E-5</v>
      </c>
      <c r="I800" s="2">
        <v>2.3194724E-5</v>
      </c>
      <c r="J800" s="2">
        <v>2.1750916E-5</v>
      </c>
      <c r="K800" s="2">
        <v>4.61763909999999E-5</v>
      </c>
      <c r="L800" s="2">
        <v>5.987641E-5</v>
      </c>
      <c r="M800" s="2">
        <v>7.25578E-5</v>
      </c>
      <c r="N800" s="2">
        <v>8.243138E-5</v>
      </c>
      <c r="O800" s="2">
        <v>8.423203E-5</v>
      </c>
      <c r="P800" s="2">
        <v>8.526611E-5</v>
      </c>
      <c r="Q800" s="2">
        <v>8.543233E-5</v>
      </c>
      <c r="R800" s="2">
        <v>8.373629E-5</v>
      </c>
      <c r="S800" s="2">
        <v>8.12191299999999E-5</v>
      </c>
    </row>
    <row r="801" ht="14.25" hidden="1" customHeight="1">
      <c r="A801" s="1" t="s">
        <v>5</v>
      </c>
      <c r="B801" s="1" t="s">
        <v>54</v>
      </c>
      <c r="C801" s="1" t="s">
        <v>21</v>
      </c>
      <c r="D801" s="1" t="s">
        <v>11</v>
      </c>
      <c r="E801" s="2">
        <v>4.09993E-6</v>
      </c>
      <c r="F801" s="2">
        <v>1.28032E-5</v>
      </c>
      <c r="G801" s="2">
        <v>3.34939E-5</v>
      </c>
      <c r="H801" s="2">
        <v>3.39658E-5</v>
      </c>
      <c r="I801" s="2">
        <v>8.43923E-6</v>
      </c>
      <c r="J801" s="2">
        <v>5.82003E-4</v>
      </c>
      <c r="K801" s="2">
        <v>6.05361999999999E-4</v>
      </c>
      <c r="L801" s="2">
        <v>5.9869E-4</v>
      </c>
      <c r="M801" s="2">
        <v>6.06949E-4</v>
      </c>
      <c r="N801" s="2">
        <v>6.00291E-4</v>
      </c>
      <c r="O801" s="2">
        <v>5.9246E-4</v>
      </c>
      <c r="P801" s="2">
        <v>5.8951E-4</v>
      </c>
      <c r="Q801" s="2">
        <v>5.81134E-4</v>
      </c>
      <c r="R801" s="2">
        <v>5.70109E-4</v>
      </c>
      <c r="S801" s="2">
        <v>5.56429E-4</v>
      </c>
    </row>
    <row r="802" ht="14.25" hidden="1" customHeight="1">
      <c r="A802" s="1" t="s">
        <v>5</v>
      </c>
      <c r="B802" s="1" t="s">
        <v>54</v>
      </c>
      <c r="C802" s="1" t="s">
        <v>21</v>
      </c>
      <c r="D802" s="1" t="s">
        <v>22</v>
      </c>
      <c r="E802" s="2">
        <v>4.1E-6</v>
      </c>
      <c r="F802" s="2">
        <v>1.28E-5</v>
      </c>
      <c r="G802" s="2">
        <v>3.35E-5</v>
      </c>
      <c r="H802" s="2">
        <v>4.50978E-5</v>
      </c>
      <c r="I802" s="2">
        <v>4.80066E-5</v>
      </c>
      <c r="J802" s="2">
        <v>1.22634E-4</v>
      </c>
      <c r="K802" s="2">
        <v>1.220784E-4</v>
      </c>
      <c r="L802" s="2">
        <v>1.218049E-4</v>
      </c>
      <c r="M802" s="2">
        <v>1.19879899999999E-4</v>
      </c>
      <c r="N802" s="2">
        <v>1.18737E-4</v>
      </c>
      <c r="O802" s="2">
        <v>1.165146E-4</v>
      </c>
      <c r="P802" s="2">
        <v>1.142608E-4</v>
      </c>
      <c r="Q802" s="2">
        <v>1.116809E-4</v>
      </c>
      <c r="R802" s="2">
        <v>1.08684099999999E-4</v>
      </c>
      <c r="S802" s="2">
        <v>1.052841E-4</v>
      </c>
    </row>
    <row r="803" ht="14.25" hidden="1" customHeight="1">
      <c r="A803" s="1" t="s">
        <v>5</v>
      </c>
      <c r="B803" s="1" t="s">
        <v>54</v>
      </c>
      <c r="C803" s="1" t="s">
        <v>21</v>
      </c>
      <c r="D803" s="1" t="s">
        <v>23</v>
      </c>
      <c r="E803" s="2">
        <v>4.086494E-6</v>
      </c>
      <c r="F803" s="2">
        <v>1.281762E-5</v>
      </c>
      <c r="G803" s="2">
        <v>3.35085E-5</v>
      </c>
      <c r="H803" s="2">
        <v>1.8196261E-4</v>
      </c>
      <c r="I803" s="2">
        <v>2.981676E-4</v>
      </c>
      <c r="J803" s="1">
        <v>0.0011871339</v>
      </c>
      <c r="K803" s="1">
        <v>0.00128685</v>
      </c>
      <c r="L803" s="1">
        <v>0.00130517</v>
      </c>
      <c r="M803" s="1">
        <v>0.001298916</v>
      </c>
      <c r="N803" s="1">
        <v>0.001256001</v>
      </c>
      <c r="O803" s="1">
        <v>0.001203217</v>
      </c>
      <c r="P803" s="1">
        <v>0.00116101</v>
      </c>
      <c r="Q803" s="1">
        <v>0.00111329899999999</v>
      </c>
      <c r="R803" s="1">
        <v>0.001057232</v>
      </c>
      <c r="S803" s="2">
        <v>9.98104E-4</v>
      </c>
    </row>
    <row r="804" ht="14.25" hidden="1" customHeight="1">
      <c r="A804" s="1" t="s">
        <v>5</v>
      </c>
      <c r="B804" s="1" t="s">
        <v>54</v>
      </c>
      <c r="C804" s="1" t="s">
        <v>21</v>
      </c>
      <c r="D804" s="1" t="s">
        <v>24</v>
      </c>
      <c r="E804" s="2">
        <v>4.096681E-6</v>
      </c>
      <c r="F804" s="2">
        <v>1.279932E-5</v>
      </c>
      <c r="G804" s="2">
        <v>3.349898E-5</v>
      </c>
      <c r="H804" s="2">
        <v>6.89215E-5</v>
      </c>
      <c r="I804" s="2">
        <v>5.93106E-5</v>
      </c>
      <c r="J804" s="2">
        <v>4.561929E-5</v>
      </c>
      <c r="K804" s="2">
        <v>4.19678999999999E-5</v>
      </c>
      <c r="L804" s="2">
        <v>3.944329E-5</v>
      </c>
      <c r="M804" s="2">
        <v>3.777221E-5</v>
      </c>
      <c r="N804" s="2">
        <v>3.592404E-5</v>
      </c>
      <c r="O804" s="2">
        <v>3.416955E-5</v>
      </c>
      <c r="P804" s="2">
        <v>3.350239E-5</v>
      </c>
      <c r="Q804" s="2">
        <v>3.257192E-5</v>
      </c>
      <c r="R804" s="2">
        <v>3.147394E-5</v>
      </c>
      <c r="S804" s="2">
        <v>3.02867199999999E-5</v>
      </c>
    </row>
    <row r="805" ht="14.25" hidden="1" customHeight="1">
      <c r="A805" s="1" t="s">
        <v>5</v>
      </c>
      <c r="B805" s="1" t="s">
        <v>54</v>
      </c>
      <c r="C805" s="1" t="s">
        <v>21</v>
      </c>
      <c r="D805" s="1" t="s">
        <v>12</v>
      </c>
      <c r="E805" s="2">
        <v>4.06091E-7</v>
      </c>
      <c r="F805" s="2">
        <v>1.28748E-6</v>
      </c>
      <c r="G805" s="2">
        <v>3.36512E-6</v>
      </c>
      <c r="H805" s="2">
        <v>6.1115E-7</v>
      </c>
      <c r="I805" s="2">
        <v>4.74367E-6</v>
      </c>
      <c r="J805" s="2">
        <v>1.19334E-5</v>
      </c>
      <c r="K805" s="2">
        <v>1.19529E-5</v>
      </c>
      <c r="L805" s="2">
        <v>1.19261E-5</v>
      </c>
      <c r="M805" s="2">
        <v>1.17376E-5</v>
      </c>
      <c r="N805" s="2">
        <v>1.16257E-5</v>
      </c>
      <c r="O805" s="2">
        <v>1.14081E-5</v>
      </c>
      <c r="P805" s="2">
        <v>1.11875E-5</v>
      </c>
      <c r="Q805" s="2">
        <v>1.09349E-5</v>
      </c>
      <c r="R805" s="2">
        <v>1.06414E-5</v>
      </c>
      <c r="S805" s="2">
        <v>1.03085E-5</v>
      </c>
    </row>
    <row r="806" ht="14.25" hidden="1" customHeight="1">
      <c r="A806" s="1" t="s">
        <v>5</v>
      </c>
      <c r="B806" s="1" t="s">
        <v>54</v>
      </c>
      <c r="C806" s="1" t="s">
        <v>21</v>
      </c>
      <c r="D806" s="1" t="s">
        <v>13</v>
      </c>
      <c r="E806" s="2">
        <v>1.58013E-5</v>
      </c>
      <c r="F806" s="2">
        <v>4.91837E-5</v>
      </c>
      <c r="G806" s="2">
        <v>8.03632E-5</v>
      </c>
      <c r="H806" s="2">
        <v>5.2712245E-5</v>
      </c>
      <c r="I806" s="2">
        <v>4.1532733E-5</v>
      </c>
      <c r="J806" s="2">
        <v>3.5627089E-5</v>
      </c>
      <c r="K806" s="2">
        <v>1.5810172E-5</v>
      </c>
      <c r="L806" s="2">
        <v>2.1099104E-5</v>
      </c>
      <c r="M806" s="2">
        <v>2.887678E-5</v>
      </c>
      <c r="N806" s="2">
        <v>3.856641E-5</v>
      </c>
      <c r="O806" s="2">
        <v>4.691523E-5</v>
      </c>
      <c r="P806" s="2">
        <v>5.38544699999999E-5</v>
      </c>
      <c r="Q806" s="2">
        <v>5.921591E-5</v>
      </c>
      <c r="R806" s="2">
        <v>6.324818E-5</v>
      </c>
      <c r="S806" s="2">
        <v>6.714969E-5</v>
      </c>
    </row>
    <row r="807" ht="14.25" hidden="1" customHeight="1">
      <c r="A807" s="1" t="s">
        <v>5</v>
      </c>
      <c r="B807" s="1" t="s">
        <v>54</v>
      </c>
      <c r="C807" s="1" t="s">
        <v>21</v>
      </c>
      <c r="D807" s="1" t="s">
        <v>14</v>
      </c>
      <c r="E807" s="2">
        <v>7.89786E-6</v>
      </c>
      <c r="F807" s="2">
        <v>2.45989E-5</v>
      </c>
      <c r="G807" s="2">
        <v>4.01846E-5</v>
      </c>
      <c r="H807" s="2">
        <v>5.52116E-5</v>
      </c>
      <c r="I807" s="2">
        <v>4.02835E-5</v>
      </c>
      <c r="J807" s="2">
        <v>2.07446999999999E-5</v>
      </c>
      <c r="K807" s="2">
        <v>1.280946E-5</v>
      </c>
      <c r="L807" s="2">
        <v>1.084198E-5</v>
      </c>
      <c r="M807" s="2">
        <v>1.292611E-5</v>
      </c>
      <c r="N807" s="2">
        <v>1.241342E-5</v>
      </c>
      <c r="O807" s="2">
        <v>1.299705E-5</v>
      </c>
      <c r="P807" s="2">
        <v>1.446173E-5</v>
      </c>
      <c r="Q807" s="2">
        <v>1.491029E-5</v>
      </c>
      <c r="R807" s="2">
        <v>1.52452699999999E-5</v>
      </c>
      <c r="S807" s="2">
        <v>1.553388E-5</v>
      </c>
    </row>
    <row r="808" ht="14.25" hidden="1" customHeight="1">
      <c r="A808" s="1" t="s">
        <v>5</v>
      </c>
      <c r="B808" s="1" t="s">
        <v>54</v>
      </c>
      <c r="C808" s="1" t="s">
        <v>21</v>
      </c>
      <c r="D808" s="1" t="s">
        <v>25</v>
      </c>
      <c r="E808" s="2">
        <v>7.9E-6</v>
      </c>
      <c r="F808" s="2">
        <v>2.46E-5</v>
      </c>
      <c r="G808" s="2">
        <v>4.02E-5</v>
      </c>
      <c r="H808" s="2">
        <v>7.09447E-5</v>
      </c>
      <c r="I808" s="2">
        <v>8.0002E-5</v>
      </c>
      <c r="J808" s="2">
        <v>7.62977999999999E-5</v>
      </c>
      <c r="K808" s="2">
        <v>6.5739E-5</v>
      </c>
      <c r="L808" s="2">
        <v>5.60032E-5</v>
      </c>
      <c r="M808" s="2">
        <v>4.38224E-5</v>
      </c>
      <c r="N808" s="2">
        <v>4.19125E-5</v>
      </c>
      <c r="O808" s="2">
        <v>4.24087E-5</v>
      </c>
      <c r="P808" s="2">
        <v>4.43428E-5</v>
      </c>
      <c r="Q808" s="2">
        <v>4.6685E-5</v>
      </c>
      <c r="R808" s="2">
        <v>4.87774E-5</v>
      </c>
      <c r="S808" s="2">
        <v>5.024E-5</v>
      </c>
    </row>
    <row r="809" ht="14.25" hidden="1" customHeight="1">
      <c r="A809" s="1" t="s">
        <v>5</v>
      </c>
      <c r="B809" s="1" t="s">
        <v>54</v>
      </c>
      <c r="C809" s="1" t="s">
        <v>21</v>
      </c>
      <c r="D809" s="1" t="s">
        <v>26</v>
      </c>
      <c r="E809" s="2">
        <v>7.90127E-6</v>
      </c>
      <c r="F809" s="2">
        <v>2.462295E-5</v>
      </c>
      <c r="G809" s="2">
        <v>4.021497E-5</v>
      </c>
      <c r="H809" s="2">
        <v>3.0849495E-4</v>
      </c>
      <c r="I809" s="2">
        <v>5.579912E-4</v>
      </c>
      <c r="J809" s="2">
        <v>9.782502E-4</v>
      </c>
      <c r="K809" s="2">
        <v>9.7377E-4</v>
      </c>
      <c r="L809" s="2">
        <v>9.0258E-4</v>
      </c>
      <c r="M809" s="2">
        <v>7.71176E-4</v>
      </c>
      <c r="N809" s="2">
        <v>7.80235E-4</v>
      </c>
      <c r="O809" s="2">
        <v>8.18796E-4</v>
      </c>
      <c r="P809" s="2">
        <v>8.64681E-4</v>
      </c>
      <c r="Q809" s="2">
        <v>9.08810999999999E-4</v>
      </c>
      <c r="R809" s="2">
        <v>9.37221E-4</v>
      </c>
      <c r="S809" s="2">
        <v>9.46998E-4</v>
      </c>
    </row>
    <row r="810" ht="14.25" hidden="1" customHeight="1">
      <c r="A810" s="1" t="s">
        <v>5</v>
      </c>
      <c r="B810" s="1" t="s">
        <v>54</v>
      </c>
      <c r="C810" s="1" t="s">
        <v>21</v>
      </c>
      <c r="D810" s="1" t="s">
        <v>27</v>
      </c>
      <c r="E810" s="2">
        <v>1.900115E-5</v>
      </c>
      <c r="F810" s="2">
        <v>5.90933E-5</v>
      </c>
      <c r="G810" s="2">
        <v>9.63959999999999E-5</v>
      </c>
      <c r="H810" s="2">
        <v>2.4084323E-4</v>
      </c>
      <c r="I810" s="2">
        <v>2.764555E-4</v>
      </c>
      <c r="J810" s="2">
        <v>2.8777725E-4</v>
      </c>
      <c r="K810" s="2">
        <v>2.792102E-4</v>
      </c>
      <c r="L810" s="2">
        <v>2.748679E-4</v>
      </c>
      <c r="M810" s="2">
        <v>2.796511E-4</v>
      </c>
      <c r="N810" s="2">
        <v>2.82674199999999E-4</v>
      </c>
      <c r="O810" s="2">
        <v>2.886465E-4</v>
      </c>
      <c r="P810" s="2">
        <v>3.003967E-4</v>
      </c>
      <c r="Q810" s="2">
        <v>3.127838E-4</v>
      </c>
      <c r="R810" s="2">
        <v>3.230224E-4</v>
      </c>
      <c r="S810" s="2">
        <v>3.322246E-4</v>
      </c>
    </row>
    <row r="811" ht="14.25" hidden="1" customHeight="1">
      <c r="A811" s="1" t="s">
        <v>5</v>
      </c>
      <c r="B811" s="1" t="s">
        <v>54</v>
      </c>
      <c r="C811" s="1" t="s">
        <v>21</v>
      </c>
      <c r="D811" s="1" t="s">
        <v>28</v>
      </c>
      <c r="E811" s="2">
        <v>8.0E-7</v>
      </c>
      <c r="F811" s="2">
        <v>2.5E-6</v>
      </c>
      <c r="G811" s="2">
        <v>4.0E-6</v>
      </c>
      <c r="H811" s="2">
        <v>5.40623E-6</v>
      </c>
      <c r="I811" s="2">
        <v>6.69836E-6</v>
      </c>
      <c r="J811" s="2">
        <v>6.07372E-6</v>
      </c>
      <c r="K811" s="2">
        <v>5.23318E-6</v>
      </c>
      <c r="L811" s="2">
        <v>4.45816E-6</v>
      </c>
      <c r="M811" s="2">
        <v>3.48849E-6</v>
      </c>
      <c r="N811" s="2">
        <v>3.33647E-6</v>
      </c>
      <c r="O811" s="2">
        <v>3.37596E-6</v>
      </c>
      <c r="P811" s="2">
        <v>3.52993E-6</v>
      </c>
      <c r="Q811" s="2">
        <v>3.71638E-6</v>
      </c>
      <c r="R811" s="2">
        <v>3.88294E-6</v>
      </c>
      <c r="S811" s="2">
        <v>3.99938E-6</v>
      </c>
    </row>
    <row r="812" ht="14.25" hidden="1" customHeight="1">
      <c r="A812" s="1" t="s">
        <v>5</v>
      </c>
      <c r="B812" s="1" t="s">
        <v>54</v>
      </c>
      <c r="C812" s="1" t="s">
        <v>29</v>
      </c>
      <c r="D812" s="1" t="s">
        <v>16</v>
      </c>
      <c r="E812" s="2">
        <v>2.8274E-6</v>
      </c>
      <c r="F812" s="2">
        <v>5.39756E-6</v>
      </c>
      <c r="G812" s="2">
        <v>1.54079E-5</v>
      </c>
      <c r="H812" s="2">
        <v>1.397808E-5</v>
      </c>
      <c r="I812" s="2">
        <v>2.124257E-5</v>
      </c>
      <c r="J812" s="2">
        <v>2.039135E-5</v>
      </c>
      <c r="K812" s="2">
        <v>1.977053E-5</v>
      </c>
      <c r="L812" s="2">
        <v>1.8982531E-5</v>
      </c>
      <c r="M812" s="2">
        <v>1.7107341E-5</v>
      </c>
      <c r="N812" s="2">
        <v>1.8512011E-5</v>
      </c>
      <c r="O812" s="2">
        <v>2.0533773E-5</v>
      </c>
      <c r="P812" s="2">
        <v>2.3873013E-5</v>
      </c>
      <c r="Q812" s="2">
        <v>2.764927E-5</v>
      </c>
      <c r="R812" s="2">
        <v>3.16406459999999E-5</v>
      </c>
      <c r="S812" s="2">
        <v>3.5448793E-5</v>
      </c>
    </row>
    <row r="813" ht="14.25" hidden="1" customHeight="1">
      <c r="A813" s="1" t="s">
        <v>5</v>
      </c>
      <c r="B813" s="1" t="s">
        <v>54</v>
      </c>
      <c r="C813" s="1" t="s">
        <v>29</v>
      </c>
      <c r="D813" s="1" t="s">
        <v>8</v>
      </c>
      <c r="E813" s="2">
        <v>5.69849E-6</v>
      </c>
      <c r="F813" s="2">
        <v>1.08973E-5</v>
      </c>
      <c r="G813" s="2">
        <v>3.08938E-5</v>
      </c>
      <c r="H813" s="2">
        <v>2.38638771E-5</v>
      </c>
      <c r="I813" s="2">
        <v>1.832528885E-4</v>
      </c>
      <c r="J813" s="2">
        <v>1.769161064E-4</v>
      </c>
      <c r="K813" s="2">
        <v>1.5797888857E-4</v>
      </c>
      <c r="L813" s="2">
        <v>1.2814972072E-4</v>
      </c>
      <c r="M813" s="2">
        <v>9.481782859E-5</v>
      </c>
      <c r="N813" s="2">
        <v>8.00545999999999E-5</v>
      </c>
      <c r="O813" s="2">
        <v>6.589905E-5</v>
      </c>
      <c r="P813" s="2">
        <v>7.155918E-5</v>
      </c>
      <c r="Q813" s="2">
        <v>7.85601E-5</v>
      </c>
      <c r="R813" s="2">
        <v>8.532401E-5</v>
      </c>
      <c r="S813" s="2">
        <v>9.130988E-5</v>
      </c>
    </row>
    <row r="814" ht="14.25" hidden="1" customHeight="1">
      <c r="A814" s="1" t="s">
        <v>5</v>
      </c>
      <c r="B814" s="1" t="s">
        <v>54</v>
      </c>
      <c r="C814" s="1" t="s">
        <v>29</v>
      </c>
      <c r="D814" s="1" t="s">
        <v>10</v>
      </c>
      <c r="E814" s="2">
        <v>2.05418E-5</v>
      </c>
      <c r="F814" s="2">
        <v>3.95106E-5</v>
      </c>
      <c r="G814" s="2">
        <v>1.94791E-5</v>
      </c>
      <c r="H814" s="2">
        <v>1.181827E-4</v>
      </c>
      <c r="I814" s="2">
        <v>1.264542E-4</v>
      </c>
      <c r="J814" s="2">
        <v>1.09512729999999E-4</v>
      </c>
      <c r="K814" s="2">
        <v>1.06291879999999E-4</v>
      </c>
      <c r="L814" s="2">
        <v>8.86432899999999E-5</v>
      </c>
      <c r="M814" s="2">
        <v>7.035762E-5</v>
      </c>
      <c r="N814" s="2">
        <v>5.300122E-5</v>
      </c>
      <c r="O814" s="2">
        <v>4.52221399999999E-5</v>
      </c>
      <c r="P814" s="2">
        <v>3.930195E-5</v>
      </c>
      <c r="Q814" s="2">
        <v>3.363357E-5</v>
      </c>
      <c r="R814" s="2">
        <v>3.021591E-5</v>
      </c>
      <c r="S814" s="2">
        <v>2.763961E-5</v>
      </c>
    </row>
    <row r="815" ht="14.25" hidden="1" customHeight="1">
      <c r="A815" s="1" t="s">
        <v>5</v>
      </c>
      <c r="B815" s="1" t="s">
        <v>54</v>
      </c>
      <c r="C815" s="1" t="s">
        <v>29</v>
      </c>
      <c r="D815" s="1" t="s">
        <v>11</v>
      </c>
      <c r="E815" s="2">
        <v>1.31398E-4</v>
      </c>
      <c r="F815" s="2">
        <v>2.52362E-4</v>
      </c>
      <c r="G815" s="2">
        <v>1.25077E-4</v>
      </c>
      <c r="H815" s="2">
        <v>9.793386E-5</v>
      </c>
      <c r="I815" s="2">
        <v>8.22339E-5</v>
      </c>
      <c r="J815" s="2">
        <v>1.24176885E-4</v>
      </c>
      <c r="K815" s="2">
        <v>1.27551732E-4</v>
      </c>
      <c r="L815" s="2">
        <v>1.36326579E-4</v>
      </c>
      <c r="M815" s="2">
        <v>1.17262661999999E-4</v>
      </c>
      <c r="N815" s="2">
        <v>1.195664E-4</v>
      </c>
      <c r="O815" s="2">
        <v>1.15375669999999E-4</v>
      </c>
      <c r="P815" s="2">
        <v>1.0453076E-4</v>
      </c>
      <c r="Q815" s="2">
        <v>9.732126E-5</v>
      </c>
      <c r="R815" s="2">
        <v>8.981525E-5</v>
      </c>
      <c r="S815" s="2">
        <v>8.32275399999999E-5</v>
      </c>
    </row>
    <row r="816" ht="14.25" hidden="1" customHeight="1">
      <c r="A816" s="1" t="s">
        <v>5</v>
      </c>
      <c r="B816" s="1" t="s">
        <v>54</v>
      </c>
      <c r="C816" s="1" t="s">
        <v>29</v>
      </c>
      <c r="D816" s="1" t="s">
        <v>13</v>
      </c>
      <c r="E816" s="2">
        <v>2.30018E-5</v>
      </c>
      <c r="F816" s="2">
        <v>4.40854E-5</v>
      </c>
      <c r="G816" s="2">
        <v>1.63128E-5</v>
      </c>
      <c r="H816" s="2">
        <v>2.15289699999999E-4</v>
      </c>
      <c r="I816" s="2">
        <v>2.731353E-4</v>
      </c>
      <c r="J816" s="2">
        <v>3.2852102E-4</v>
      </c>
      <c r="K816" s="2">
        <v>4.1044134E-4</v>
      </c>
      <c r="L816" s="2">
        <v>4.4542206E-4</v>
      </c>
      <c r="M816" s="2">
        <v>4.83389899999999E-4</v>
      </c>
      <c r="N816" s="2">
        <v>5.127778E-4</v>
      </c>
      <c r="O816" s="2">
        <v>5.42632999999999E-4</v>
      </c>
      <c r="P816" s="2">
        <v>5.633527E-4</v>
      </c>
      <c r="Q816" s="2">
        <v>5.84331E-4</v>
      </c>
      <c r="R816" s="2">
        <v>6.045378E-4</v>
      </c>
      <c r="S816" s="2">
        <v>6.221896E-4</v>
      </c>
    </row>
    <row r="817" ht="14.25" hidden="1" customHeight="1">
      <c r="A817" s="1" t="s">
        <v>5</v>
      </c>
      <c r="B817" s="1" t="s">
        <v>54</v>
      </c>
      <c r="C817" s="1" t="s">
        <v>29</v>
      </c>
      <c r="D817" s="1" t="s">
        <v>14</v>
      </c>
      <c r="E817" s="2">
        <v>5.60648E-4</v>
      </c>
      <c r="F817" s="1">
        <v>0.00107665</v>
      </c>
      <c r="G817" s="2">
        <v>3.97348E-4</v>
      </c>
      <c r="H817" s="2">
        <v>3.961674E-4</v>
      </c>
      <c r="I817" s="2">
        <v>4.347961E-4</v>
      </c>
      <c r="J817" s="2">
        <v>3.711573E-4</v>
      </c>
      <c r="K817" s="2">
        <v>2.91815E-4</v>
      </c>
      <c r="L817" s="2">
        <v>2.117631E-4</v>
      </c>
      <c r="M817" s="2">
        <v>9.94207E-5</v>
      </c>
      <c r="N817" s="2">
        <v>7.977536E-5</v>
      </c>
      <c r="O817" s="2">
        <v>7.4714E-5</v>
      </c>
      <c r="P817" s="2">
        <v>8.099865E-5</v>
      </c>
      <c r="Q817" s="2">
        <v>8.79338E-5</v>
      </c>
      <c r="R817" s="2">
        <v>9.50249999999999E-5</v>
      </c>
      <c r="S817" s="2">
        <v>1.0108846E-4</v>
      </c>
    </row>
    <row r="818" ht="14.25" hidden="1" customHeight="1">
      <c r="A818" s="1" t="s">
        <v>5</v>
      </c>
      <c r="B818" s="1" t="s">
        <v>54</v>
      </c>
      <c r="C818" s="1" t="s">
        <v>31</v>
      </c>
      <c r="D818" s="1" t="s">
        <v>11</v>
      </c>
      <c r="E818" s="1">
        <v>0.00151927</v>
      </c>
      <c r="F818" s="1">
        <v>0.00178054</v>
      </c>
      <c r="G818" s="1">
        <v>0.00189165</v>
      </c>
      <c r="H818" s="1">
        <v>0.00175677</v>
      </c>
      <c r="I818" s="1">
        <v>0.00314523</v>
      </c>
      <c r="J818" s="2">
        <v>5.35319E-5</v>
      </c>
      <c r="K818" s="2">
        <v>2.45755E-5</v>
      </c>
      <c r="L818" s="2">
        <v>2.68151E-5</v>
      </c>
      <c r="M818" s="2">
        <v>1.92905E-5</v>
      </c>
      <c r="N818" s="2">
        <v>9.65284E-6</v>
      </c>
      <c r="O818" s="1">
        <v>0.0</v>
      </c>
      <c r="P818" s="1">
        <v>0.0</v>
      </c>
      <c r="Q818" s="1">
        <v>0.0</v>
      </c>
      <c r="R818" s="1">
        <v>0.0</v>
      </c>
      <c r="S818" s="1">
        <v>0.0</v>
      </c>
    </row>
    <row r="819" ht="14.25" hidden="1" customHeight="1">
      <c r="A819" s="1" t="s">
        <v>5</v>
      </c>
      <c r="B819" s="1" t="s">
        <v>55</v>
      </c>
      <c r="C819" s="1" t="s">
        <v>7</v>
      </c>
      <c r="D819" s="1" t="s">
        <v>8</v>
      </c>
      <c r="E819" s="2">
        <v>7.9944E-4</v>
      </c>
      <c r="F819" s="1">
        <v>0.00101698</v>
      </c>
      <c r="G819" s="1">
        <v>0.00108851</v>
      </c>
      <c r="H819" s="2">
        <v>3.23567E-4</v>
      </c>
      <c r="I819" s="2">
        <v>9.39019E-5</v>
      </c>
      <c r="J819" s="2">
        <v>3.46466E-4</v>
      </c>
      <c r="K819" s="2">
        <v>2.09819E-4</v>
      </c>
      <c r="L819" s="2">
        <v>1.78149E-4</v>
      </c>
      <c r="M819" s="2">
        <v>1.37891E-4</v>
      </c>
      <c r="N819" s="2">
        <v>8.05368E-5</v>
      </c>
      <c r="O819" s="1">
        <v>0.0</v>
      </c>
      <c r="P819" s="1">
        <v>0.0</v>
      </c>
      <c r="Q819" s="1">
        <v>0.0</v>
      </c>
      <c r="R819" s="1">
        <v>0.0</v>
      </c>
      <c r="S819" s="1">
        <v>0.0</v>
      </c>
    </row>
    <row r="820" ht="14.25" hidden="1" customHeight="1">
      <c r="A820" s="1" t="s">
        <v>5</v>
      </c>
      <c r="B820" s="1" t="s">
        <v>55</v>
      </c>
      <c r="C820" s="1" t="s">
        <v>9</v>
      </c>
      <c r="D820" s="1" t="s">
        <v>8</v>
      </c>
      <c r="E820" s="2">
        <v>1.22367E-4</v>
      </c>
      <c r="F820" s="2">
        <v>1.07277E-4</v>
      </c>
      <c r="G820" s="2">
        <v>1.57787E-4</v>
      </c>
      <c r="H820" s="2">
        <v>4.78095E-4</v>
      </c>
      <c r="I820" s="2">
        <v>2.27628E-6</v>
      </c>
      <c r="J820" s="1">
        <v>0.0</v>
      </c>
      <c r="K820" s="1">
        <v>0.0</v>
      </c>
      <c r="L820" s="1">
        <v>0.0</v>
      </c>
      <c r="M820" s="1">
        <v>0.0</v>
      </c>
      <c r="N820" s="1">
        <v>0.0</v>
      </c>
      <c r="O820" s="1">
        <v>0.0</v>
      </c>
      <c r="P820" s="1">
        <v>0.0</v>
      </c>
      <c r="Q820" s="1">
        <v>0.0</v>
      </c>
      <c r="R820" s="1">
        <v>0.0</v>
      </c>
      <c r="S820" s="1">
        <v>0.0</v>
      </c>
    </row>
    <row r="821" ht="14.25" hidden="1" customHeight="1">
      <c r="A821" s="1" t="s">
        <v>5</v>
      </c>
      <c r="B821" s="1" t="s">
        <v>55</v>
      </c>
      <c r="C821" s="1" t="s">
        <v>9</v>
      </c>
      <c r="D821" s="1" t="s">
        <v>10</v>
      </c>
      <c r="E821" s="2">
        <v>4.62709E-4</v>
      </c>
      <c r="F821" s="2">
        <v>4.06049E-4</v>
      </c>
      <c r="G821" s="2">
        <v>3.98208E-5</v>
      </c>
      <c r="H821" s="2">
        <v>1.0759E-7</v>
      </c>
      <c r="I821" s="2">
        <v>1.00954E-6</v>
      </c>
      <c r="J821" s="2">
        <v>3.41576E-5</v>
      </c>
      <c r="K821" s="1">
        <v>0.0</v>
      </c>
      <c r="L821" s="1">
        <v>0.0</v>
      </c>
      <c r="M821" s="1">
        <v>0.0</v>
      </c>
      <c r="N821" s="1">
        <v>0.0</v>
      </c>
      <c r="O821" s="1">
        <v>0.0</v>
      </c>
      <c r="P821" s="1">
        <v>0.0</v>
      </c>
      <c r="Q821" s="1">
        <v>0.0</v>
      </c>
      <c r="R821" s="1">
        <v>0.0</v>
      </c>
      <c r="S821" s="1">
        <v>0.0</v>
      </c>
    </row>
    <row r="822" ht="14.25" hidden="1" customHeight="1">
      <c r="A822" s="1" t="s">
        <v>5</v>
      </c>
      <c r="B822" s="1" t="s">
        <v>55</v>
      </c>
      <c r="C822" s="1" t="s">
        <v>9</v>
      </c>
      <c r="D822" s="1" t="s">
        <v>11</v>
      </c>
      <c r="E822" s="2">
        <v>4.62885E-4</v>
      </c>
      <c r="F822" s="2">
        <v>4.05963E-4</v>
      </c>
      <c r="G822" s="2">
        <v>3.97868E-5</v>
      </c>
      <c r="H822" s="2">
        <v>6.18898E-5</v>
      </c>
      <c r="I822" s="2">
        <v>2.46857E-7</v>
      </c>
      <c r="J822" s="2">
        <v>3.40968E-7</v>
      </c>
      <c r="K822" s="1">
        <v>0.0</v>
      </c>
      <c r="L822" s="1">
        <v>0.0</v>
      </c>
      <c r="M822" s="1">
        <v>0.0</v>
      </c>
      <c r="N822" s="1">
        <v>0.0</v>
      </c>
      <c r="O822" s="1">
        <v>0.0</v>
      </c>
      <c r="P822" s="1">
        <v>0.0</v>
      </c>
      <c r="Q822" s="1">
        <v>0.0</v>
      </c>
      <c r="R822" s="1">
        <v>0.0</v>
      </c>
      <c r="S822" s="1">
        <v>0.0</v>
      </c>
    </row>
    <row r="823" ht="14.25" hidden="1" customHeight="1">
      <c r="A823" s="1" t="s">
        <v>5</v>
      </c>
      <c r="B823" s="1" t="s">
        <v>55</v>
      </c>
      <c r="C823" s="1" t="s">
        <v>9</v>
      </c>
      <c r="D823" s="1" t="s">
        <v>12</v>
      </c>
      <c r="E823" s="2">
        <v>4.62284E-5</v>
      </c>
      <c r="F823" s="2">
        <v>4.04799E-5</v>
      </c>
      <c r="G823" s="2">
        <v>4.0E-6</v>
      </c>
      <c r="H823" s="2">
        <v>1.30816E-5</v>
      </c>
      <c r="I823" s="2">
        <v>7.24958E-6</v>
      </c>
      <c r="J823" s="2">
        <v>1.35278E-6</v>
      </c>
      <c r="K823" s="1">
        <v>0.0</v>
      </c>
      <c r="L823" s="1">
        <v>0.0</v>
      </c>
      <c r="M823" s="1">
        <v>0.0</v>
      </c>
      <c r="N823" s="1">
        <v>0.0</v>
      </c>
      <c r="O823" s="1">
        <v>0.0</v>
      </c>
      <c r="P823" s="1">
        <v>0.0</v>
      </c>
      <c r="Q823" s="1">
        <v>0.0</v>
      </c>
      <c r="R823" s="1">
        <v>0.0</v>
      </c>
      <c r="S823" s="1">
        <v>0.0</v>
      </c>
    </row>
    <row r="824" ht="14.25" hidden="1" customHeight="1">
      <c r="A824" s="1" t="s">
        <v>5</v>
      </c>
      <c r="B824" s="1" t="s">
        <v>55</v>
      </c>
      <c r="C824" s="1" t="s">
        <v>9</v>
      </c>
      <c r="D824" s="1" t="s">
        <v>13</v>
      </c>
      <c r="E824" s="1">
        <v>0.0</v>
      </c>
      <c r="F824" s="1">
        <v>0.0</v>
      </c>
      <c r="G824" s="1">
        <v>0.0</v>
      </c>
      <c r="H824" s="2">
        <v>1.51166E-5</v>
      </c>
      <c r="I824" s="1">
        <v>0.0</v>
      </c>
      <c r="J824" s="1">
        <v>0.0</v>
      </c>
      <c r="K824" s="1">
        <v>0.0</v>
      </c>
      <c r="L824" s="1">
        <v>0.0</v>
      </c>
      <c r="M824" s="1">
        <v>0.0</v>
      </c>
      <c r="N824" s="1">
        <v>0.0</v>
      </c>
      <c r="O824" s="1">
        <v>0.0</v>
      </c>
      <c r="P824" s="1">
        <v>0.0</v>
      </c>
      <c r="Q824" s="1">
        <v>0.0</v>
      </c>
      <c r="R824" s="1">
        <v>0.0</v>
      </c>
      <c r="S824" s="1">
        <v>0.0</v>
      </c>
    </row>
    <row r="825" ht="14.25" hidden="1" customHeight="1">
      <c r="A825" s="1" t="s">
        <v>5</v>
      </c>
      <c r="B825" s="1" t="s">
        <v>55</v>
      </c>
      <c r="C825" s="1" t="s">
        <v>9</v>
      </c>
      <c r="D825" s="1" t="s">
        <v>14</v>
      </c>
      <c r="E825" s="1">
        <v>0.0</v>
      </c>
      <c r="F825" s="1">
        <v>0.0</v>
      </c>
      <c r="G825" s="1">
        <v>0.0</v>
      </c>
      <c r="H825" s="2">
        <v>2.44403E-5</v>
      </c>
      <c r="I825" s="1">
        <v>0.0</v>
      </c>
      <c r="J825" s="1">
        <v>0.0</v>
      </c>
      <c r="K825" s="1">
        <v>0.0</v>
      </c>
      <c r="L825" s="1">
        <v>0.0</v>
      </c>
      <c r="M825" s="1">
        <v>0.0</v>
      </c>
      <c r="N825" s="1">
        <v>0.0</v>
      </c>
      <c r="O825" s="1">
        <v>0.0</v>
      </c>
      <c r="P825" s="1">
        <v>0.0</v>
      </c>
      <c r="Q825" s="1">
        <v>0.0</v>
      </c>
      <c r="R825" s="1">
        <v>0.0</v>
      </c>
      <c r="S825" s="1">
        <v>0.0</v>
      </c>
    </row>
    <row r="826" ht="14.25" hidden="1" customHeight="1">
      <c r="A826" s="1" t="s">
        <v>5</v>
      </c>
      <c r="B826" s="1" t="s">
        <v>55</v>
      </c>
      <c r="C826" s="1" t="s">
        <v>15</v>
      </c>
      <c r="D826" s="1" t="s">
        <v>16</v>
      </c>
      <c r="E826" s="1">
        <v>0.0</v>
      </c>
      <c r="F826" s="1">
        <v>0.0</v>
      </c>
      <c r="G826" s="1">
        <v>0.0</v>
      </c>
      <c r="H826" s="1">
        <v>0.0</v>
      </c>
      <c r="I826" s="2">
        <v>4.9127E-6</v>
      </c>
      <c r="J826" s="2">
        <v>4.555865E-6</v>
      </c>
      <c r="K826" s="2">
        <v>4.113206E-6</v>
      </c>
      <c r="L826" s="2">
        <v>3.525584E-6</v>
      </c>
      <c r="M826" s="2">
        <v>3.070173E-6</v>
      </c>
      <c r="N826" s="2">
        <v>3.2864536E-6</v>
      </c>
      <c r="O826" s="2">
        <v>3.5909653E-6</v>
      </c>
      <c r="P826" s="2">
        <v>4.33091519999999E-6</v>
      </c>
      <c r="Q826" s="2">
        <v>5.2680274E-6</v>
      </c>
      <c r="R826" s="2">
        <v>6.375441E-6</v>
      </c>
      <c r="S826" s="2">
        <v>7.863597E-6</v>
      </c>
    </row>
    <row r="827" ht="14.25" customHeight="1">
      <c r="A827" s="1" t="s">
        <v>5</v>
      </c>
      <c r="B827" s="1" t="s">
        <v>55</v>
      </c>
      <c r="C827" s="1" t="s">
        <v>15</v>
      </c>
      <c r="D827" s="1" t="s">
        <v>14</v>
      </c>
      <c r="E827" s="1">
        <v>0.0</v>
      </c>
      <c r="F827" s="1">
        <v>0.0</v>
      </c>
      <c r="G827" s="1">
        <v>0.0</v>
      </c>
      <c r="H827" s="1">
        <v>0.0</v>
      </c>
      <c r="I827" s="2">
        <v>2.27413E-6</v>
      </c>
      <c r="J827" s="2">
        <v>1.8658862E-4</v>
      </c>
      <c r="K827" s="2">
        <v>4.04523699999999E-4</v>
      </c>
      <c r="L827" s="2">
        <v>6.5463306E-4</v>
      </c>
      <c r="M827" s="2">
        <v>8.68954224999999E-4</v>
      </c>
      <c r="N827" s="1">
        <v>0.001014601705</v>
      </c>
      <c r="O827" s="1">
        <v>0.0010997316</v>
      </c>
      <c r="P827" s="1">
        <v>0.0011286058</v>
      </c>
      <c r="Q827" s="1">
        <v>0.0011601313</v>
      </c>
      <c r="R827" s="1">
        <v>0.0011946448</v>
      </c>
      <c r="S827" s="1">
        <v>0.0012366447</v>
      </c>
    </row>
    <row r="828" ht="14.25" hidden="1" customHeight="1">
      <c r="A828" s="1" t="s">
        <v>5</v>
      </c>
      <c r="B828" s="1" t="s">
        <v>55</v>
      </c>
      <c r="C828" s="1" t="s">
        <v>17</v>
      </c>
      <c r="D828" s="1" t="s">
        <v>16</v>
      </c>
      <c r="E828" s="2">
        <v>2.82112E-6</v>
      </c>
      <c r="F828" s="2">
        <v>8.68145E-6</v>
      </c>
      <c r="G828" s="2">
        <v>1.3275E-5</v>
      </c>
      <c r="H828" s="2">
        <v>1.818897E-5</v>
      </c>
      <c r="I828" s="2">
        <v>2.356283E-5</v>
      </c>
      <c r="J828" s="2">
        <v>5.419998E-5</v>
      </c>
      <c r="K828" s="2">
        <v>8.806707E-5</v>
      </c>
      <c r="L828" s="2">
        <v>1.2456915E-4</v>
      </c>
      <c r="M828" s="2">
        <v>1.6643418E-4</v>
      </c>
      <c r="N828" s="2">
        <v>2.0032972E-4</v>
      </c>
      <c r="O828" s="2">
        <v>2.3379872E-4</v>
      </c>
      <c r="P828" s="2">
        <v>2.6693023E-4</v>
      </c>
      <c r="Q828" s="2">
        <v>3.0040175E-4</v>
      </c>
      <c r="R828" s="2">
        <v>3.3391981E-4</v>
      </c>
      <c r="S828" s="2">
        <v>3.6675647E-4</v>
      </c>
    </row>
    <row r="829" ht="14.25" hidden="1" customHeight="1">
      <c r="A829" s="1" t="s">
        <v>5</v>
      </c>
      <c r="B829" s="1" t="s">
        <v>55</v>
      </c>
      <c r="C829" s="1" t="s">
        <v>17</v>
      </c>
      <c r="D829" s="1" t="s">
        <v>18</v>
      </c>
      <c r="E829" s="2">
        <v>1.69231E-6</v>
      </c>
      <c r="F829" s="2">
        <v>5.19231E-6</v>
      </c>
      <c r="G829" s="2">
        <v>8.0E-6</v>
      </c>
      <c r="H829" s="2">
        <v>6.51151E-6</v>
      </c>
      <c r="I829" s="2">
        <v>2.39066E-6</v>
      </c>
      <c r="J829" s="2">
        <v>8.49483E-6</v>
      </c>
      <c r="K829" s="2">
        <v>9.68251E-6</v>
      </c>
      <c r="L829" s="2">
        <v>1.137441E-5</v>
      </c>
      <c r="M829" s="2">
        <v>1.303892E-5</v>
      </c>
      <c r="N829" s="2">
        <v>1.475562E-5</v>
      </c>
      <c r="O829" s="2">
        <v>1.620506E-5</v>
      </c>
      <c r="P829" s="2">
        <v>1.7810758E-5</v>
      </c>
      <c r="Q829" s="2">
        <v>1.9335055E-5</v>
      </c>
      <c r="R829" s="2">
        <v>2.0814247E-5</v>
      </c>
      <c r="S829" s="2">
        <v>2.2123663E-5</v>
      </c>
    </row>
    <row r="830" ht="14.25" hidden="1" customHeight="1">
      <c r="A830" s="1" t="s">
        <v>5</v>
      </c>
      <c r="B830" s="1" t="s">
        <v>55</v>
      </c>
      <c r="C830" s="1" t="s">
        <v>17</v>
      </c>
      <c r="D830" s="1" t="s">
        <v>19</v>
      </c>
      <c r="E830" s="2">
        <v>6.02372E-7</v>
      </c>
      <c r="F830" s="2">
        <v>1.70045E-6</v>
      </c>
      <c r="G830" s="2">
        <v>2.69812E-6</v>
      </c>
      <c r="H830" s="2">
        <v>2.8567E-6</v>
      </c>
      <c r="I830" s="2">
        <v>1.63726899999999E-6</v>
      </c>
      <c r="J830" s="2">
        <v>4.56525E-6</v>
      </c>
      <c r="K830" s="2">
        <v>5.786889E-6</v>
      </c>
      <c r="L830" s="2">
        <v>7.16083999999999E-6</v>
      </c>
      <c r="M830" s="2">
        <v>8.558622E-6</v>
      </c>
      <c r="N830" s="2">
        <v>1.0028171E-5</v>
      </c>
      <c r="O830" s="2">
        <v>1.1572202E-5</v>
      </c>
      <c r="P830" s="2">
        <v>1.314398E-5</v>
      </c>
      <c r="Q830" s="2">
        <v>1.47220499999999E-5</v>
      </c>
      <c r="R830" s="2">
        <v>1.628892E-5</v>
      </c>
      <c r="S830" s="2">
        <v>1.78218799999999E-5</v>
      </c>
    </row>
    <row r="831" ht="14.25" hidden="1" customHeight="1">
      <c r="A831" s="1" t="s">
        <v>5</v>
      </c>
      <c r="B831" s="1" t="s">
        <v>55</v>
      </c>
      <c r="C831" s="1" t="s">
        <v>17</v>
      </c>
      <c r="D831" s="1" t="s">
        <v>8</v>
      </c>
      <c r="E831" s="2">
        <v>6.0033E-7</v>
      </c>
      <c r="F831" s="2">
        <v>1.69963E-6</v>
      </c>
      <c r="G831" s="2">
        <v>2.69977E-6</v>
      </c>
      <c r="H831" s="2">
        <v>7.12639E-6</v>
      </c>
      <c r="I831" s="2">
        <v>5.09527E-6</v>
      </c>
      <c r="J831" s="2">
        <v>3.53511708999999E-4</v>
      </c>
      <c r="K831" s="2">
        <v>5.255465E-4</v>
      </c>
      <c r="L831" s="2">
        <v>6.87364999999999E-4</v>
      </c>
      <c r="M831" s="2">
        <v>8.652136E-4</v>
      </c>
      <c r="N831" s="1">
        <v>0.0010360786</v>
      </c>
      <c r="O831" s="1">
        <v>0.0012277282</v>
      </c>
      <c r="P831" s="1">
        <v>0.001400264</v>
      </c>
      <c r="Q831" s="1">
        <v>0.001560823</v>
      </c>
      <c r="R831" s="1">
        <v>0.001715603</v>
      </c>
      <c r="S831" s="1">
        <v>0.001865419</v>
      </c>
    </row>
    <row r="832" ht="14.25" hidden="1" customHeight="1">
      <c r="A832" s="1" t="s">
        <v>5</v>
      </c>
      <c r="B832" s="1" t="s">
        <v>55</v>
      </c>
      <c r="C832" s="1" t="s">
        <v>17</v>
      </c>
      <c r="D832" s="1" t="s">
        <v>20</v>
      </c>
      <c r="E832" s="2">
        <v>5.78947E-6</v>
      </c>
      <c r="F832" s="2">
        <v>1.73684E-5</v>
      </c>
      <c r="G832" s="2">
        <v>2.68421E-5</v>
      </c>
      <c r="H832" s="2">
        <v>2.94605E-5</v>
      </c>
      <c r="I832" s="2">
        <v>3.232748E-5</v>
      </c>
      <c r="J832" s="2">
        <v>4.82908799999999E-5</v>
      </c>
      <c r="K832" s="2">
        <v>6.189866E-5</v>
      </c>
      <c r="L832" s="2">
        <v>7.49795E-5</v>
      </c>
      <c r="M832" s="2">
        <v>8.8864E-5</v>
      </c>
      <c r="N832" s="2">
        <v>1.03548E-4</v>
      </c>
      <c r="O832" s="2">
        <v>1.187525E-4</v>
      </c>
      <c r="P832" s="2">
        <v>1.33974E-4</v>
      </c>
      <c r="Q832" s="2">
        <v>1.490883E-4</v>
      </c>
      <c r="R832" s="2">
        <v>1.639141E-4</v>
      </c>
      <c r="S832" s="2">
        <v>1.7818E-4</v>
      </c>
    </row>
    <row r="833" ht="14.25" hidden="1" customHeight="1">
      <c r="A833" s="1" t="s">
        <v>5</v>
      </c>
      <c r="B833" s="1" t="s">
        <v>55</v>
      </c>
      <c r="C833" s="1" t="s">
        <v>21</v>
      </c>
      <c r="D833" s="1" t="s">
        <v>10</v>
      </c>
      <c r="E833" s="2">
        <v>8.60017E-6</v>
      </c>
      <c r="F833" s="2">
        <v>2.67098E-5</v>
      </c>
      <c r="G833" s="2">
        <v>2.1011E-5</v>
      </c>
      <c r="H833" s="2">
        <v>1.4200329E-5</v>
      </c>
      <c r="I833" s="2">
        <v>1.148466E-5</v>
      </c>
      <c r="J833" s="2">
        <v>8.0486468E-6</v>
      </c>
      <c r="K833" s="2">
        <v>2.3250575E-5</v>
      </c>
      <c r="L833" s="2">
        <v>2.83359522999999E-5</v>
      </c>
      <c r="M833" s="2">
        <v>3.453505201E-5</v>
      </c>
      <c r="N833" s="2">
        <v>3.957154E-5</v>
      </c>
      <c r="O833" s="2">
        <v>3.918912E-5</v>
      </c>
      <c r="P833" s="2">
        <v>3.815234E-5</v>
      </c>
      <c r="Q833" s="2">
        <v>3.74533899999999E-5</v>
      </c>
      <c r="R833" s="2">
        <v>3.575669E-5</v>
      </c>
      <c r="S833" s="2">
        <v>3.395108E-5</v>
      </c>
    </row>
    <row r="834" ht="14.25" hidden="1" customHeight="1">
      <c r="A834" s="1" t="s">
        <v>5</v>
      </c>
      <c r="B834" s="1" t="s">
        <v>55</v>
      </c>
      <c r="C834" s="1" t="s">
        <v>21</v>
      </c>
      <c r="D834" s="1" t="s">
        <v>11</v>
      </c>
      <c r="E834" s="2">
        <v>8.60343E-6</v>
      </c>
      <c r="F834" s="2">
        <v>2.67041E-5</v>
      </c>
      <c r="G834" s="2">
        <v>2.0993E-5</v>
      </c>
      <c r="H834" s="2">
        <v>2.448433E-5</v>
      </c>
      <c r="I834" s="2">
        <v>3.899396E-5</v>
      </c>
      <c r="J834" s="2">
        <v>4.13082E-5</v>
      </c>
      <c r="K834" s="2">
        <v>4.0904E-5</v>
      </c>
      <c r="L834" s="2">
        <v>3.71711E-5</v>
      </c>
      <c r="M834" s="2">
        <v>4.4998E-5</v>
      </c>
      <c r="N834" s="2">
        <v>3.78458E-5</v>
      </c>
      <c r="O834" s="2">
        <v>3.31233099999999E-5</v>
      </c>
      <c r="P834" s="2">
        <v>2.97478E-5</v>
      </c>
      <c r="Q834" s="2">
        <v>2.74155899999999E-5</v>
      </c>
      <c r="R834" s="2">
        <v>2.503675E-5</v>
      </c>
      <c r="S834" s="2">
        <v>2.28974399999999E-5</v>
      </c>
    </row>
    <row r="835" ht="14.25" hidden="1" customHeight="1">
      <c r="A835" s="1" t="s">
        <v>5</v>
      </c>
      <c r="B835" s="1" t="s">
        <v>55</v>
      </c>
      <c r="C835" s="1" t="s">
        <v>21</v>
      </c>
      <c r="D835" s="1" t="s">
        <v>22</v>
      </c>
      <c r="E835" s="2">
        <v>1.72E-5</v>
      </c>
      <c r="F835" s="2">
        <v>5.35E-5</v>
      </c>
      <c r="G835" s="2">
        <v>4.21E-5</v>
      </c>
      <c r="H835" s="2">
        <v>5.33055E-5</v>
      </c>
      <c r="I835" s="2">
        <v>4.41551E-5</v>
      </c>
      <c r="J835" s="2">
        <v>4.60179E-5</v>
      </c>
      <c r="K835" s="2">
        <v>3.53118E-5</v>
      </c>
      <c r="L835" s="2">
        <v>2.79055E-5</v>
      </c>
      <c r="M835" s="2">
        <v>1.925901E-5</v>
      </c>
      <c r="N835" s="2">
        <v>1.796355E-5</v>
      </c>
      <c r="O835" s="2">
        <v>1.725275E-5</v>
      </c>
      <c r="P835" s="2">
        <v>1.644219E-5</v>
      </c>
      <c r="Q835" s="2">
        <v>1.587502E-5</v>
      </c>
      <c r="R835" s="2">
        <v>1.514568E-5</v>
      </c>
      <c r="S835" s="2">
        <v>1.435288E-5</v>
      </c>
    </row>
    <row r="836" ht="14.25" hidden="1" customHeight="1">
      <c r="A836" s="1" t="s">
        <v>5</v>
      </c>
      <c r="B836" s="1" t="s">
        <v>55</v>
      </c>
      <c r="C836" s="1" t="s">
        <v>21</v>
      </c>
      <c r="D836" s="1" t="s">
        <v>23</v>
      </c>
      <c r="E836" s="2">
        <v>5.16033E-5</v>
      </c>
      <c r="F836" s="2">
        <v>1.604113E-4</v>
      </c>
      <c r="G836" s="2">
        <v>1.261899E-4</v>
      </c>
      <c r="H836" s="2">
        <v>4.96815899999999E-4</v>
      </c>
      <c r="I836" s="2">
        <v>6.197719E-4</v>
      </c>
      <c r="J836" s="1">
        <v>0.0010825485</v>
      </c>
      <c r="K836" s="2">
        <v>9.151681E-4</v>
      </c>
      <c r="L836" s="2">
        <v>7.464034E-4</v>
      </c>
      <c r="M836" s="2">
        <v>5.429729E-4</v>
      </c>
      <c r="N836" s="2">
        <v>5.15980799999999E-4</v>
      </c>
      <c r="O836" s="2">
        <v>5.118167E-4</v>
      </c>
      <c r="P836" s="2">
        <v>4.91143E-4</v>
      </c>
      <c r="Q836" s="2">
        <v>4.723626E-4</v>
      </c>
      <c r="R836" s="2">
        <v>4.44223E-4</v>
      </c>
      <c r="S836" s="2">
        <v>4.123461E-4</v>
      </c>
    </row>
    <row r="837" ht="14.25" hidden="1" customHeight="1">
      <c r="A837" s="1" t="s">
        <v>5</v>
      </c>
      <c r="B837" s="1" t="s">
        <v>55</v>
      </c>
      <c r="C837" s="1" t="s">
        <v>21</v>
      </c>
      <c r="D837" s="1" t="s">
        <v>24</v>
      </c>
      <c r="E837" s="2">
        <v>2.579974E-5</v>
      </c>
      <c r="F837" s="2">
        <v>8.01994999999999E-5</v>
      </c>
      <c r="G837" s="2">
        <v>6.30949E-5</v>
      </c>
      <c r="H837" s="2">
        <v>1.0516644E-4</v>
      </c>
      <c r="I837" s="2">
        <v>8.12239E-5</v>
      </c>
      <c r="J837" s="2">
        <v>6.784031E-5</v>
      </c>
      <c r="K837" s="2">
        <v>5.32742599999999E-5</v>
      </c>
      <c r="L837" s="2">
        <v>4.26618499999999E-5</v>
      </c>
      <c r="M837" s="2">
        <v>3.700102E-5</v>
      </c>
      <c r="N837" s="2">
        <v>3.363075E-5</v>
      </c>
      <c r="O837" s="2">
        <v>3.183224E-5</v>
      </c>
      <c r="P837" s="2">
        <v>3.048457E-5</v>
      </c>
      <c r="Q837" s="2">
        <v>2.95123899999999E-5</v>
      </c>
      <c r="R837" s="2">
        <v>2.79737299999999E-5</v>
      </c>
      <c r="S837" s="2">
        <v>2.650337E-5</v>
      </c>
    </row>
    <row r="838" ht="14.25" hidden="1" customHeight="1">
      <c r="A838" s="1" t="s">
        <v>5</v>
      </c>
      <c r="B838" s="1" t="s">
        <v>55</v>
      </c>
      <c r="C838" s="1" t="s">
        <v>21</v>
      </c>
      <c r="D838" s="1" t="s">
        <v>12</v>
      </c>
      <c r="E838" s="2">
        <v>8.98608E-7</v>
      </c>
      <c r="F838" s="2">
        <v>2.69202E-6</v>
      </c>
      <c r="G838" s="2">
        <v>2.1E-6</v>
      </c>
      <c r="H838" s="2">
        <v>2.02235E-8</v>
      </c>
      <c r="I838" s="2">
        <v>1.28111E-6</v>
      </c>
      <c r="J838" s="2">
        <v>2.32376E-6</v>
      </c>
      <c r="K838" s="2">
        <v>2.01383E-6</v>
      </c>
      <c r="L838" s="2">
        <v>1.59077E-6</v>
      </c>
      <c r="M838" s="2">
        <v>1.09773E-6</v>
      </c>
      <c r="N838" s="2">
        <v>1.02386E-6</v>
      </c>
      <c r="O838" s="2">
        <v>9.83346E-7</v>
      </c>
      <c r="P838" s="2">
        <v>9.37145E-7</v>
      </c>
      <c r="Q838" s="2">
        <v>9.0482E-7</v>
      </c>
      <c r="R838" s="2">
        <v>8.6325E-7</v>
      </c>
      <c r="S838" s="2">
        <v>8.18063E-7</v>
      </c>
    </row>
    <row r="839" ht="14.25" hidden="1" customHeight="1">
      <c r="A839" s="1" t="s">
        <v>5</v>
      </c>
      <c r="B839" s="1" t="s">
        <v>55</v>
      </c>
      <c r="C839" s="1" t="s">
        <v>21</v>
      </c>
      <c r="D839" s="1" t="s">
        <v>13</v>
      </c>
      <c r="E839" s="2">
        <v>8.7201E-6</v>
      </c>
      <c r="F839" s="2">
        <v>2.72031E-5</v>
      </c>
      <c r="G839" s="2">
        <v>5.01269E-5</v>
      </c>
      <c r="H839" s="2">
        <v>5.9775E-5</v>
      </c>
      <c r="I839" s="2">
        <v>7.58393999999999E-5</v>
      </c>
      <c r="J839" s="2">
        <v>2.027846E-4</v>
      </c>
      <c r="K839" s="2">
        <v>3.1798112E-4</v>
      </c>
      <c r="L839" s="2">
        <v>4.3831278E-4</v>
      </c>
      <c r="M839" s="2">
        <v>5.333489E-4</v>
      </c>
      <c r="N839" s="2">
        <v>6.042127E-4</v>
      </c>
      <c r="O839" s="2">
        <v>6.497063E-4</v>
      </c>
      <c r="P839" s="2">
        <v>6.85663E-4</v>
      </c>
      <c r="Q839" s="2">
        <v>7.121497E-4</v>
      </c>
      <c r="R839" s="2">
        <v>7.357282E-4</v>
      </c>
      <c r="S839" s="2">
        <v>7.54786E-4</v>
      </c>
    </row>
    <row r="840" ht="14.25" hidden="1" customHeight="1">
      <c r="A840" s="1" t="s">
        <v>5</v>
      </c>
      <c r="B840" s="1" t="s">
        <v>55</v>
      </c>
      <c r="C840" s="1" t="s">
        <v>21</v>
      </c>
      <c r="D840" s="1" t="s">
        <v>14</v>
      </c>
      <c r="E840" s="2">
        <v>8.69249E-6</v>
      </c>
      <c r="F840" s="2">
        <v>2.71857E-5</v>
      </c>
      <c r="G840" s="2">
        <v>5.011E-5</v>
      </c>
      <c r="H840" s="2">
        <v>1.406145E-4</v>
      </c>
      <c r="I840" s="2">
        <v>1.91233199999999E-4</v>
      </c>
      <c r="J840" s="2">
        <v>2.258435E-4</v>
      </c>
      <c r="K840" s="2">
        <v>2.52771699999999E-4</v>
      </c>
      <c r="L840" s="2">
        <v>2.635978E-4</v>
      </c>
      <c r="M840" s="2">
        <v>2.785499E-4</v>
      </c>
      <c r="N840" s="2">
        <v>2.581758E-4</v>
      </c>
      <c r="O840" s="2">
        <v>2.574801E-4</v>
      </c>
      <c r="P840" s="2">
        <v>2.787823E-4</v>
      </c>
      <c r="Q840" s="2">
        <v>2.85898E-4</v>
      </c>
      <c r="R840" s="2">
        <v>2.896306E-4</v>
      </c>
      <c r="S840" s="2">
        <v>2.860172E-4</v>
      </c>
    </row>
    <row r="841" ht="14.25" hidden="1" customHeight="1">
      <c r="A841" s="1" t="s">
        <v>5</v>
      </c>
      <c r="B841" s="1" t="s">
        <v>55</v>
      </c>
      <c r="C841" s="1" t="s">
        <v>21</v>
      </c>
      <c r="D841" s="1" t="s">
        <v>25</v>
      </c>
      <c r="E841" s="2">
        <v>8.7E-6</v>
      </c>
      <c r="F841" s="2">
        <v>2.72E-5</v>
      </c>
      <c r="G841" s="2">
        <v>5.01E-5</v>
      </c>
      <c r="H841" s="2">
        <v>8.47885E-5</v>
      </c>
      <c r="I841" s="2">
        <v>1.016602E-4</v>
      </c>
      <c r="J841" s="2">
        <v>1.147963E-4</v>
      </c>
      <c r="K841" s="2">
        <v>1.113058E-4</v>
      </c>
      <c r="L841" s="2">
        <v>1.078006E-4</v>
      </c>
      <c r="M841" s="2">
        <v>9.56416E-5</v>
      </c>
      <c r="N841" s="2">
        <v>9.43834E-5</v>
      </c>
      <c r="O841" s="2">
        <v>9.5749E-5</v>
      </c>
      <c r="P841" s="2">
        <v>1.007724E-4</v>
      </c>
      <c r="Q841" s="2">
        <v>1.054223E-4</v>
      </c>
      <c r="R841" s="2">
        <v>1.098994E-4</v>
      </c>
      <c r="S841" s="2">
        <v>1.12819399999999E-4</v>
      </c>
    </row>
    <row r="842" ht="14.25" hidden="1" customHeight="1">
      <c r="A842" s="1" t="s">
        <v>5</v>
      </c>
      <c r="B842" s="1" t="s">
        <v>55</v>
      </c>
      <c r="C842" s="1" t="s">
        <v>21</v>
      </c>
      <c r="D842" s="1" t="s">
        <v>26</v>
      </c>
      <c r="E842" s="2">
        <v>3.499898E-5</v>
      </c>
      <c r="F842" s="2">
        <v>1.08690399999999E-4</v>
      </c>
      <c r="G842" s="2">
        <v>2.002051E-4</v>
      </c>
      <c r="H842" s="1">
        <v>0.0010677344</v>
      </c>
      <c r="I842" s="1">
        <v>0.001829167</v>
      </c>
      <c r="J842" s="1">
        <v>0.0041921531</v>
      </c>
      <c r="K842" s="1">
        <v>0.004614721</v>
      </c>
      <c r="L842" s="1">
        <v>0.004774968</v>
      </c>
      <c r="M842" s="1">
        <v>0.004660928</v>
      </c>
      <c r="N842" s="1">
        <v>0.004899522</v>
      </c>
      <c r="O842" s="1">
        <v>0.005292869</v>
      </c>
      <c r="P842" s="1">
        <v>0.00594437</v>
      </c>
      <c r="Q842" s="1">
        <v>0.00655307999999999</v>
      </c>
      <c r="R842" s="1">
        <v>0.00706699999999999</v>
      </c>
      <c r="S842" s="1">
        <v>0.0074283</v>
      </c>
    </row>
    <row r="843" ht="14.25" hidden="1" customHeight="1">
      <c r="A843" s="1" t="s">
        <v>5</v>
      </c>
      <c r="B843" s="1" t="s">
        <v>55</v>
      </c>
      <c r="C843" s="1" t="s">
        <v>21</v>
      </c>
      <c r="D843" s="1" t="s">
        <v>27</v>
      </c>
      <c r="E843" s="2">
        <v>2.269885E-5</v>
      </c>
      <c r="F843" s="2">
        <v>7.0699E-5</v>
      </c>
      <c r="G843" s="2">
        <v>1.300924E-4</v>
      </c>
      <c r="H843" s="2">
        <v>3.311087E-4</v>
      </c>
      <c r="I843" s="2">
        <v>3.941014E-4</v>
      </c>
      <c r="J843" s="2">
        <v>5.893929E-4</v>
      </c>
      <c r="K843" s="2">
        <v>6.506668E-4</v>
      </c>
      <c r="L843" s="2">
        <v>7.18155E-4</v>
      </c>
      <c r="M843" s="2">
        <v>7.469884E-4</v>
      </c>
      <c r="N843" s="2">
        <v>7.610833E-4</v>
      </c>
      <c r="O843" s="2">
        <v>7.676315E-4</v>
      </c>
      <c r="P843" s="2">
        <v>7.996633E-4</v>
      </c>
      <c r="Q843" s="2">
        <v>8.273556E-4</v>
      </c>
      <c r="R843" s="2">
        <v>8.53496999999999E-4</v>
      </c>
      <c r="S843" s="2">
        <v>8.759E-4</v>
      </c>
    </row>
    <row r="844" ht="14.25" hidden="1" customHeight="1">
      <c r="A844" s="1" t="s">
        <v>5</v>
      </c>
      <c r="B844" s="1" t="s">
        <v>55</v>
      </c>
      <c r="C844" s="1" t="s">
        <v>21</v>
      </c>
      <c r="D844" s="1" t="s">
        <v>28</v>
      </c>
      <c r="E844" s="2">
        <v>9.0E-7</v>
      </c>
      <c r="F844" s="2">
        <v>2.7E-6</v>
      </c>
      <c r="G844" s="2">
        <v>5.0E-6</v>
      </c>
      <c r="H844" s="2">
        <v>6.47485E-6</v>
      </c>
      <c r="I844" s="2">
        <v>8.48069E-6</v>
      </c>
      <c r="J844" s="2">
        <v>9.16562E-6</v>
      </c>
      <c r="K844" s="2">
        <v>8.88694E-6</v>
      </c>
      <c r="L844" s="2">
        <v>8.60708E-6</v>
      </c>
      <c r="M844" s="2">
        <v>7.63626E-6</v>
      </c>
      <c r="N844" s="2">
        <v>7.53581E-6</v>
      </c>
      <c r="O844" s="2">
        <v>7.64485E-6</v>
      </c>
      <c r="P844" s="2">
        <v>8.04593E-6</v>
      </c>
      <c r="Q844" s="2">
        <v>8.41719E-6</v>
      </c>
      <c r="R844" s="2">
        <v>8.77465E-6</v>
      </c>
      <c r="S844" s="2">
        <v>9.00779E-6</v>
      </c>
    </row>
    <row r="845" ht="14.25" hidden="1" customHeight="1">
      <c r="A845" s="1" t="s">
        <v>5</v>
      </c>
      <c r="B845" s="1" t="s">
        <v>55</v>
      </c>
      <c r="C845" s="1" t="s">
        <v>29</v>
      </c>
      <c r="D845" s="1" t="s">
        <v>16</v>
      </c>
      <c r="E845" s="2">
        <v>1.20905E-5</v>
      </c>
      <c r="F845" s="2">
        <v>2.30507E-5</v>
      </c>
      <c r="G845" s="2">
        <v>4.28195E-5</v>
      </c>
      <c r="H845" s="2">
        <v>4.37993E-5</v>
      </c>
      <c r="I845" s="2">
        <v>4.534924E-5</v>
      </c>
      <c r="J845" s="2">
        <v>3.6541347E-5</v>
      </c>
      <c r="K845" s="2">
        <v>2.6749549E-5</v>
      </c>
      <c r="L845" s="2">
        <v>1.74217749999999E-5</v>
      </c>
      <c r="M845" s="2">
        <v>4.393959E-6</v>
      </c>
      <c r="N845" s="2">
        <v>1.9341349E-6</v>
      </c>
      <c r="O845" s="2">
        <v>1.0240234E-6</v>
      </c>
      <c r="P845" s="2">
        <v>1.1500928E-6</v>
      </c>
      <c r="Q845" s="2">
        <v>1.33582249999999E-6</v>
      </c>
      <c r="R845" s="2">
        <v>1.5672665E-6</v>
      </c>
      <c r="S845" s="2">
        <v>1.8684876E-6</v>
      </c>
    </row>
    <row r="846" ht="14.25" hidden="1" customHeight="1">
      <c r="A846" s="1" t="s">
        <v>5</v>
      </c>
      <c r="B846" s="1" t="s">
        <v>55</v>
      </c>
      <c r="C846" s="1" t="s">
        <v>29</v>
      </c>
      <c r="D846" s="1" t="s">
        <v>8</v>
      </c>
      <c r="E846" s="2">
        <v>1.20066E-5</v>
      </c>
      <c r="F846" s="2">
        <v>2.3095E-5</v>
      </c>
      <c r="G846" s="2">
        <v>4.28964E-5</v>
      </c>
      <c r="H846" s="2">
        <v>3.3178306E-5</v>
      </c>
      <c r="I846" s="2">
        <v>1.567686681E-4</v>
      </c>
      <c r="J846" s="2">
        <v>3.799834965E-4</v>
      </c>
      <c r="K846" s="2">
        <v>5.09181953E-4</v>
      </c>
      <c r="L846" s="2">
        <v>6.322717095E-4</v>
      </c>
      <c r="M846" s="2">
        <v>7.55022837939999E-4</v>
      </c>
      <c r="N846" s="2">
        <v>9.083008E-4</v>
      </c>
      <c r="O846" s="1">
        <v>0.0010506671</v>
      </c>
      <c r="P846" s="1">
        <v>0.0011874268</v>
      </c>
      <c r="Q846" s="1">
        <v>0.00133918419999999</v>
      </c>
      <c r="R846" s="1">
        <v>0.0014932531</v>
      </c>
      <c r="S846" s="1">
        <v>0.00164344849999999</v>
      </c>
    </row>
    <row r="847" ht="14.25" hidden="1" customHeight="1">
      <c r="A847" s="1" t="s">
        <v>5</v>
      </c>
      <c r="B847" s="1" t="s">
        <v>55</v>
      </c>
      <c r="C847" s="1" t="s">
        <v>29</v>
      </c>
      <c r="D847" s="1" t="s">
        <v>10</v>
      </c>
      <c r="E847" s="2">
        <v>2.22004E-5</v>
      </c>
      <c r="F847" s="2">
        <v>4.25156E-5</v>
      </c>
      <c r="G847" s="2">
        <v>2.14112E-5</v>
      </c>
      <c r="H847" s="2">
        <v>9.76487E-5</v>
      </c>
      <c r="I847" s="2">
        <v>8.556842E-5</v>
      </c>
      <c r="J847" s="2">
        <v>7.019137332E-5</v>
      </c>
      <c r="K847" s="2">
        <v>5.554803588E-5</v>
      </c>
      <c r="L847" s="2">
        <v>3.708394238E-5</v>
      </c>
      <c r="M847" s="2">
        <v>2.115175766E-5</v>
      </c>
      <c r="N847" s="2">
        <v>1.01284309399999E-5</v>
      </c>
      <c r="O847" s="2">
        <v>8.81239644E-6</v>
      </c>
      <c r="P847" s="2">
        <v>7.401905E-6</v>
      </c>
      <c r="Q847" s="2">
        <v>6.013263E-6</v>
      </c>
      <c r="R847" s="2">
        <v>5.260802E-6</v>
      </c>
      <c r="S847" s="2">
        <v>4.698629E-6</v>
      </c>
    </row>
    <row r="848" ht="14.25" hidden="1" customHeight="1">
      <c r="A848" s="1" t="s">
        <v>5</v>
      </c>
      <c r="B848" s="1" t="s">
        <v>55</v>
      </c>
      <c r="C848" s="1" t="s">
        <v>29</v>
      </c>
      <c r="D848" s="1" t="s">
        <v>11</v>
      </c>
      <c r="E848" s="2">
        <v>2.97018E-4</v>
      </c>
      <c r="F848" s="2">
        <v>5.69989E-4</v>
      </c>
      <c r="G848" s="2">
        <v>2.86305E-4</v>
      </c>
      <c r="H848" s="2">
        <v>2.2234318E-4</v>
      </c>
      <c r="I848" s="2">
        <v>2.0553052E-4</v>
      </c>
      <c r="J848" s="2">
        <v>1.68041893E-4</v>
      </c>
      <c r="K848" s="2">
        <v>1.3007621E-4</v>
      </c>
      <c r="L848" s="2">
        <v>9.7316958E-5</v>
      </c>
      <c r="M848" s="2">
        <v>3.8740077E-5</v>
      </c>
      <c r="N848" s="2">
        <v>4.157603E-5</v>
      </c>
      <c r="O848" s="2">
        <v>4.3709479E-5</v>
      </c>
      <c r="P848" s="2">
        <v>4.37975899999999E-5</v>
      </c>
      <c r="Q848" s="2">
        <v>4.37457599999999E-5</v>
      </c>
      <c r="R848" s="2">
        <v>4.288794E-5</v>
      </c>
      <c r="S848" s="2">
        <v>4.191383E-5</v>
      </c>
    </row>
    <row r="849" ht="14.25" hidden="1" customHeight="1">
      <c r="A849" s="1" t="s">
        <v>5</v>
      </c>
      <c r="B849" s="1" t="s">
        <v>55</v>
      </c>
      <c r="C849" s="1" t="s">
        <v>29</v>
      </c>
      <c r="D849" s="1" t="s">
        <v>13</v>
      </c>
      <c r="E849" s="2">
        <v>2.22513E-5</v>
      </c>
      <c r="F849" s="2">
        <v>4.26048E-5</v>
      </c>
      <c r="G849" s="2">
        <v>7.10381E-5</v>
      </c>
      <c r="H849" s="2">
        <v>2.553845E-4</v>
      </c>
      <c r="I849" s="2">
        <v>2.677166E-4</v>
      </c>
      <c r="J849" s="2">
        <v>2.530804E-4</v>
      </c>
      <c r="K849" s="2">
        <v>2.24917399999999E-4</v>
      </c>
      <c r="L849" s="2">
        <v>1.910766E-4</v>
      </c>
      <c r="M849" s="2">
        <v>1.50438499999999E-4</v>
      </c>
      <c r="N849" s="2">
        <v>1.20276559999999E-4</v>
      </c>
      <c r="O849" s="2">
        <v>1.0947016E-4</v>
      </c>
      <c r="P849" s="2">
        <v>1.015201E-4</v>
      </c>
      <c r="Q849" s="2">
        <v>9.614034E-5</v>
      </c>
      <c r="R849" s="2">
        <v>9.317032E-5</v>
      </c>
      <c r="S849" s="2">
        <v>9.187219E-5</v>
      </c>
    </row>
    <row r="850" ht="14.25" hidden="1" customHeight="1">
      <c r="A850" s="1" t="s">
        <v>5</v>
      </c>
      <c r="B850" s="1" t="s">
        <v>55</v>
      </c>
      <c r="C850" s="1" t="s">
        <v>29</v>
      </c>
      <c r="D850" s="1" t="s">
        <v>14</v>
      </c>
      <c r="E850" s="2">
        <v>2.52782E-4</v>
      </c>
      <c r="F850" s="2">
        <v>4.85344E-4</v>
      </c>
      <c r="G850" s="2">
        <v>8.09661E-4</v>
      </c>
      <c r="H850" s="2">
        <v>7.68081E-4</v>
      </c>
      <c r="I850" s="2">
        <v>8.54351E-4</v>
      </c>
      <c r="J850" s="2">
        <v>7.59321E-4</v>
      </c>
      <c r="K850" s="2">
        <v>6.386663E-4</v>
      </c>
      <c r="L850" s="2">
        <v>5.250967E-4</v>
      </c>
      <c r="M850" s="2">
        <v>3.30850399999999E-4</v>
      </c>
      <c r="N850" s="2">
        <v>3.217737E-4</v>
      </c>
      <c r="O850" s="2">
        <v>3.2862242E-4</v>
      </c>
      <c r="P850" s="2">
        <v>3.5276654E-4</v>
      </c>
      <c r="Q850" s="2">
        <v>3.799065E-4</v>
      </c>
      <c r="R850" s="2">
        <v>4.10041899999999E-4</v>
      </c>
      <c r="S850" s="2">
        <v>4.379484E-4</v>
      </c>
    </row>
    <row r="851" ht="14.25" hidden="1" customHeight="1">
      <c r="A851" s="1" t="s">
        <v>5</v>
      </c>
      <c r="B851" s="1" t="s">
        <v>56</v>
      </c>
      <c r="C851" s="1" t="s">
        <v>7</v>
      </c>
      <c r="D851" s="1" t="s">
        <v>8</v>
      </c>
      <c r="E851" s="1">
        <v>0.0126654</v>
      </c>
      <c r="F851" s="1">
        <v>0.0161249</v>
      </c>
      <c r="G851" s="1">
        <v>0.0172564</v>
      </c>
      <c r="H851" s="1">
        <v>0.0031313</v>
      </c>
      <c r="I851" s="1">
        <v>0.00621812</v>
      </c>
      <c r="J851" s="2">
        <v>9.42107E-4</v>
      </c>
      <c r="K851" s="2">
        <v>5.30174E-4</v>
      </c>
      <c r="L851" s="2">
        <v>4.68304E-4</v>
      </c>
      <c r="M851" s="2">
        <v>3.28222E-4</v>
      </c>
      <c r="N851" s="2">
        <v>1.89836E-4</v>
      </c>
      <c r="O851" s="1">
        <v>0.0</v>
      </c>
      <c r="P851" s="1">
        <v>0.0</v>
      </c>
      <c r="Q851" s="1">
        <v>0.0</v>
      </c>
      <c r="R851" s="1">
        <v>0.0</v>
      </c>
      <c r="S851" s="1">
        <v>0.0</v>
      </c>
    </row>
    <row r="852" ht="14.25" hidden="1" customHeight="1">
      <c r="A852" s="1" t="s">
        <v>5</v>
      </c>
      <c r="B852" s="1" t="s">
        <v>56</v>
      </c>
      <c r="C852" s="1" t="s">
        <v>9</v>
      </c>
      <c r="D852" s="1" t="s">
        <v>8</v>
      </c>
      <c r="E852" s="1">
        <v>0.017783</v>
      </c>
      <c r="F852" s="1">
        <v>0.0155967</v>
      </c>
      <c r="G852" s="1">
        <v>0.0229391</v>
      </c>
      <c r="H852" s="1">
        <v>0.0126284</v>
      </c>
      <c r="I852" s="1">
        <v>0.00154643</v>
      </c>
      <c r="J852" s="2">
        <v>1.3245E-10</v>
      </c>
      <c r="K852" s="1">
        <v>0.0</v>
      </c>
      <c r="L852" s="1">
        <v>0.0</v>
      </c>
      <c r="M852" s="1">
        <v>0.0</v>
      </c>
      <c r="N852" s="1">
        <v>0.0</v>
      </c>
      <c r="O852" s="1">
        <v>0.0</v>
      </c>
      <c r="P852" s="1">
        <v>0.0</v>
      </c>
      <c r="Q852" s="1">
        <v>0.0</v>
      </c>
      <c r="R852" s="1">
        <v>0.0</v>
      </c>
      <c r="S852" s="1">
        <v>0.0</v>
      </c>
    </row>
    <row r="853" ht="14.25" hidden="1" customHeight="1">
      <c r="A853" s="1" t="s">
        <v>5</v>
      </c>
      <c r="B853" s="1" t="s">
        <v>56</v>
      </c>
      <c r="C853" s="1" t="s">
        <v>9</v>
      </c>
      <c r="D853" s="1" t="s">
        <v>10</v>
      </c>
      <c r="E853" s="1">
        <v>0.0</v>
      </c>
      <c r="F853" s="1">
        <v>0.0</v>
      </c>
      <c r="G853" s="1">
        <v>0.00243792</v>
      </c>
      <c r="H853" s="1">
        <v>0.0</v>
      </c>
      <c r="I853" s="1">
        <v>0.00226511</v>
      </c>
      <c r="J853" s="1">
        <v>0.0104348</v>
      </c>
      <c r="K853" s="1">
        <v>0.0</v>
      </c>
      <c r="L853" s="1">
        <v>0.0</v>
      </c>
      <c r="M853" s="1">
        <v>0.0</v>
      </c>
      <c r="N853" s="1">
        <v>0.0</v>
      </c>
      <c r="O853" s="1">
        <v>0.0</v>
      </c>
      <c r="P853" s="1">
        <v>0.0</v>
      </c>
      <c r="Q853" s="1">
        <v>0.0</v>
      </c>
      <c r="R853" s="1">
        <v>0.0</v>
      </c>
      <c r="S853" s="1">
        <v>0.0</v>
      </c>
    </row>
    <row r="854" ht="14.25" hidden="1" customHeight="1">
      <c r="A854" s="1" t="s">
        <v>5</v>
      </c>
      <c r="B854" s="1" t="s">
        <v>56</v>
      </c>
      <c r="C854" s="1" t="s">
        <v>9</v>
      </c>
      <c r="D854" s="1" t="s">
        <v>11</v>
      </c>
      <c r="E854" s="1">
        <v>0.0</v>
      </c>
      <c r="F854" s="1">
        <v>0.0</v>
      </c>
      <c r="G854" s="1">
        <v>0.00243791</v>
      </c>
      <c r="H854" s="1">
        <v>0.0</v>
      </c>
      <c r="I854" s="1">
        <v>0.0</v>
      </c>
      <c r="J854" s="1">
        <v>0.0</v>
      </c>
      <c r="K854" s="1">
        <v>0.0</v>
      </c>
      <c r="L854" s="1">
        <v>0.0</v>
      </c>
      <c r="M854" s="1">
        <v>0.0</v>
      </c>
      <c r="N854" s="1">
        <v>0.0</v>
      </c>
      <c r="O854" s="1">
        <v>0.0</v>
      </c>
      <c r="P854" s="1">
        <v>0.0</v>
      </c>
      <c r="Q854" s="1">
        <v>0.0</v>
      </c>
      <c r="R854" s="1">
        <v>0.0</v>
      </c>
      <c r="S854" s="1">
        <v>0.0</v>
      </c>
    </row>
    <row r="855" ht="14.25" hidden="1" customHeight="1">
      <c r="A855" s="1" t="s">
        <v>5</v>
      </c>
      <c r="B855" s="1" t="s">
        <v>56</v>
      </c>
      <c r="C855" s="1" t="s">
        <v>9</v>
      </c>
      <c r="D855" s="1" t="s">
        <v>12</v>
      </c>
      <c r="E855" s="1">
        <v>0.0</v>
      </c>
      <c r="F855" s="1">
        <v>0.0</v>
      </c>
      <c r="G855" s="2">
        <v>2.43992E-4</v>
      </c>
      <c r="H855" s="1">
        <v>0.0</v>
      </c>
      <c r="I855" s="1">
        <v>0.0</v>
      </c>
      <c r="J855" s="1">
        <v>0.0</v>
      </c>
      <c r="K855" s="1">
        <v>0.0</v>
      </c>
      <c r="L855" s="1">
        <v>0.0</v>
      </c>
      <c r="M855" s="1">
        <v>0.0</v>
      </c>
      <c r="N855" s="1">
        <v>0.0</v>
      </c>
      <c r="O855" s="1">
        <v>0.0</v>
      </c>
      <c r="P855" s="1">
        <v>0.0</v>
      </c>
      <c r="Q855" s="1">
        <v>0.0</v>
      </c>
      <c r="R855" s="1">
        <v>0.0</v>
      </c>
      <c r="S855" s="1">
        <v>0.0</v>
      </c>
    </row>
    <row r="856" ht="14.25" hidden="1" customHeight="1">
      <c r="A856" s="1" t="s">
        <v>5</v>
      </c>
      <c r="B856" s="1" t="s">
        <v>56</v>
      </c>
      <c r="C856" s="1" t="s">
        <v>9</v>
      </c>
      <c r="D856" s="1" t="s">
        <v>13</v>
      </c>
      <c r="E856" s="1">
        <v>0.0</v>
      </c>
      <c r="F856" s="1">
        <v>0.0</v>
      </c>
      <c r="G856" s="1">
        <v>0.0</v>
      </c>
      <c r="H856" s="2">
        <v>1.51886E-4</v>
      </c>
      <c r="I856" s="1">
        <v>0.0</v>
      </c>
      <c r="J856" s="1">
        <v>0.0</v>
      </c>
      <c r="K856" s="1">
        <v>0.0</v>
      </c>
      <c r="L856" s="1">
        <v>0.0</v>
      </c>
      <c r="M856" s="1">
        <v>0.0</v>
      </c>
      <c r="N856" s="1">
        <v>0.0</v>
      </c>
      <c r="O856" s="1">
        <v>0.0</v>
      </c>
      <c r="P856" s="1">
        <v>0.0</v>
      </c>
      <c r="Q856" s="1">
        <v>0.0</v>
      </c>
      <c r="R856" s="1">
        <v>0.0</v>
      </c>
      <c r="S856" s="1">
        <v>0.0</v>
      </c>
    </row>
    <row r="857" ht="14.25" hidden="1" customHeight="1">
      <c r="A857" s="1" t="s">
        <v>5</v>
      </c>
      <c r="B857" s="1" t="s">
        <v>56</v>
      </c>
      <c r="C857" s="1" t="s">
        <v>9</v>
      </c>
      <c r="D857" s="1" t="s">
        <v>14</v>
      </c>
      <c r="E857" s="1">
        <v>0.0</v>
      </c>
      <c r="F857" s="1">
        <v>0.0</v>
      </c>
      <c r="G857" s="1">
        <v>0.0</v>
      </c>
      <c r="H857" s="2">
        <v>7.91947E-5</v>
      </c>
      <c r="I857" s="1">
        <v>0.0</v>
      </c>
      <c r="J857" s="1">
        <v>0.0</v>
      </c>
      <c r="K857" s="1">
        <v>0.0</v>
      </c>
      <c r="L857" s="1">
        <v>0.0</v>
      </c>
      <c r="M857" s="1">
        <v>0.0</v>
      </c>
      <c r="N857" s="1">
        <v>0.0</v>
      </c>
      <c r="O857" s="1">
        <v>0.0</v>
      </c>
      <c r="P857" s="1">
        <v>0.0</v>
      </c>
      <c r="Q857" s="1">
        <v>0.0</v>
      </c>
      <c r="R857" s="1">
        <v>0.0</v>
      </c>
      <c r="S857" s="1">
        <v>0.0</v>
      </c>
    </row>
    <row r="858" ht="14.25" hidden="1" customHeight="1">
      <c r="A858" s="1" t="s">
        <v>5</v>
      </c>
      <c r="B858" s="1" t="s">
        <v>56</v>
      </c>
      <c r="C858" s="1" t="s">
        <v>15</v>
      </c>
      <c r="D858" s="1" t="s">
        <v>16</v>
      </c>
      <c r="E858" s="1">
        <v>0.0</v>
      </c>
      <c r="F858" s="1">
        <v>0.0</v>
      </c>
      <c r="G858" s="1">
        <v>0.0</v>
      </c>
      <c r="H858" s="1">
        <v>0.0</v>
      </c>
      <c r="I858" s="1">
        <v>0.0</v>
      </c>
      <c r="J858" s="2">
        <v>5.37726E-4</v>
      </c>
      <c r="K858" s="2">
        <v>9.7589E-4</v>
      </c>
      <c r="L858" s="1">
        <v>0.001509677</v>
      </c>
      <c r="M858" s="1">
        <v>0.00220573</v>
      </c>
      <c r="N858" s="1">
        <v>0.002789583</v>
      </c>
      <c r="O858" s="1">
        <v>0.0033713422</v>
      </c>
      <c r="P858" s="1">
        <v>0.0039768486</v>
      </c>
      <c r="Q858" s="1">
        <v>0.004579323</v>
      </c>
      <c r="R858" s="1">
        <v>0.005172837</v>
      </c>
      <c r="S858" s="1">
        <v>0.00576068</v>
      </c>
    </row>
    <row r="859" ht="14.25" customHeight="1">
      <c r="A859" s="1" t="s">
        <v>5</v>
      </c>
      <c r="B859" s="1" t="s">
        <v>56</v>
      </c>
      <c r="C859" s="1" t="s">
        <v>15</v>
      </c>
      <c r="D859" s="1" t="s">
        <v>14</v>
      </c>
      <c r="E859" s="1">
        <v>0.0</v>
      </c>
      <c r="F859" s="1">
        <v>0.0</v>
      </c>
      <c r="G859" s="1">
        <v>0.0</v>
      </c>
      <c r="H859" s="1">
        <v>0.0</v>
      </c>
      <c r="I859" s="1">
        <v>0.0</v>
      </c>
      <c r="J859" s="1">
        <v>0.00471091</v>
      </c>
      <c r="K859" s="1">
        <v>0.01044823</v>
      </c>
      <c r="L859" s="1">
        <v>0.0142017499999999</v>
      </c>
      <c r="M859" s="1">
        <v>0.01902673</v>
      </c>
      <c r="N859" s="1">
        <v>0.02284522</v>
      </c>
      <c r="O859" s="1">
        <v>0.026782542</v>
      </c>
      <c r="P859" s="1">
        <v>0.030264173</v>
      </c>
      <c r="Q859" s="1">
        <v>0.033932383</v>
      </c>
      <c r="R859" s="1">
        <v>0.0376346409999999</v>
      </c>
      <c r="S859" s="1">
        <v>0.04138864</v>
      </c>
    </row>
    <row r="860" ht="14.25" hidden="1" customHeight="1">
      <c r="A860" s="1" t="s">
        <v>5</v>
      </c>
      <c r="B860" s="1" t="s">
        <v>56</v>
      </c>
      <c r="C860" s="1" t="s">
        <v>17</v>
      </c>
      <c r="D860" s="1" t="s">
        <v>16</v>
      </c>
      <c r="E860" s="2">
        <v>1.06995E-5</v>
      </c>
      <c r="F860" s="2">
        <v>3.31995E-5</v>
      </c>
      <c r="G860" s="2">
        <v>5.05941E-5</v>
      </c>
      <c r="H860" s="2">
        <v>1.897854E-4</v>
      </c>
      <c r="I860" s="2">
        <v>1.629478E-4</v>
      </c>
      <c r="J860" s="2">
        <v>2.82259E-4</v>
      </c>
      <c r="K860" s="2">
        <v>3.007735E-4</v>
      </c>
      <c r="L860" s="2">
        <v>3.19144429999999E-4</v>
      </c>
      <c r="M860" s="2">
        <v>3.609606E-4</v>
      </c>
      <c r="N860" s="2">
        <v>3.95612399999999E-4</v>
      </c>
      <c r="O860" s="2">
        <v>4.49776E-4</v>
      </c>
      <c r="P860" s="2">
        <v>5.159785E-4</v>
      </c>
      <c r="Q860" s="2">
        <v>5.829665E-4</v>
      </c>
      <c r="R860" s="2">
        <v>6.528396E-4</v>
      </c>
      <c r="S860" s="2">
        <v>7.25004399999999E-4</v>
      </c>
    </row>
    <row r="861" ht="14.25" hidden="1" customHeight="1">
      <c r="A861" s="1" t="s">
        <v>5</v>
      </c>
      <c r="B861" s="1" t="s">
        <v>56</v>
      </c>
      <c r="C861" s="1" t="s">
        <v>17</v>
      </c>
      <c r="D861" s="1" t="s">
        <v>18</v>
      </c>
      <c r="E861" s="2">
        <v>5.96885E-4</v>
      </c>
      <c r="F861" s="1">
        <v>0.00185681</v>
      </c>
      <c r="G861" s="1">
        <v>0.00283481</v>
      </c>
      <c r="H861" s="1">
        <v>0.00155136</v>
      </c>
      <c r="I861" s="2">
        <v>4.70516E-4</v>
      </c>
      <c r="J861" s="1">
        <v>0.00191728</v>
      </c>
      <c r="K861" s="1">
        <v>0.00235011</v>
      </c>
      <c r="L861" s="1">
        <v>0.002826205</v>
      </c>
      <c r="M861" s="1">
        <v>0.003272942</v>
      </c>
      <c r="N861" s="1">
        <v>0.00378018899999999</v>
      </c>
      <c r="O861" s="1">
        <v>0.004244924</v>
      </c>
      <c r="P861" s="1">
        <v>0.004688831</v>
      </c>
      <c r="Q861" s="1">
        <v>0.005095423</v>
      </c>
      <c r="R861" s="1">
        <v>0.005507173</v>
      </c>
      <c r="S861" s="1">
        <v>0.005865928</v>
      </c>
    </row>
    <row r="862" ht="14.25" hidden="1" customHeight="1">
      <c r="A862" s="1" t="s">
        <v>5</v>
      </c>
      <c r="B862" s="1" t="s">
        <v>56</v>
      </c>
      <c r="C862" s="1" t="s">
        <v>17</v>
      </c>
      <c r="D862" s="1" t="s">
        <v>19</v>
      </c>
      <c r="E862" s="2">
        <v>2.70697E-4</v>
      </c>
      <c r="F862" s="2">
        <v>8.42197E-4</v>
      </c>
      <c r="G862" s="1">
        <v>0.0012858</v>
      </c>
      <c r="H862" s="1">
        <v>0.001266995</v>
      </c>
      <c r="I862" s="2">
        <v>3.313942E-4</v>
      </c>
      <c r="J862" s="1">
        <v>0.001835649</v>
      </c>
      <c r="K862" s="1">
        <v>0.0022149129</v>
      </c>
      <c r="L862" s="1">
        <v>0.002682621</v>
      </c>
      <c r="M862" s="1">
        <v>0.003162044</v>
      </c>
      <c r="N862" s="1">
        <v>0.003705769</v>
      </c>
      <c r="O862" s="1">
        <v>0.00429442799999999</v>
      </c>
      <c r="P862" s="1">
        <v>0.004920189</v>
      </c>
      <c r="Q862" s="1">
        <v>0.00556182</v>
      </c>
      <c r="R862" s="1">
        <v>0.006200835</v>
      </c>
      <c r="S862" s="1">
        <v>0.00682273</v>
      </c>
    </row>
    <row r="863" ht="14.25" hidden="1" customHeight="1">
      <c r="A863" s="1" t="s">
        <v>5</v>
      </c>
      <c r="B863" s="1" t="s">
        <v>56</v>
      </c>
      <c r="C863" s="1" t="s">
        <v>17</v>
      </c>
      <c r="D863" s="1" t="s">
        <v>8</v>
      </c>
      <c r="E863" s="2">
        <v>1.21499E-4</v>
      </c>
      <c r="F863" s="2">
        <v>3.77999E-4</v>
      </c>
      <c r="G863" s="2">
        <v>5.77096E-4</v>
      </c>
      <c r="H863" s="1">
        <v>0.002231713</v>
      </c>
      <c r="I863" s="1">
        <v>0.0016022758918</v>
      </c>
      <c r="J863" s="1">
        <v>0.0174014589594</v>
      </c>
      <c r="K863" s="1">
        <v>0.02359470894591</v>
      </c>
      <c r="L863" s="1">
        <v>0.03040532493239</v>
      </c>
      <c r="M863" s="1">
        <v>0.03701739</v>
      </c>
      <c r="N863" s="1">
        <v>0.04382579</v>
      </c>
      <c r="O863" s="1">
        <v>0.05093404</v>
      </c>
      <c r="P863" s="1">
        <v>0.05807033</v>
      </c>
      <c r="Q863" s="1">
        <v>0.0652508699999999</v>
      </c>
      <c r="R863" s="1">
        <v>0.0722893</v>
      </c>
      <c r="S863" s="1">
        <v>0.0790471</v>
      </c>
    </row>
    <row r="864" ht="14.25" hidden="1" customHeight="1">
      <c r="A864" s="1" t="s">
        <v>5</v>
      </c>
      <c r="B864" s="1" t="s">
        <v>56</v>
      </c>
      <c r="C864" s="1" t="s">
        <v>17</v>
      </c>
      <c r="D864" s="1" t="s">
        <v>20</v>
      </c>
      <c r="E864" s="2">
        <v>8.94737E-5</v>
      </c>
      <c r="F864" s="2">
        <v>2.78421E-4</v>
      </c>
      <c r="G864" s="2">
        <v>4.25263E-4</v>
      </c>
      <c r="H864" s="2">
        <v>4.30808E-4</v>
      </c>
      <c r="I864" s="2">
        <v>2.190778E-4</v>
      </c>
      <c r="J864" s="2">
        <v>6.428523E-4</v>
      </c>
      <c r="K864" s="2">
        <v>7.86625E-4</v>
      </c>
      <c r="L864" s="2">
        <v>9.35077E-4</v>
      </c>
      <c r="M864" s="1">
        <v>0.001090921</v>
      </c>
      <c r="N864" s="1">
        <v>0.001271904</v>
      </c>
      <c r="O864" s="1">
        <v>0.00146537</v>
      </c>
      <c r="P864" s="1">
        <v>0.0016671</v>
      </c>
      <c r="Q864" s="1">
        <v>0.001872373</v>
      </c>
      <c r="R864" s="1">
        <v>0.002074482</v>
      </c>
      <c r="S864" s="1">
        <v>0.002267659</v>
      </c>
    </row>
    <row r="865" ht="14.25" hidden="1" customHeight="1">
      <c r="A865" s="1" t="s">
        <v>5</v>
      </c>
      <c r="B865" s="1" t="s">
        <v>56</v>
      </c>
      <c r="C865" s="1" t="s">
        <v>21</v>
      </c>
      <c r="D865" s="1" t="s">
        <v>10</v>
      </c>
      <c r="E865" s="1">
        <v>0.00118266</v>
      </c>
      <c r="F865" s="1">
        <v>0.003679</v>
      </c>
      <c r="G865" s="1">
        <v>0.00263602</v>
      </c>
      <c r="H865" s="1">
        <v>0.00354863</v>
      </c>
      <c r="I865" s="1">
        <v>0.003418558</v>
      </c>
      <c r="J865" s="1">
        <v>0.00226982584999999</v>
      </c>
      <c r="K865" s="1">
        <v>0.00593003347</v>
      </c>
      <c r="L865" s="1">
        <v>0.006575836739</v>
      </c>
      <c r="M865" s="1">
        <v>0.00693809567899999</v>
      </c>
      <c r="N865" s="1">
        <v>0.00716336</v>
      </c>
      <c r="O865" s="1">
        <v>0.007241881</v>
      </c>
      <c r="P865" s="1">
        <v>0.007390793</v>
      </c>
      <c r="Q865" s="1">
        <v>0.007497442</v>
      </c>
      <c r="R865" s="1">
        <v>0.007554292</v>
      </c>
      <c r="S865" s="1">
        <v>0.007560242</v>
      </c>
    </row>
    <row r="866" ht="14.25" hidden="1" customHeight="1">
      <c r="A866" s="1" t="s">
        <v>5</v>
      </c>
      <c r="B866" s="1" t="s">
        <v>56</v>
      </c>
      <c r="C866" s="1" t="s">
        <v>21</v>
      </c>
      <c r="D866" s="1" t="s">
        <v>11</v>
      </c>
      <c r="E866" s="2">
        <v>1.08E-5</v>
      </c>
      <c r="F866" s="2">
        <v>3.33999E-5</v>
      </c>
      <c r="G866" s="2">
        <v>2.40001E-5</v>
      </c>
      <c r="H866" s="1">
        <v>0.00571637</v>
      </c>
      <c r="I866" s="1">
        <v>0.03579443</v>
      </c>
      <c r="J866" s="1">
        <v>0.0272408</v>
      </c>
      <c r="K866" s="1">
        <v>0.02484266</v>
      </c>
      <c r="L866" s="1">
        <v>0.02515545</v>
      </c>
      <c r="M866" s="1">
        <v>0.02492413</v>
      </c>
      <c r="N866" s="1">
        <v>0.02534752</v>
      </c>
      <c r="O866" s="1">
        <v>0.02553386</v>
      </c>
      <c r="P866" s="1">
        <v>0.02549806</v>
      </c>
      <c r="Q866" s="1">
        <v>0.02557771</v>
      </c>
      <c r="R866" s="1">
        <v>0.02567273</v>
      </c>
      <c r="S866" s="1">
        <v>0.02580291</v>
      </c>
    </row>
    <row r="867" ht="14.25" hidden="1" customHeight="1">
      <c r="A867" s="1" t="s">
        <v>5</v>
      </c>
      <c r="B867" s="1" t="s">
        <v>56</v>
      </c>
      <c r="C867" s="1" t="s">
        <v>21</v>
      </c>
      <c r="D867" s="1" t="s">
        <v>22</v>
      </c>
      <c r="E867" s="2">
        <v>8.6E-5</v>
      </c>
      <c r="F867" s="2">
        <v>2.676E-4</v>
      </c>
      <c r="G867" s="2">
        <v>1.917E-4</v>
      </c>
      <c r="H867" s="2">
        <v>2.18565E-4</v>
      </c>
      <c r="I867" s="2">
        <v>4.968769E-4</v>
      </c>
      <c r="J867" s="2">
        <v>6.54415E-4</v>
      </c>
      <c r="K867" s="2">
        <v>5.97402E-4</v>
      </c>
      <c r="L867" s="2">
        <v>6.4361E-4</v>
      </c>
      <c r="M867" s="2">
        <v>6.57333E-4</v>
      </c>
      <c r="N867" s="2">
        <v>6.93166E-4</v>
      </c>
      <c r="O867" s="2">
        <v>7.20123999999999E-4</v>
      </c>
      <c r="P867" s="2">
        <v>7.35036E-4</v>
      </c>
      <c r="Q867" s="2">
        <v>7.48636E-4</v>
      </c>
      <c r="R867" s="2">
        <v>7.60695E-4</v>
      </c>
      <c r="S867" s="2">
        <v>7.68996E-4</v>
      </c>
    </row>
    <row r="868" ht="14.25" hidden="1" customHeight="1">
      <c r="A868" s="1" t="s">
        <v>5</v>
      </c>
      <c r="B868" s="1" t="s">
        <v>56</v>
      </c>
      <c r="C868" s="1" t="s">
        <v>21</v>
      </c>
      <c r="D868" s="1" t="s">
        <v>23</v>
      </c>
      <c r="E868" s="2">
        <v>1.0821E-5</v>
      </c>
      <c r="F868" s="2">
        <v>3.34153E-5</v>
      </c>
      <c r="G868" s="2">
        <v>2.39995E-5</v>
      </c>
      <c r="H868" s="2">
        <v>4.212031E-5</v>
      </c>
      <c r="I868" s="2">
        <v>1.50169639999999E-4</v>
      </c>
      <c r="J868" s="2">
        <v>1.8173425E-4</v>
      </c>
      <c r="K868" s="2">
        <v>1.879403E-4</v>
      </c>
      <c r="L868" s="2">
        <v>2.479685E-4</v>
      </c>
      <c r="M868" s="2">
        <v>2.956562E-4</v>
      </c>
      <c r="N868" s="2">
        <v>3.503851E-4</v>
      </c>
      <c r="O868" s="2">
        <v>3.94497E-4</v>
      </c>
      <c r="P868" s="2">
        <v>4.505639E-4</v>
      </c>
      <c r="Q868" s="2">
        <v>5.021874E-4</v>
      </c>
      <c r="R868" s="2">
        <v>5.496692E-4</v>
      </c>
      <c r="S868" s="2">
        <v>5.9115E-4</v>
      </c>
    </row>
    <row r="869" ht="14.25" hidden="1" customHeight="1">
      <c r="A869" s="1" t="s">
        <v>5</v>
      </c>
      <c r="B869" s="1" t="s">
        <v>56</v>
      </c>
      <c r="C869" s="1" t="s">
        <v>21</v>
      </c>
      <c r="D869" s="1" t="s">
        <v>24</v>
      </c>
      <c r="E869" s="2">
        <v>6.83798999999999E-4</v>
      </c>
      <c r="F869" s="1">
        <v>0.0021272</v>
      </c>
      <c r="G869" s="1">
        <v>0.0015241</v>
      </c>
      <c r="H869" s="1">
        <v>0.001983633</v>
      </c>
      <c r="I869" s="1">
        <v>0.001728805</v>
      </c>
      <c r="J869" s="1">
        <v>0.0019596232</v>
      </c>
      <c r="K869" s="1">
        <v>0.00175750099999999</v>
      </c>
      <c r="L869" s="1">
        <v>0.001733975</v>
      </c>
      <c r="M869" s="1">
        <v>0.001694733</v>
      </c>
      <c r="N869" s="1">
        <v>0.001670564</v>
      </c>
      <c r="O869" s="1">
        <v>0.001637308</v>
      </c>
      <c r="P869" s="1">
        <v>0.001671249</v>
      </c>
      <c r="Q869" s="1">
        <v>0.001696305</v>
      </c>
      <c r="R869" s="1">
        <v>0.001713125</v>
      </c>
      <c r="S869" s="1">
        <v>0.00172157</v>
      </c>
    </row>
    <row r="870" ht="14.25" hidden="1" customHeight="1">
      <c r="A870" s="1" t="s">
        <v>5</v>
      </c>
      <c r="B870" s="1" t="s">
        <v>56</v>
      </c>
      <c r="C870" s="1" t="s">
        <v>21</v>
      </c>
      <c r="D870" s="1" t="s">
        <v>12</v>
      </c>
      <c r="E870" s="2">
        <v>1.1E-6</v>
      </c>
      <c r="F870" s="2">
        <v>3.3E-6</v>
      </c>
      <c r="G870" s="2">
        <v>2.40189E-6</v>
      </c>
      <c r="H870" s="2">
        <v>4.22911E-5</v>
      </c>
      <c r="I870" s="2">
        <v>1.09083E-4</v>
      </c>
      <c r="J870" s="2">
        <v>1.4533E-4</v>
      </c>
      <c r="K870" s="2">
        <v>1.36514E-4</v>
      </c>
      <c r="L870" s="2">
        <v>1.50693E-4</v>
      </c>
      <c r="M870" s="2">
        <v>1.55684E-4</v>
      </c>
      <c r="N870" s="2">
        <v>1.65047E-4</v>
      </c>
      <c r="O870" s="2">
        <v>1.71865E-4</v>
      </c>
      <c r="P870" s="2">
        <v>1.75662E-4</v>
      </c>
      <c r="Q870" s="2">
        <v>1.7899E-4</v>
      </c>
      <c r="R870" s="2">
        <v>1.81897E-4</v>
      </c>
      <c r="S870" s="2">
        <v>1.83889E-4</v>
      </c>
    </row>
    <row r="871" ht="14.25" hidden="1" customHeight="1">
      <c r="A871" s="1" t="s">
        <v>5</v>
      </c>
      <c r="B871" s="1" t="s">
        <v>56</v>
      </c>
      <c r="C871" s="1" t="s">
        <v>21</v>
      </c>
      <c r="D871" s="1" t="s">
        <v>13</v>
      </c>
      <c r="E871" s="2">
        <v>6.70675E-4</v>
      </c>
      <c r="F871" s="1">
        <v>0.00208638</v>
      </c>
      <c r="G871" s="1">
        <v>0.00335113</v>
      </c>
      <c r="H871" s="1">
        <v>0.002578652</v>
      </c>
      <c r="I871" s="1">
        <v>0.002206515</v>
      </c>
      <c r="J871" s="1">
        <v>0.003036422</v>
      </c>
      <c r="K871" s="1">
        <v>0.0035919496</v>
      </c>
      <c r="L871" s="1">
        <v>0.0049638868</v>
      </c>
      <c r="M871" s="1">
        <v>0.006810927</v>
      </c>
      <c r="N871" s="1">
        <v>0.009411562</v>
      </c>
      <c r="O871" s="1">
        <v>0.012035176</v>
      </c>
      <c r="P871" s="1">
        <v>0.014465815</v>
      </c>
      <c r="Q871" s="1">
        <v>0.0167879199999999</v>
      </c>
      <c r="R871" s="1">
        <v>0.01900127</v>
      </c>
      <c r="S871" s="1">
        <v>0.0211784699999999</v>
      </c>
    </row>
    <row r="872" ht="14.25" hidden="1" customHeight="1">
      <c r="A872" s="1" t="s">
        <v>5</v>
      </c>
      <c r="B872" s="1" t="s">
        <v>56</v>
      </c>
      <c r="C872" s="1" t="s">
        <v>21</v>
      </c>
      <c r="D872" s="1" t="s">
        <v>14</v>
      </c>
      <c r="E872" s="2">
        <v>1.07997E-5</v>
      </c>
      <c r="F872" s="2">
        <v>3.36988E-5</v>
      </c>
      <c r="G872" s="2">
        <v>5.40993E-5</v>
      </c>
      <c r="H872" s="1">
        <v>0.0022373955</v>
      </c>
      <c r="I872" s="1">
        <v>0.006191913</v>
      </c>
      <c r="J872" s="1">
        <v>0.002731617</v>
      </c>
      <c r="K872" s="2">
        <v>4.5146E-4</v>
      </c>
      <c r="L872" s="2">
        <v>2.7771E-4</v>
      </c>
      <c r="M872" s="2">
        <v>3.047405E-4</v>
      </c>
      <c r="N872" s="2">
        <v>3.44203E-4</v>
      </c>
      <c r="O872" s="2">
        <v>3.76026E-4</v>
      </c>
      <c r="P872" s="2">
        <v>4.29054E-4</v>
      </c>
      <c r="Q872" s="2">
        <v>4.61374E-4</v>
      </c>
      <c r="R872" s="2">
        <v>4.93422E-4</v>
      </c>
      <c r="S872" s="2">
        <v>5.35946999999999E-4</v>
      </c>
    </row>
    <row r="873" ht="14.25" hidden="1" customHeight="1">
      <c r="A873" s="1" t="s">
        <v>5</v>
      </c>
      <c r="B873" s="1" t="s">
        <v>56</v>
      </c>
      <c r="C873" s="1" t="s">
        <v>21</v>
      </c>
      <c r="D873" s="1" t="s">
        <v>25</v>
      </c>
      <c r="E873" s="2">
        <v>2.163E-4</v>
      </c>
      <c r="F873" s="2">
        <v>6.73E-4</v>
      </c>
      <c r="G873" s="1">
        <v>0.001081</v>
      </c>
      <c r="H873" s="1">
        <v>0.00124217499999999</v>
      </c>
      <c r="I873" s="1">
        <v>0.001487849</v>
      </c>
      <c r="J873" s="1">
        <v>0.001339393</v>
      </c>
      <c r="K873" s="1">
        <v>0.001138109</v>
      </c>
      <c r="L873" s="1">
        <v>0.001061259</v>
      </c>
      <c r="M873" s="2">
        <v>8.62029E-4</v>
      </c>
      <c r="N873" s="2">
        <v>9.99199E-4</v>
      </c>
      <c r="O873" s="1">
        <v>0.001165825</v>
      </c>
      <c r="P873" s="1">
        <v>0.001343008</v>
      </c>
      <c r="Q873" s="1">
        <v>0.001542305</v>
      </c>
      <c r="R873" s="1">
        <v>0.001747871</v>
      </c>
      <c r="S873" s="1">
        <v>0.001939245</v>
      </c>
    </row>
    <row r="874" ht="14.25" hidden="1" customHeight="1">
      <c r="A874" s="1" t="s">
        <v>5</v>
      </c>
      <c r="B874" s="1" t="s">
        <v>56</v>
      </c>
      <c r="C874" s="1" t="s">
        <v>21</v>
      </c>
      <c r="D874" s="1" t="s">
        <v>26</v>
      </c>
      <c r="E874" s="2">
        <v>3.244874E-4</v>
      </c>
      <c r="F874" s="1">
        <v>0.001009591</v>
      </c>
      <c r="G874" s="1">
        <v>0.001621476</v>
      </c>
      <c r="H874" s="1">
        <v>0.002507166</v>
      </c>
      <c r="I874" s="1">
        <v>0.003530675</v>
      </c>
      <c r="J874" s="1">
        <v>0.00415592589999999</v>
      </c>
      <c r="K874" s="1">
        <v>0.004121363</v>
      </c>
      <c r="L874" s="1">
        <v>0.00475376</v>
      </c>
      <c r="M874" s="1">
        <v>0.004852565</v>
      </c>
      <c r="N874" s="1">
        <v>0.006950559</v>
      </c>
      <c r="O874" s="1">
        <v>0.00965097</v>
      </c>
      <c r="P874" s="1">
        <v>0.0127177199999999</v>
      </c>
      <c r="Q874" s="1">
        <v>0.0163742599999999</v>
      </c>
      <c r="R874" s="1">
        <v>0.02055942</v>
      </c>
      <c r="S874" s="1">
        <v>0.02503889</v>
      </c>
    </row>
    <row r="875" ht="14.25" hidden="1" customHeight="1">
      <c r="A875" s="1" t="s">
        <v>5</v>
      </c>
      <c r="B875" s="1" t="s">
        <v>56</v>
      </c>
      <c r="C875" s="1" t="s">
        <v>21</v>
      </c>
      <c r="D875" s="1" t="s">
        <v>27</v>
      </c>
      <c r="E875" s="2">
        <v>3.287975E-4</v>
      </c>
      <c r="F875" s="1">
        <v>0.001022998</v>
      </c>
      <c r="G875" s="1">
        <v>0.0016431</v>
      </c>
      <c r="H875" s="1">
        <v>0.00236265299999999</v>
      </c>
      <c r="I875" s="1">
        <v>0.002454666</v>
      </c>
      <c r="J875" s="1">
        <v>0.0043528377</v>
      </c>
      <c r="K875" s="1">
        <v>0.00493784</v>
      </c>
      <c r="L875" s="1">
        <v>0.00570876799999999</v>
      </c>
      <c r="M875" s="1">
        <v>0.006581649</v>
      </c>
      <c r="N875" s="1">
        <v>0.007575831</v>
      </c>
      <c r="O875" s="1">
        <v>0.008560594</v>
      </c>
      <c r="P875" s="1">
        <v>0.00973065999999999</v>
      </c>
      <c r="Q875" s="1">
        <v>0.01099275</v>
      </c>
      <c r="R875" s="1">
        <v>0.01223488</v>
      </c>
      <c r="S875" s="1">
        <v>0.01345943</v>
      </c>
    </row>
    <row r="876" ht="14.25" hidden="1" customHeight="1">
      <c r="A876" s="1" t="s">
        <v>5</v>
      </c>
      <c r="B876" s="1" t="s">
        <v>56</v>
      </c>
      <c r="C876" s="1" t="s">
        <v>21</v>
      </c>
      <c r="D876" s="1" t="s">
        <v>28</v>
      </c>
      <c r="E876" s="2">
        <v>1.1E-6</v>
      </c>
      <c r="F876" s="2">
        <v>3.4E-6</v>
      </c>
      <c r="G876" s="2">
        <v>5.4E-6</v>
      </c>
      <c r="H876" s="2">
        <v>4.8455E-6</v>
      </c>
      <c r="I876" s="2">
        <v>5.47212E-6</v>
      </c>
      <c r="J876" s="2">
        <v>5.43025E-6</v>
      </c>
      <c r="K876" s="2">
        <v>4.58632E-6</v>
      </c>
      <c r="L876" s="2">
        <v>4.25088E-6</v>
      </c>
      <c r="M876" s="2">
        <v>3.44613E-6</v>
      </c>
      <c r="N876" s="2">
        <v>3.99311E-6</v>
      </c>
      <c r="O876" s="2">
        <v>4.65885E-6</v>
      </c>
      <c r="P876" s="2">
        <v>5.36688E-6</v>
      </c>
      <c r="Q876" s="2">
        <v>6.16331E-6</v>
      </c>
      <c r="R876" s="2">
        <v>6.98479E-6</v>
      </c>
      <c r="S876" s="2">
        <v>7.74955E-6</v>
      </c>
    </row>
    <row r="877" ht="14.25" hidden="1" customHeight="1">
      <c r="A877" s="1" t="s">
        <v>5</v>
      </c>
      <c r="B877" s="1" t="s">
        <v>56</v>
      </c>
      <c r="C877" s="1" t="s">
        <v>29</v>
      </c>
      <c r="D877" s="1" t="s">
        <v>16</v>
      </c>
      <c r="E877" s="2">
        <v>6.37668E-4</v>
      </c>
      <c r="F877" s="1">
        <v>0.00122428</v>
      </c>
      <c r="G877" s="1">
        <v>0.00109757</v>
      </c>
      <c r="H877" s="2">
        <v>9.455791E-4</v>
      </c>
      <c r="I877" s="2">
        <v>7.922291E-4</v>
      </c>
      <c r="J877" s="2">
        <v>9.543652E-4</v>
      </c>
      <c r="K877" s="2">
        <v>9.38555E-4</v>
      </c>
      <c r="L877" s="2">
        <v>9.242339E-4</v>
      </c>
      <c r="M877" s="2">
        <v>7.91899499999999E-4</v>
      </c>
      <c r="N877" s="2">
        <v>8.2969E-4</v>
      </c>
      <c r="O877" s="2">
        <v>8.826596E-4</v>
      </c>
      <c r="P877" s="2">
        <v>9.446254E-4</v>
      </c>
      <c r="Q877" s="1">
        <v>0.0010311817</v>
      </c>
      <c r="R877" s="1">
        <v>0.001127683</v>
      </c>
      <c r="S877" s="1">
        <v>0.0012163979</v>
      </c>
    </row>
    <row r="878" ht="14.25" hidden="1" customHeight="1">
      <c r="A878" s="1" t="s">
        <v>5</v>
      </c>
      <c r="B878" s="1" t="s">
        <v>56</v>
      </c>
      <c r="C878" s="1" t="s">
        <v>29</v>
      </c>
      <c r="D878" s="1" t="s">
        <v>8</v>
      </c>
      <c r="E878" s="2">
        <v>4.55995E-5</v>
      </c>
      <c r="F878" s="2">
        <v>8.74999E-5</v>
      </c>
      <c r="G878" s="2">
        <v>7.83994E-5</v>
      </c>
      <c r="H878" s="2">
        <v>6.067384E-5</v>
      </c>
      <c r="I878" s="1">
        <v>0.002130686686</v>
      </c>
      <c r="J878" s="1">
        <v>0.002002859658</v>
      </c>
      <c r="K878" s="1">
        <v>0.00177268636989999</v>
      </c>
      <c r="L878" s="1">
        <v>0.00140275078179999</v>
      </c>
      <c r="M878" s="1">
        <v>0.0010111061535</v>
      </c>
      <c r="N878" s="2">
        <v>7.892896E-4</v>
      </c>
      <c r="O878" s="2">
        <v>5.872353E-4</v>
      </c>
      <c r="P878" s="2">
        <v>6.504827E-4</v>
      </c>
      <c r="Q878" s="2">
        <v>7.254749E-4</v>
      </c>
      <c r="R878" s="2">
        <v>8.00904899999999E-4</v>
      </c>
      <c r="S878" s="2">
        <v>8.696714E-4</v>
      </c>
    </row>
    <row r="879" ht="14.25" hidden="1" customHeight="1">
      <c r="A879" s="1" t="s">
        <v>5</v>
      </c>
      <c r="B879" s="1" t="s">
        <v>56</v>
      </c>
      <c r="C879" s="1" t="s">
        <v>29</v>
      </c>
      <c r="D879" s="1" t="s">
        <v>10</v>
      </c>
      <c r="E879" s="2">
        <v>2.35012E-5</v>
      </c>
      <c r="F879" s="2">
        <v>4.52E-5</v>
      </c>
      <c r="G879" s="2">
        <v>1.44801E-4</v>
      </c>
      <c r="H879" s="2">
        <v>3.78049E-4</v>
      </c>
      <c r="I879" s="2">
        <v>3.3157506E-4</v>
      </c>
      <c r="J879" s="2">
        <v>2.6974087043E-4</v>
      </c>
      <c r="K879" s="2">
        <v>1.97738019999999E-4</v>
      </c>
      <c r="L879" s="2">
        <v>1.2299400822E-4</v>
      </c>
      <c r="M879" s="2">
        <v>4.990208022E-5</v>
      </c>
      <c r="N879" s="2">
        <v>1.2939089218E-5</v>
      </c>
      <c r="O879" s="2">
        <v>1.0532640429E-5</v>
      </c>
      <c r="P879" s="2">
        <v>8.87015E-6</v>
      </c>
      <c r="Q879" s="2">
        <v>7.24070099999999E-6</v>
      </c>
      <c r="R879" s="2">
        <v>6.57692599999999E-6</v>
      </c>
      <c r="S879" s="2">
        <v>6.21162E-6</v>
      </c>
    </row>
    <row r="880" ht="14.25" hidden="1" customHeight="1">
      <c r="A880" s="1" t="s">
        <v>5</v>
      </c>
      <c r="B880" s="1" t="s">
        <v>56</v>
      </c>
      <c r="C880" s="1" t="s">
        <v>29</v>
      </c>
      <c r="D880" s="1" t="s">
        <v>11</v>
      </c>
      <c r="E880" s="1">
        <v>0.0011483</v>
      </c>
      <c r="F880" s="1">
        <v>0.00220459</v>
      </c>
      <c r="G880" s="1">
        <v>0.00706443</v>
      </c>
      <c r="H880" s="1">
        <v>0.00545981434</v>
      </c>
      <c r="I880" s="1">
        <v>0.00458249029999999</v>
      </c>
      <c r="J880" s="1">
        <v>0.00492979029999999</v>
      </c>
      <c r="K880" s="1">
        <v>0.00727435217</v>
      </c>
      <c r="L880" s="1">
        <v>0.00924822404</v>
      </c>
      <c r="M880" s="1">
        <v>0.010249607042</v>
      </c>
      <c r="N880" s="1">
        <v>0.012142956</v>
      </c>
      <c r="O880" s="1">
        <v>0.01379105</v>
      </c>
      <c r="P880" s="1">
        <v>0.014696679</v>
      </c>
      <c r="Q880" s="1">
        <v>0.015402338</v>
      </c>
      <c r="R880" s="1">
        <v>0.015988466</v>
      </c>
      <c r="S880" s="1">
        <v>0.01636121</v>
      </c>
    </row>
    <row r="881" ht="14.25" hidden="1" customHeight="1">
      <c r="A881" s="1" t="s">
        <v>5</v>
      </c>
      <c r="B881" s="1" t="s">
        <v>56</v>
      </c>
      <c r="C881" s="1" t="s">
        <v>29</v>
      </c>
      <c r="D881" s="1" t="s">
        <v>13</v>
      </c>
      <c r="E881" s="2">
        <v>2.38991E-5</v>
      </c>
      <c r="F881" s="2">
        <v>4.57995E-5</v>
      </c>
      <c r="G881" s="2">
        <v>9.6601E-5</v>
      </c>
      <c r="H881" s="1">
        <v>0.0068753351</v>
      </c>
      <c r="I881" s="1">
        <v>0.0082779607</v>
      </c>
      <c r="J881" s="1">
        <v>0.0100536405</v>
      </c>
      <c r="K881" s="1">
        <v>0.0128558702999999</v>
      </c>
      <c r="L881" s="1">
        <v>0.0147090559</v>
      </c>
      <c r="M881" s="1">
        <v>0.016437567</v>
      </c>
      <c r="N881" s="1">
        <v>0.017865011</v>
      </c>
      <c r="O881" s="1">
        <v>0.019678264</v>
      </c>
      <c r="P881" s="1">
        <v>0.021341196</v>
      </c>
      <c r="Q881" s="1">
        <v>0.023355172</v>
      </c>
      <c r="R881" s="1">
        <v>0.025556348</v>
      </c>
      <c r="S881" s="1">
        <v>0.0276759839999999</v>
      </c>
    </row>
    <row r="882" ht="14.25" hidden="1" customHeight="1">
      <c r="A882" s="1" t="s">
        <v>5</v>
      </c>
      <c r="B882" s="1" t="s">
        <v>56</v>
      </c>
      <c r="C882" s="1" t="s">
        <v>29</v>
      </c>
      <c r="D882" s="1" t="s">
        <v>14</v>
      </c>
      <c r="E882" s="1">
        <v>0.00507087</v>
      </c>
      <c r="F882" s="1">
        <v>0.00973526</v>
      </c>
      <c r="G882" s="1">
        <v>0.0205269</v>
      </c>
      <c r="H882" s="1">
        <v>0.016033196</v>
      </c>
      <c r="I882" s="1">
        <v>0.013461744</v>
      </c>
      <c r="J882" s="1">
        <v>0.012005295</v>
      </c>
      <c r="K882" s="1">
        <v>0.0103121178999999</v>
      </c>
      <c r="L882" s="1">
        <v>0.0085016504</v>
      </c>
      <c r="M882" s="1">
        <v>0.0048682475</v>
      </c>
      <c r="N882" s="1">
        <v>0.005735456</v>
      </c>
      <c r="O882" s="1">
        <v>0.006930533</v>
      </c>
      <c r="P882" s="1">
        <v>0.008228005</v>
      </c>
      <c r="Q882" s="1">
        <v>0.009650567</v>
      </c>
      <c r="R882" s="1">
        <v>0.0111755449999999</v>
      </c>
      <c r="S882" s="1">
        <v>0.012648086</v>
      </c>
    </row>
    <row r="883" ht="14.25" hidden="1" customHeight="1">
      <c r="A883" s="1" t="s">
        <v>5</v>
      </c>
      <c r="B883" s="1" t="s">
        <v>56</v>
      </c>
      <c r="C883" s="1" t="s">
        <v>31</v>
      </c>
      <c r="D883" s="1" t="s">
        <v>11</v>
      </c>
      <c r="E883" s="1">
        <v>0.0822626</v>
      </c>
      <c r="F883" s="1">
        <v>0.0963825</v>
      </c>
      <c r="G883" s="1">
        <v>0.102442</v>
      </c>
      <c r="H883" s="1">
        <v>0.0732948</v>
      </c>
      <c r="I883" s="2">
        <v>1.62377E-4</v>
      </c>
      <c r="J883" s="1">
        <v>0.00589784</v>
      </c>
      <c r="K883" s="1">
        <v>0.0124763</v>
      </c>
      <c r="L883" s="1">
        <v>0.00969718</v>
      </c>
      <c r="M883" s="1">
        <v>0.00815574</v>
      </c>
      <c r="N883" s="1">
        <v>0.00387241</v>
      </c>
      <c r="O883" s="1">
        <v>0.0</v>
      </c>
      <c r="P883" s="1">
        <v>0.0</v>
      </c>
      <c r="Q883" s="1">
        <v>0.0</v>
      </c>
      <c r="R883" s="1">
        <v>0.0</v>
      </c>
      <c r="S883" s="1">
        <v>0.0</v>
      </c>
    </row>
    <row r="884" ht="14.25" hidden="1" customHeight="1">
      <c r="A884" s="1" t="s">
        <v>5</v>
      </c>
      <c r="B884" s="1" t="s">
        <v>57</v>
      </c>
      <c r="C884" s="1" t="s">
        <v>7</v>
      </c>
      <c r="D884" s="1" t="s">
        <v>8</v>
      </c>
      <c r="E884" s="1">
        <v>0.00395661</v>
      </c>
      <c r="F884" s="1">
        <v>0.0050378</v>
      </c>
      <c r="G884" s="1">
        <v>0.00539107</v>
      </c>
      <c r="H884" s="2">
        <v>4.16756E-4</v>
      </c>
      <c r="I884" s="1">
        <v>0.0</v>
      </c>
      <c r="J884" s="2">
        <v>4.54958E-5</v>
      </c>
      <c r="K884" s="2">
        <v>3.16422E-5</v>
      </c>
      <c r="L884" s="2">
        <v>2.71699E-5</v>
      </c>
      <c r="M884" s="2">
        <v>1.90437E-5</v>
      </c>
      <c r="N884" s="2">
        <v>1.09408E-5</v>
      </c>
      <c r="O884" s="1">
        <v>0.0</v>
      </c>
      <c r="P884" s="1">
        <v>0.0</v>
      </c>
      <c r="Q884" s="1">
        <v>0.0</v>
      </c>
      <c r="R884" s="1">
        <v>0.0</v>
      </c>
      <c r="S884" s="1">
        <v>0.0</v>
      </c>
    </row>
    <row r="885" ht="14.25" hidden="1" customHeight="1">
      <c r="A885" s="1" t="s">
        <v>5</v>
      </c>
      <c r="B885" s="1" t="s">
        <v>57</v>
      </c>
      <c r="C885" s="1" t="s">
        <v>9</v>
      </c>
      <c r="D885" s="1" t="s">
        <v>8</v>
      </c>
      <c r="E885" s="2">
        <v>4.60767E-4</v>
      </c>
      <c r="F885" s="2">
        <v>4.04216E-4</v>
      </c>
      <c r="G885" s="2">
        <v>5.94396E-4</v>
      </c>
      <c r="H885" s="2">
        <v>9.15758E-5</v>
      </c>
      <c r="I885" s="1">
        <v>0.0</v>
      </c>
      <c r="J885" s="1">
        <v>0.0</v>
      </c>
      <c r="K885" s="1">
        <v>0.0</v>
      </c>
      <c r="L885" s="1">
        <v>0.0</v>
      </c>
      <c r="M885" s="1">
        <v>0.0</v>
      </c>
      <c r="N885" s="1">
        <v>0.0</v>
      </c>
      <c r="O885" s="1">
        <v>0.0</v>
      </c>
      <c r="P885" s="1">
        <v>0.0</v>
      </c>
      <c r="Q885" s="1">
        <v>0.0</v>
      </c>
      <c r="R885" s="1">
        <v>0.0</v>
      </c>
      <c r="S885" s="1">
        <v>0.0</v>
      </c>
    </row>
    <row r="886" ht="14.25" hidden="1" customHeight="1">
      <c r="A886" s="1" t="s">
        <v>5</v>
      </c>
      <c r="B886" s="1" t="s">
        <v>57</v>
      </c>
      <c r="C886" s="1" t="s">
        <v>9</v>
      </c>
      <c r="D886" s="1" t="s">
        <v>10</v>
      </c>
      <c r="E886" s="1">
        <v>0.0</v>
      </c>
      <c r="F886" s="1">
        <v>0.0</v>
      </c>
      <c r="G886" s="2">
        <v>4.43995E-5</v>
      </c>
      <c r="H886" s="1">
        <v>0.0</v>
      </c>
      <c r="I886" s="2">
        <v>9.61937E-4</v>
      </c>
      <c r="J886" s="1">
        <v>0.00898911</v>
      </c>
      <c r="K886" s="1">
        <v>0.0</v>
      </c>
      <c r="L886" s="1">
        <v>0.0</v>
      </c>
      <c r="M886" s="1">
        <v>0.0</v>
      </c>
      <c r="N886" s="1">
        <v>0.0</v>
      </c>
      <c r="O886" s="1">
        <v>0.0</v>
      </c>
      <c r="P886" s="1">
        <v>0.0</v>
      </c>
      <c r="Q886" s="1">
        <v>0.0</v>
      </c>
      <c r="R886" s="1">
        <v>0.0</v>
      </c>
      <c r="S886" s="1">
        <v>0.0</v>
      </c>
    </row>
    <row r="887" ht="14.25" hidden="1" customHeight="1">
      <c r="A887" s="1" t="s">
        <v>5</v>
      </c>
      <c r="B887" s="1" t="s">
        <v>57</v>
      </c>
      <c r="C887" s="1" t="s">
        <v>9</v>
      </c>
      <c r="D887" s="1" t="s">
        <v>11</v>
      </c>
      <c r="E887" s="1">
        <v>0.0</v>
      </c>
      <c r="F887" s="1">
        <v>0.0</v>
      </c>
      <c r="G887" s="2">
        <v>4.44E-5</v>
      </c>
      <c r="H887" s="1">
        <v>0.0</v>
      </c>
      <c r="I887" s="1">
        <v>0.0</v>
      </c>
      <c r="J887" s="1">
        <v>0.0</v>
      </c>
      <c r="K887" s="1">
        <v>0.0</v>
      </c>
      <c r="L887" s="1">
        <v>0.0</v>
      </c>
      <c r="M887" s="1">
        <v>0.0</v>
      </c>
      <c r="N887" s="1">
        <v>0.0</v>
      </c>
      <c r="O887" s="1">
        <v>0.0</v>
      </c>
      <c r="P887" s="1">
        <v>0.0</v>
      </c>
      <c r="Q887" s="1">
        <v>0.0</v>
      </c>
      <c r="R887" s="1">
        <v>0.0</v>
      </c>
      <c r="S887" s="1">
        <v>0.0</v>
      </c>
    </row>
    <row r="888" ht="14.25" hidden="1" customHeight="1">
      <c r="A888" s="1" t="s">
        <v>5</v>
      </c>
      <c r="B888" s="1" t="s">
        <v>57</v>
      </c>
      <c r="C888" s="1" t="s">
        <v>9</v>
      </c>
      <c r="D888" s="1" t="s">
        <v>12</v>
      </c>
      <c r="E888" s="1">
        <v>0.0</v>
      </c>
      <c r="F888" s="1">
        <v>0.0</v>
      </c>
      <c r="G888" s="2">
        <v>4.4405E-5</v>
      </c>
      <c r="H888" s="1">
        <v>0.0</v>
      </c>
      <c r="I888" s="1">
        <v>0.0</v>
      </c>
      <c r="J888" s="1">
        <v>0.0</v>
      </c>
      <c r="K888" s="1">
        <v>0.0</v>
      </c>
      <c r="L888" s="1">
        <v>0.0</v>
      </c>
      <c r="M888" s="1">
        <v>0.0</v>
      </c>
      <c r="N888" s="1">
        <v>0.0</v>
      </c>
      <c r="O888" s="1">
        <v>0.0</v>
      </c>
      <c r="P888" s="1">
        <v>0.0</v>
      </c>
      <c r="Q888" s="1">
        <v>0.0</v>
      </c>
      <c r="R888" s="1">
        <v>0.0</v>
      </c>
      <c r="S888" s="1">
        <v>0.0</v>
      </c>
    </row>
    <row r="889" ht="14.25" hidden="1" customHeight="1">
      <c r="A889" s="1" t="s">
        <v>5</v>
      </c>
      <c r="B889" s="1" t="s">
        <v>57</v>
      </c>
      <c r="C889" s="1" t="s">
        <v>9</v>
      </c>
      <c r="D889" s="1" t="s">
        <v>13</v>
      </c>
      <c r="E889" s="1">
        <v>0.0</v>
      </c>
      <c r="F889" s="1">
        <v>0.0</v>
      </c>
      <c r="G889" s="1">
        <v>0.0</v>
      </c>
      <c r="H889" s="2">
        <v>1.05435E-4</v>
      </c>
      <c r="I889" s="1">
        <v>0.0</v>
      </c>
      <c r="J889" s="1">
        <v>0.0</v>
      </c>
      <c r="K889" s="1">
        <v>0.0</v>
      </c>
      <c r="L889" s="1">
        <v>0.0</v>
      </c>
      <c r="M889" s="1">
        <v>0.0</v>
      </c>
      <c r="N889" s="1">
        <v>0.0</v>
      </c>
      <c r="O889" s="1">
        <v>0.0</v>
      </c>
      <c r="P889" s="1">
        <v>0.0</v>
      </c>
      <c r="Q889" s="1">
        <v>0.0</v>
      </c>
      <c r="R889" s="1">
        <v>0.0</v>
      </c>
      <c r="S889" s="1">
        <v>0.0</v>
      </c>
    </row>
    <row r="890" ht="14.25" hidden="1" customHeight="1">
      <c r="A890" s="1" t="s">
        <v>5</v>
      </c>
      <c r="B890" s="1" t="s">
        <v>57</v>
      </c>
      <c r="C890" s="1" t="s">
        <v>9</v>
      </c>
      <c r="D890" s="1" t="s">
        <v>14</v>
      </c>
      <c r="E890" s="1">
        <v>0.0</v>
      </c>
      <c r="F890" s="1">
        <v>0.0</v>
      </c>
      <c r="G890" s="1">
        <v>0.0</v>
      </c>
      <c r="H890" s="2">
        <v>7.76093E-5</v>
      </c>
      <c r="I890" s="1">
        <v>0.0</v>
      </c>
      <c r="J890" s="1">
        <v>0.0</v>
      </c>
      <c r="K890" s="1">
        <v>0.0</v>
      </c>
      <c r="L890" s="1">
        <v>0.0</v>
      </c>
      <c r="M890" s="1">
        <v>0.0</v>
      </c>
      <c r="N890" s="1">
        <v>0.0</v>
      </c>
      <c r="O890" s="1">
        <v>0.0</v>
      </c>
      <c r="P890" s="1">
        <v>0.0</v>
      </c>
      <c r="Q890" s="1">
        <v>0.0</v>
      </c>
      <c r="R890" s="1">
        <v>0.0</v>
      </c>
      <c r="S890" s="1">
        <v>0.0</v>
      </c>
    </row>
    <row r="891" ht="14.25" hidden="1" customHeight="1">
      <c r="A891" s="1" t="s">
        <v>5</v>
      </c>
      <c r="B891" s="1" t="s">
        <v>57</v>
      </c>
      <c r="C891" s="1" t="s">
        <v>15</v>
      </c>
      <c r="D891" s="1" t="s">
        <v>16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0.00650832</v>
      </c>
      <c r="K891" s="1">
        <v>0.01221312</v>
      </c>
      <c r="L891" s="1">
        <v>0.01905541</v>
      </c>
      <c r="M891" s="1">
        <v>0.02776922</v>
      </c>
      <c r="N891" s="1">
        <v>0.03596737</v>
      </c>
      <c r="O891" s="1">
        <v>0.044351314</v>
      </c>
      <c r="P891" s="1">
        <v>0.053095037</v>
      </c>
      <c r="Q891" s="1">
        <v>0.06190195</v>
      </c>
      <c r="R891" s="1">
        <v>0.07062357</v>
      </c>
      <c r="S891" s="1">
        <v>0.07925863</v>
      </c>
    </row>
    <row r="892" ht="14.25" customHeight="1">
      <c r="A892" s="1" t="s">
        <v>5</v>
      </c>
      <c r="B892" s="1" t="s">
        <v>57</v>
      </c>
      <c r="C892" s="1" t="s">
        <v>15</v>
      </c>
      <c r="D892" s="1" t="s">
        <v>14</v>
      </c>
      <c r="E892" s="1">
        <v>0.0</v>
      </c>
      <c r="F892" s="1">
        <v>0.0</v>
      </c>
      <c r="G892" s="1">
        <v>0.0</v>
      </c>
      <c r="H892" s="2">
        <v>1.11994E-5</v>
      </c>
      <c r="I892" s="2">
        <v>3.3806245E-4</v>
      </c>
      <c r="J892" s="1">
        <v>0.00472591629</v>
      </c>
      <c r="K892" s="1">
        <v>0.00805424671</v>
      </c>
      <c r="L892" s="1">
        <v>0.01073102814</v>
      </c>
      <c r="M892" s="1">
        <v>0.0144108865799999</v>
      </c>
      <c r="N892" s="1">
        <v>0.0166360626</v>
      </c>
      <c r="O892" s="1">
        <v>0.018854301</v>
      </c>
      <c r="P892" s="1">
        <v>0.020581532</v>
      </c>
      <c r="Q892" s="1">
        <v>0.022391175</v>
      </c>
      <c r="R892" s="1">
        <v>0.024196611</v>
      </c>
      <c r="S892" s="1">
        <v>0.026029362</v>
      </c>
    </row>
    <row r="893" ht="14.25" hidden="1" customHeight="1">
      <c r="A893" s="1" t="s">
        <v>5</v>
      </c>
      <c r="B893" s="1" t="s">
        <v>57</v>
      </c>
      <c r="C893" s="1" t="s">
        <v>17</v>
      </c>
      <c r="D893" s="1" t="s">
        <v>16</v>
      </c>
      <c r="E893" s="2">
        <v>1.06996E-5</v>
      </c>
      <c r="F893" s="2">
        <v>3.3299E-5</v>
      </c>
      <c r="G893" s="2">
        <v>5.06994E-5</v>
      </c>
      <c r="H893" s="2">
        <v>2.096814E-4</v>
      </c>
      <c r="I893" s="2">
        <v>1.647015E-4</v>
      </c>
      <c r="J893" s="2">
        <v>3.903697E-4</v>
      </c>
      <c r="K893" s="2">
        <v>4.783753E-4</v>
      </c>
      <c r="L893" s="2">
        <v>5.6554747E-4</v>
      </c>
      <c r="M893" s="2">
        <v>7.031256E-4</v>
      </c>
      <c r="N893" s="2">
        <v>8.51193799999999E-4</v>
      </c>
      <c r="O893" s="1">
        <v>0.0010564692</v>
      </c>
      <c r="P893" s="1">
        <v>0.0012992686</v>
      </c>
      <c r="Q893" s="1">
        <v>0.0015349415</v>
      </c>
      <c r="R893" s="1">
        <v>0.0017777976</v>
      </c>
      <c r="S893" s="1">
        <v>0.0020139636</v>
      </c>
    </row>
    <row r="894" ht="14.25" hidden="1" customHeight="1">
      <c r="A894" s="1" t="s">
        <v>5</v>
      </c>
      <c r="B894" s="1" t="s">
        <v>57</v>
      </c>
      <c r="C894" s="1" t="s">
        <v>17</v>
      </c>
      <c r="D894" s="1" t="s">
        <v>18</v>
      </c>
      <c r="E894" s="1">
        <v>0.00124231</v>
      </c>
      <c r="F894" s="1">
        <v>0.00386481</v>
      </c>
      <c r="G894" s="1">
        <v>0.0058815</v>
      </c>
      <c r="H894" s="1">
        <v>0.00518087</v>
      </c>
      <c r="I894" s="1">
        <v>0.0017521</v>
      </c>
      <c r="J894" s="1">
        <v>0.01002843</v>
      </c>
      <c r="K894" s="1">
        <v>0.01367428</v>
      </c>
      <c r="L894" s="1">
        <v>0.017774029</v>
      </c>
      <c r="M894" s="1">
        <v>0.02223226</v>
      </c>
      <c r="N894" s="1">
        <v>0.0268737</v>
      </c>
      <c r="O894" s="1">
        <v>0.031494413</v>
      </c>
      <c r="P894" s="1">
        <v>0.036043691</v>
      </c>
      <c r="Q894" s="1">
        <v>0.0404621939999999</v>
      </c>
      <c r="R894" s="1">
        <v>0.0446307289999999</v>
      </c>
      <c r="S894" s="1">
        <v>0.04835438</v>
      </c>
    </row>
    <row r="895" ht="14.25" hidden="1" customHeight="1">
      <c r="A895" s="1" t="s">
        <v>5</v>
      </c>
      <c r="B895" s="1" t="s">
        <v>57</v>
      </c>
      <c r="C895" s="1" t="s">
        <v>17</v>
      </c>
      <c r="D895" s="1" t="s">
        <v>19</v>
      </c>
      <c r="E895" s="2">
        <v>5.65502E-4</v>
      </c>
      <c r="F895" s="1">
        <v>0.0017592</v>
      </c>
      <c r="G895" s="1">
        <v>0.0026771</v>
      </c>
      <c r="H895" s="1">
        <v>0.002873902</v>
      </c>
      <c r="I895" s="2">
        <v>7.51568E-4</v>
      </c>
      <c r="J895" s="1">
        <v>0.004681439</v>
      </c>
      <c r="K895" s="1">
        <v>0.00633165999999999</v>
      </c>
      <c r="L895" s="1">
        <v>0.00829856999999999</v>
      </c>
      <c r="M895" s="1">
        <v>0.010473361</v>
      </c>
      <c r="N895" s="1">
        <v>0.012871499</v>
      </c>
      <c r="O895" s="1">
        <v>0.01546231</v>
      </c>
      <c r="P895" s="1">
        <v>0.01818113</v>
      </c>
      <c r="Q895" s="1">
        <v>0.02095183</v>
      </c>
      <c r="R895" s="1">
        <v>0.02369761</v>
      </c>
      <c r="S895" s="1">
        <v>0.02635151</v>
      </c>
    </row>
    <row r="896" ht="14.25" hidden="1" customHeight="1">
      <c r="A896" s="1" t="s">
        <v>5</v>
      </c>
      <c r="B896" s="1" t="s">
        <v>57</v>
      </c>
      <c r="C896" s="1" t="s">
        <v>17</v>
      </c>
      <c r="D896" s="1" t="s">
        <v>8</v>
      </c>
      <c r="E896" s="2">
        <v>2.50582E-4</v>
      </c>
      <c r="F896" s="2">
        <v>7.79631E-4</v>
      </c>
      <c r="G896" s="1">
        <v>0.00118639</v>
      </c>
      <c r="H896" s="1">
        <v>0.00216989999999999</v>
      </c>
      <c r="I896" s="1">
        <v>0.00139556</v>
      </c>
      <c r="J896" s="1">
        <v>0.00549750899999999</v>
      </c>
      <c r="K896" s="1">
        <v>0.007657186</v>
      </c>
      <c r="L896" s="1">
        <v>0.01010486</v>
      </c>
      <c r="M896" s="1">
        <v>0.01274354</v>
      </c>
      <c r="N896" s="1">
        <v>0.01556063</v>
      </c>
      <c r="O896" s="1">
        <v>0.01858501</v>
      </c>
      <c r="P896" s="1">
        <v>0.02171934</v>
      </c>
      <c r="Q896" s="1">
        <v>0.02487388</v>
      </c>
      <c r="R896" s="1">
        <v>0.02795561</v>
      </c>
      <c r="S896" s="1">
        <v>0.03089171</v>
      </c>
    </row>
    <row r="897" ht="14.25" hidden="1" customHeight="1">
      <c r="A897" s="1" t="s">
        <v>5</v>
      </c>
      <c r="B897" s="1" t="s">
        <v>57</v>
      </c>
      <c r="C897" s="1" t="s">
        <v>17</v>
      </c>
      <c r="D897" s="1" t="s">
        <v>20</v>
      </c>
      <c r="E897" s="2">
        <v>1.88421E-4</v>
      </c>
      <c r="F897" s="2">
        <v>5.86316E-4</v>
      </c>
      <c r="G897" s="2">
        <v>8.92632E-4</v>
      </c>
      <c r="H897" s="2">
        <v>9.83254E-4</v>
      </c>
      <c r="I897" s="2">
        <v>5.41651E-4</v>
      </c>
      <c r="J897" s="1">
        <v>0.001657274</v>
      </c>
      <c r="K897" s="1">
        <v>0.002265259</v>
      </c>
      <c r="L897" s="1">
        <v>0.00291452599999999</v>
      </c>
      <c r="M897" s="1">
        <v>0.003644272</v>
      </c>
      <c r="N897" s="1">
        <v>0.004453584</v>
      </c>
      <c r="O897" s="1">
        <v>0.005318164</v>
      </c>
      <c r="P897" s="1">
        <v>0.006210712</v>
      </c>
      <c r="Q897" s="1">
        <v>0.00711109</v>
      </c>
      <c r="R897" s="1">
        <v>0.00799235</v>
      </c>
      <c r="S897" s="1">
        <v>0.00882983</v>
      </c>
    </row>
    <row r="898" ht="14.25" hidden="1" customHeight="1">
      <c r="A898" s="1" t="s">
        <v>5</v>
      </c>
      <c r="B898" s="1" t="s">
        <v>57</v>
      </c>
      <c r="C898" s="1" t="s">
        <v>21</v>
      </c>
      <c r="D898" s="1" t="s">
        <v>10</v>
      </c>
      <c r="E898" s="2">
        <v>5.25672E-4</v>
      </c>
      <c r="F898" s="1">
        <v>0.00163543</v>
      </c>
      <c r="G898" s="1">
        <v>0.00394935</v>
      </c>
      <c r="H898" s="1">
        <v>0.00439219</v>
      </c>
      <c r="I898" s="1">
        <v>0.003752667</v>
      </c>
      <c r="J898" s="1">
        <v>0.00253219145</v>
      </c>
      <c r="K898" s="1">
        <v>0.00610373</v>
      </c>
      <c r="L898" s="1">
        <v>0.00665009828</v>
      </c>
      <c r="M898" s="1">
        <v>0.00691488009</v>
      </c>
      <c r="N898" s="1">
        <v>0.00712937999999999</v>
      </c>
      <c r="O898" s="1">
        <v>0.007071687</v>
      </c>
      <c r="P898" s="1">
        <v>0.007094783</v>
      </c>
      <c r="Q898" s="1">
        <v>0.007069217</v>
      </c>
      <c r="R898" s="1">
        <v>0.006989264</v>
      </c>
      <c r="S898" s="1">
        <v>0.00685682699999999</v>
      </c>
    </row>
    <row r="899" ht="14.25" hidden="1" customHeight="1">
      <c r="A899" s="1" t="s">
        <v>5</v>
      </c>
      <c r="B899" s="1" t="s">
        <v>57</v>
      </c>
      <c r="C899" s="1" t="s">
        <v>21</v>
      </c>
      <c r="D899" s="1" t="s">
        <v>11</v>
      </c>
      <c r="E899" s="2">
        <v>1.05E-5</v>
      </c>
      <c r="F899" s="2">
        <v>3.27E-5</v>
      </c>
      <c r="G899" s="2">
        <v>7.90001E-5</v>
      </c>
      <c r="H899" s="2">
        <v>2.808086E-4</v>
      </c>
      <c r="I899" s="2">
        <v>1.0729208392E-4</v>
      </c>
      <c r="J899" s="1">
        <v>0.023719800471954</v>
      </c>
      <c r="K899" s="1">
        <v>0.0271457999999999</v>
      </c>
      <c r="L899" s="1">
        <v>0.02099932</v>
      </c>
      <c r="M899" s="1">
        <v>0.01878698</v>
      </c>
      <c r="N899" s="1">
        <v>0.0208638</v>
      </c>
      <c r="O899" s="1">
        <v>0.02345955</v>
      </c>
      <c r="P899" s="1">
        <v>0.02326408</v>
      </c>
      <c r="Q899" s="1">
        <v>0.02221805</v>
      </c>
      <c r="R899" s="1">
        <v>0.02179806</v>
      </c>
      <c r="S899" s="1">
        <v>0.0216303399999999</v>
      </c>
    </row>
    <row r="900" ht="14.25" hidden="1" customHeight="1">
      <c r="A900" s="1" t="s">
        <v>5</v>
      </c>
      <c r="B900" s="1" t="s">
        <v>57</v>
      </c>
      <c r="C900" s="1" t="s">
        <v>21</v>
      </c>
      <c r="D900" s="1" t="s">
        <v>22</v>
      </c>
      <c r="E900" s="2">
        <v>1.892E-4</v>
      </c>
      <c r="F900" s="2">
        <v>5.887E-4</v>
      </c>
      <c r="G900" s="1">
        <v>0.0014218</v>
      </c>
      <c r="H900" s="1">
        <v>0.001403495</v>
      </c>
      <c r="I900" s="1">
        <v>0.00175167</v>
      </c>
      <c r="J900" s="1">
        <v>0.005672128</v>
      </c>
      <c r="K900" s="1">
        <v>0.00781331</v>
      </c>
      <c r="L900" s="1">
        <v>0.00902427</v>
      </c>
      <c r="M900" s="1">
        <v>0.00954165</v>
      </c>
      <c r="N900" s="1">
        <v>0.01001832</v>
      </c>
      <c r="O900" s="1">
        <v>0.01036991</v>
      </c>
      <c r="P900" s="1">
        <v>0.01023822</v>
      </c>
      <c r="Q900" s="1">
        <v>0.01015222</v>
      </c>
      <c r="R900" s="1">
        <v>0.01007053</v>
      </c>
      <c r="S900" s="1">
        <v>0.00996242</v>
      </c>
    </row>
    <row r="901" ht="14.25" hidden="1" customHeight="1">
      <c r="A901" s="1" t="s">
        <v>5</v>
      </c>
      <c r="B901" s="1" t="s">
        <v>57</v>
      </c>
      <c r="C901" s="1" t="s">
        <v>21</v>
      </c>
      <c r="D901" s="1" t="s">
        <v>23</v>
      </c>
      <c r="E901" s="2">
        <v>1.261899E-4</v>
      </c>
      <c r="F901" s="2">
        <v>3.925127E-4</v>
      </c>
      <c r="G901" s="2">
        <v>9.47794E-4</v>
      </c>
      <c r="H901" s="1">
        <v>0.001184804</v>
      </c>
      <c r="I901" s="1">
        <v>0.002401047</v>
      </c>
      <c r="J901" s="1">
        <v>0.00838994599999999</v>
      </c>
      <c r="K901" s="1">
        <v>0.0141862099999999</v>
      </c>
      <c r="L901" s="1">
        <v>0.02001988</v>
      </c>
      <c r="M901" s="1">
        <v>0.02480939</v>
      </c>
      <c r="N901" s="1">
        <v>0.0283856899999999</v>
      </c>
      <c r="O901" s="1">
        <v>0.0307399</v>
      </c>
      <c r="P901" s="1">
        <v>0.03364052</v>
      </c>
      <c r="Q901" s="1">
        <v>0.03621672</v>
      </c>
      <c r="R901" s="1">
        <v>0.03838358</v>
      </c>
      <c r="S901" s="1">
        <v>0.03998424</v>
      </c>
    </row>
    <row r="902" ht="14.25" hidden="1" customHeight="1">
      <c r="A902" s="1" t="s">
        <v>5</v>
      </c>
      <c r="B902" s="1" t="s">
        <v>57</v>
      </c>
      <c r="C902" s="1" t="s">
        <v>21</v>
      </c>
      <c r="D902" s="1" t="s">
        <v>24</v>
      </c>
      <c r="E902" s="2">
        <v>3.721962E-4</v>
      </c>
      <c r="F902" s="1">
        <v>0.001157803</v>
      </c>
      <c r="G902" s="1">
        <v>0.002796201</v>
      </c>
      <c r="H902" s="1">
        <v>0.003440647</v>
      </c>
      <c r="I902" s="1">
        <v>0.002742433</v>
      </c>
      <c r="J902" s="1">
        <v>0.00302258299999999</v>
      </c>
      <c r="K902" s="1">
        <v>0.002824146</v>
      </c>
      <c r="L902" s="1">
        <v>0.002782666</v>
      </c>
      <c r="M902" s="1">
        <v>0.002708748</v>
      </c>
      <c r="N902" s="1">
        <v>0.00267323799999999</v>
      </c>
      <c r="O902" s="1">
        <v>0.002608342</v>
      </c>
      <c r="P902" s="1">
        <v>0.002625536</v>
      </c>
      <c r="Q902" s="1">
        <v>0.00262038</v>
      </c>
      <c r="R902" s="1">
        <v>0.002599285</v>
      </c>
      <c r="S902" s="1">
        <v>0.002560173</v>
      </c>
    </row>
    <row r="903" ht="14.25" hidden="1" customHeight="1">
      <c r="A903" s="1" t="s">
        <v>5</v>
      </c>
      <c r="B903" s="1" t="s">
        <v>57</v>
      </c>
      <c r="C903" s="1" t="s">
        <v>21</v>
      </c>
      <c r="D903" s="1" t="s">
        <v>12</v>
      </c>
      <c r="E903" s="2">
        <v>1.05E-5</v>
      </c>
      <c r="F903" s="2">
        <v>3.27E-5</v>
      </c>
      <c r="G903" s="2">
        <v>7.90089E-5</v>
      </c>
      <c r="H903" s="2">
        <v>7.60577E-5</v>
      </c>
      <c r="I903" s="2">
        <v>1.20505E-4</v>
      </c>
      <c r="J903" s="2">
        <v>3.03921E-4</v>
      </c>
      <c r="K903" s="2">
        <v>4.02845E-4</v>
      </c>
      <c r="L903" s="2">
        <v>4.56425E-4</v>
      </c>
      <c r="M903" s="2">
        <v>4.79436E-4</v>
      </c>
      <c r="N903" s="2">
        <v>5.02473E-4</v>
      </c>
      <c r="O903" s="2">
        <v>5.1975E-4</v>
      </c>
      <c r="P903" s="2">
        <v>5.12818E-4</v>
      </c>
      <c r="Q903" s="2">
        <v>5.08414E-4</v>
      </c>
      <c r="R903" s="2">
        <v>5.04295E-4</v>
      </c>
      <c r="S903" s="2">
        <v>4.98874E-4</v>
      </c>
    </row>
    <row r="904" ht="14.25" hidden="1" customHeight="1">
      <c r="A904" s="1" t="s">
        <v>5</v>
      </c>
      <c r="B904" s="1" t="s">
        <v>57</v>
      </c>
      <c r="C904" s="1" t="s">
        <v>21</v>
      </c>
      <c r="D904" s="1" t="s">
        <v>13</v>
      </c>
      <c r="E904" s="2">
        <v>7.71752E-4</v>
      </c>
      <c r="F904" s="1">
        <v>0.0024006</v>
      </c>
      <c r="G904" s="1">
        <v>0.0058585</v>
      </c>
      <c r="H904" s="1">
        <v>0.004013421</v>
      </c>
      <c r="I904" s="1">
        <v>0.003338814</v>
      </c>
      <c r="J904" s="1">
        <v>0.00385671229999999</v>
      </c>
      <c r="K904" s="1">
        <v>0.0038251428</v>
      </c>
      <c r="L904" s="1">
        <v>0.00532485</v>
      </c>
      <c r="M904" s="1">
        <v>0.00747504199999999</v>
      </c>
      <c r="N904" s="1">
        <v>0.010370716</v>
      </c>
      <c r="O904" s="1">
        <v>0.013233795</v>
      </c>
      <c r="P904" s="1">
        <v>0.015802108</v>
      </c>
      <c r="Q904" s="1">
        <v>0.0181645</v>
      </c>
      <c r="R904" s="1">
        <v>0.0203387999999999</v>
      </c>
      <c r="S904" s="1">
        <v>0.02245119</v>
      </c>
    </row>
    <row r="905" ht="14.25" hidden="1" customHeight="1">
      <c r="A905" s="1" t="s">
        <v>5</v>
      </c>
      <c r="B905" s="1" t="s">
        <v>57</v>
      </c>
      <c r="C905" s="1" t="s">
        <v>21</v>
      </c>
      <c r="D905" s="1" t="s">
        <v>14</v>
      </c>
      <c r="E905" s="2">
        <v>1.06999E-5</v>
      </c>
      <c r="F905" s="2">
        <v>3.32997E-5</v>
      </c>
      <c r="G905" s="2">
        <v>8.13991E-5</v>
      </c>
      <c r="H905" s="2">
        <v>5.80455E-5</v>
      </c>
      <c r="I905" s="1">
        <v>0.00151129175</v>
      </c>
      <c r="J905" s="2">
        <v>6.769978E-4</v>
      </c>
      <c r="K905" s="2">
        <v>2.50492E-5</v>
      </c>
      <c r="L905" s="2">
        <v>1.96598E-5</v>
      </c>
      <c r="M905" s="2">
        <v>2.68257699999999E-5</v>
      </c>
      <c r="N905" s="2">
        <v>3.069251E-5</v>
      </c>
      <c r="O905" s="2">
        <v>3.67939E-5</v>
      </c>
      <c r="P905" s="2">
        <v>4.34512999999999E-5</v>
      </c>
      <c r="Q905" s="2">
        <v>4.68321E-5</v>
      </c>
      <c r="R905" s="2">
        <v>5.07954E-5</v>
      </c>
      <c r="S905" s="2">
        <v>5.50524E-5</v>
      </c>
    </row>
    <row r="906" ht="14.25" hidden="1" customHeight="1">
      <c r="A906" s="1" t="s">
        <v>5</v>
      </c>
      <c r="B906" s="1" t="s">
        <v>57</v>
      </c>
      <c r="C906" s="1" t="s">
        <v>21</v>
      </c>
      <c r="D906" s="1" t="s">
        <v>25</v>
      </c>
      <c r="E906" s="2">
        <v>4.073E-4</v>
      </c>
      <c r="F906" s="1">
        <v>0.001267</v>
      </c>
      <c r="G906" s="1">
        <v>0.003092</v>
      </c>
      <c r="H906" s="1">
        <v>0.00324059</v>
      </c>
      <c r="I906" s="1">
        <v>0.003902675</v>
      </c>
      <c r="J906" s="1">
        <v>0.0044301</v>
      </c>
      <c r="K906" s="1">
        <v>0.00412962</v>
      </c>
      <c r="L906" s="1">
        <v>0.00395495</v>
      </c>
      <c r="M906" s="1">
        <v>0.00347179</v>
      </c>
      <c r="N906" s="1">
        <v>0.00381219</v>
      </c>
      <c r="O906" s="1">
        <v>0.00424918</v>
      </c>
      <c r="P906" s="1">
        <v>0.00472099999999999</v>
      </c>
      <c r="Q906" s="1">
        <v>0.00526768</v>
      </c>
      <c r="R906" s="1">
        <v>0.00581665999999999</v>
      </c>
      <c r="S906" s="1">
        <v>0.00629852</v>
      </c>
    </row>
    <row r="907" ht="14.25" hidden="1" customHeight="1">
      <c r="A907" s="1" t="s">
        <v>5</v>
      </c>
      <c r="B907" s="1" t="s">
        <v>57</v>
      </c>
      <c r="C907" s="1" t="s">
        <v>21</v>
      </c>
      <c r="D907" s="1" t="s">
        <v>26</v>
      </c>
      <c r="E907" s="2">
        <v>4.50106299999999E-4</v>
      </c>
      <c r="F907" s="1">
        <v>0.001400401</v>
      </c>
      <c r="G907" s="1">
        <v>0.003417386</v>
      </c>
      <c r="H907" s="1">
        <v>0.004294828</v>
      </c>
      <c r="I907" s="1">
        <v>0.006076815</v>
      </c>
      <c r="J907" s="1">
        <v>0.010407776</v>
      </c>
      <c r="K907" s="1">
        <v>0.01232733</v>
      </c>
      <c r="L907" s="1">
        <v>0.01483166</v>
      </c>
      <c r="M907" s="1">
        <v>0.0164157</v>
      </c>
      <c r="N907" s="1">
        <v>0.02297793</v>
      </c>
      <c r="O907" s="1">
        <v>0.03147846</v>
      </c>
      <c r="P907" s="1">
        <v>0.04028847</v>
      </c>
      <c r="Q907" s="1">
        <v>0.05066027</v>
      </c>
      <c r="R907" s="1">
        <v>0.06207055</v>
      </c>
      <c r="S907" s="1">
        <v>0.0734595</v>
      </c>
    </row>
    <row r="908" ht="14.25" hidden="1" customHeight="1">
      <c r="A908" s="1" t="s">
        <v>5</v>
      </c>
      <c r="B908" s="1" t="s">
        <v>57</v>
      </c>
      <c r="C908" s="1" t="s">
        <v>21</v>
      </c>
      <c r="D908" s="1" t="s">
        <v>27</v>
      </c>
      <c r="E908" s="2">
        <v>4.909E-4</v>
      </c>
      <c r="F908" s="1">
        <v>0.001527099</v>
      </c>
      <c r="G908" s="1">
        <v>0.0037266</v>
      </c>
      <c r="H908" s="1">
        <v>0.005089899</v>
      </c>
      <c r="I908" s="1">
        <v>0.005066378</v>
      </c>
      <c r="J908" s="1">
        <v>0.008703051</v>
      </c>
      <c r="K908" s="1">
        <v>0.009705602</v>
      </c>
      <c r="L908" s="1">
        <v>0.010876034</v>
      </c>
      <c r="M908" s="1">
        <v>0.01225501</v>
      </c>
      <c r="N908" s="1">
        <v>0.01354676</v>
      </c>
      <c r="O908" s="1">
        <v>0.01485469</v>
      </c>
      <c r="P908" s="1">
        <v>0.01640167</v>
      </c>
      <c r="Q908" s="1">
        <v>0.0180684799999999</v>
      </c>
      <c r="R908" s="1">
        <v>0.01968647</v>
      </c>
      <c r="S908" s="1">
        <v>0.0212618799999999</v>
      </c>
    </row>
    <row r="909" ht="14.25" hidden="1" customHeight="1">
      <c r="A909" s="1" t="s">
        <v>5</v>
      </c>
      <c r="B909" s="1" t="s">
        <v>57</v>
      </c>
      <c r="C909" s="1" t="s">
        <v>21</v>
      </c>
      <c r="D909" s="1" t="s">
        <v>28</v>
      </c>
      <c r="E909" s="2">
        <v>2.14E-5</v>
      </c>
      <c r="F909" s="2">
        <v>6.67E-5</v>
      </c>
      <c r="G909" s="2">
        <v>1.627E-4</v>
      </c>
      <c r="H909" s="2">
        <v>1.42549E-4</v>
      </c>
      <c r="I909" s="2">
        <v>1.59536E-4</v>
      </c>
      <c r="J909" s="2">
        <v>1.88749E-4</v>
      </c>
      <c r="K909" s="2">
        <v>1.74499E-4</v>
      </c>
      <c r="L909" s="2">
        <v>1.66622E-4</v>
      </c>
      <c r="M909" s="2">
        <v>1.4616E-4</v>
      </c>
      <c r="N909" s="2">
        <v>1.60475E-4</v>
      </c>
      <c r="O909" s="2">
        <v>1.7887E-4</v>
      </c>
      <c r="P909" s="2">
        <v>1.98731E-4</v>
      </c>
      <c r="Q909" s="2">
        <v>2.21744E-4</v>
      </c>
      <c r="R909" s="2">
        <v>2.44853E-4</v>
      </c>
      <c r="S909" s="2">
        <v>2.65137E-4</v>
      </c>
    </row>
    <row r="910" ht="14.25" hidden="1" customHeight="1">
      <c r="A910" s="1" t="s">
        <v>5</v>
      </c>
      <c r="B910" s="1" t="s">
        <v>57</v>
      </c>
      <c r="C910" s="1" t="s">
        <v>29</v>
      </c>
      <c r="D910" s="1" t="s">
        <v>16</v>
      </c>
      <c r="E910" s="1">
        <v>0.00158184</v>
      </c>
      <c r="F910" s="1">
        <v>0.00303691</v>
      </c>
      <c r="G910" s="1">
        <v>0.00722572</v>
      </c>
      <c r="H910" s="1">
        <v>0.0073142</v>
      </c>
      <c r="I910" s="1">
        <v>0.00562577</v>
      </c>
      <c r="J910" s="1">
        <v>0.00751768</v>
      </c>
      <c r="K910" s="1">
        <v>0.007500089</v>
      </c>
      <c r="L910" s="1">
        <v>0.007440834</v>
      </c>
      <c r="M910" s="1">
        <v>0.006671653</v>
      </c>
      <c r="N910" s="1">
        <v>0.00706207299999999</v>
      </c>
      <c r="O910" s="1">
        <v>0.007777001</v>
      </c>
      <c r="P910" s="1">
        <v>0.008615587</v>
      </c>
      <c r="Q910" s="1">
        <v>0.009660815</v>
      </c>
      <c r="R910" s="1">
        <v>0.010798526</v>
      </c>
      <c r="S910" s="1">
        <v>0.011834151</v>
      </c>
    </row>
    <row r="911" ht="14.25" hidden="1" customHeight="1">
      <c r="A911" s="1" t="s">
        <v>5</v>
      </c>
      <c r="B911" s="1" t="s">
        <v>57</v>
      </c>
      <c r="C911" s="1" t="s">
        <v>29</v>
      </c>
      <c r="D911" s="1" t="s">
        <v>8</v>
      </c>
      <c r="E911" s="2">
        <v>4.64966E-5</v>
      </c>
      <c r="F911" s="2">
        <v>8.93035E-5</v>
      </c>
      <c r="G911" s="2">
        <v>2.12499E-4</v>
      </c>
      <c r="H911" s="2">
        <v>1.64094694599999E-4</v>
      </c>
      <c r="I911" s="2">
        <v>1.24605752E-4</v>
      </c>
      <c r="J911" s="2">
        <v>1.321398596E-4</v>
      </c>
      <c r="K911" s="2">
        <v>1.198411473E-4</v>
      </c>
      <c r="L911" s="2">
        <v>1.13202035E-4</v>
      </c>
      <c r="M911" s="2">
        <v>8.214337887E-5</v>
      </c>
      <c r="N911" s="2">
        <v>1.0006123E-4</v>
      </c>
      <c r="O911" s="2">
        <v>1.1610237E-4</v>
      </c>
      <c r="P911" s="2">
        <v>1.3096996E-4</v>
      </c>
      <c r="Q911" s="2">
        <v>1.4775205E-4</v>
      </c>
      <c r="R911" s="2">
        <v>1.6473664E-4</v>
      </c>
      <c r="S911" s="2">
        <v>1.8055315E-4</v>
      </c>
    </row>
    <row r="912" ht="14.25" hidden="1" customHeight="1">
      <c r="A912" s="1" t="s">
        <v>5</v>
      </c>
      <c r="B912" s="1" t="s">
        <v>57</v>
      </c>
      <c r="C912" s="1" t="s">
        <v>29</v>
      </c>
      <c r="D912" s="1" t="s">
        <v>10</v>
      </c>
      <c r="E912" s="2">
        <v>2.38987E-5</v>
      </c>
      <c r="F912" s="2">
        <v>4.59008E-5</v>
      </c>
      <c r="G912" s="2">
        <v>1.82998E-5</v>
      </c>
      <c r="H912" s="1">
        <v>0.00167804539999999</v>
      </c>
      <c r="I912" s="1">
        <v>0.0014712243</v>
      </c>
      <c r="J912" s="1">
        <v>0.0012193862914</v>
      </c>
      <c r="K912" s="2">
        <v>8.745527175E-4</v>
      </c>
      <c r="L912" s="2">
        <v>5.114514816E-4</v>
      </c>
      <c r="M912" s="2">
        <v>2.585380707E-4</v>
      </c>
      <c r="N912" s="2">
        <v>3.40840998E-5</v>
      </c>
      <c r="O912" s="2">
        <v>2.709460385E-5</v>
      </c>
      <c r="P912" s="2">
        <v>2.190428E-5</v>
      </c>
      <c r="Q912" s="2">
        <v>1.685682E-5</v>
      </c>
      <c r="R912" s="2">
        <v>1.4722066E-5</v>
      </c>
      <c r="S912" s="2">
        <v>1.3457497E-5</v>
      </c>
    </row>
    <row r="913" ht="14.25" hidden="1" customHeight="1">
      <c r="A913" s="1" t="s">
        <v>5</v>
      </c>
      <c r="B913" s="1" t="s">
        <v>57</v>
      </c>
      <c r="C913" s="1" t="s">
        <v>29</v>
      </c>
      <c r="D913" s="1" t="s">
        <v>11</v>
      </c>
      <c r="E913" s="1">
        <v>0.00802571</v>
      </c>
      <c r="F913" s="1">
        <v>0.0154081</v>
      </c>
      <c r="G913" s="1">
        <v>0.00613981</v>
      </c>
      <c r="H913" s="1">
        <v>0.00479832189999999</v>
      </c>
      <c r="I913" s="1">
        <v>0.00402883069999999</v>
      </c>
      <c r="J913" s="1">
        <v>0.0896273215</v>
      </c>
      <c r="K913" s="1">
        <v>0.1432044209</v>
      </c>
      <c r="L913" s="1">
        <v>0.1786076303</v>
      </c>
      <c r="M913" s="1">
        <v>0.19441918115</v>
      </c>
      <c r="N913" s="1">
        <v>0.2059637</v>
      </c>
      <c r="O913" s="1">
        <v>0.2145587</v>
      </c>
      <c r="P913" s="1">
        <v>0.21155473</v>
      </c>
      <c r="Q913" s="1">
        <v>0.21064426</v>
      </c>
      <c r="R913" s="1">
        <v>0.20917498</v>
      </c>
      <c r="S913" s="1">
        <v>0.20690478</v>
      </c>
    </row>
    <row r="914" ht="14.25" hidden="1" customHeight="1">
      <c r="A914" s="1" t="s">
        <v>5</v>
      </c>
      <c r="B914" s="1" t="s">
        <v>57</v>
      </c>
      <c r="C914" s="1" t="s">
        <v>29</v>
      </c>
      <c r="D914" s="1" t="s">
        <v>13</v>
      </c>
      <c r="E914" s="2">
        <v>2.39016E-5</v>
      </c>
      <c r="F914" s="2">
        <v>4.6E-5</v>
      </c>
      <c r="G914" s="2">
        <v>2.80005E-5</v>
      </c>
      <c r="H914" s="1">
        <v>0.0129840132</v>
      </c>
      <c r="I914" s="1">
        <v>0.0156727594</v>
      </c>
      <c r="J914" s="1">
        <v>0.0187578602</v>
      </c>
      <c r="K914" s="1">
        <v>0.02357688101</v>
      </c>
      <c r="L914" s="1">
        <v>0.02614540725</v>
      </c>
      <c r="M914" s="1">
        <v>0.02870317</v>
      </c>
      <c r="N914" s="1">
        <v>0.0302970389999999</v>
      </c>
      <c r="O914" s="1">
        <v>0.032366785</v>
      </c>
      <c r="P914" s="1">
        <v>0.03411339</v>
      </c>
      <c r="Q914" s="1">
        <v>0.03630509</v>
      </c>
      <c r="R914" s="1">
        <v>0.03875866</v>
      </c>
      <c r="S914" s="1">
        <v>0.04110587</v>
      </c>
    </row>
    <row r="915" ht="14.25" hidden="1" customHeight="1">
      <c r="A915" s="1" t="s">
        <v>5</v>
      </c>
      <c r="B915" s="1" t="s">
        <v>57</v>
      </c>
      <c r="C915" s="1" t="s">
        <v>29</v>
      </c>
      <c r="D915" s="1" t="s">
        <v>14</v>
      </c>
      <c r="E915" s="1">
        <v>0.015057</v>
      </c>
      <c r="F915" s="1">
        <v>0.0289069</v>
      </c>
      <c r="G915" s="1">
        <v>0.0175886</v>
      </c>
      <c r="H915" s="1">
        <v>0.014018934</v>
      </c>
      <c r="I915" s="1">
        <v>0.013099871</v>
      </c>
      <c r="J915" s="1">
        <v>0.011396534</v>
      </c>
      <c r="K915" s="1">
        <v>0.009178339</v>
      </c>
      <c r="L915" s="1">
        <v>0.007131323</v>
      </c>
      <c r="M915" s="1">
        <v>0.0035816472</v>
      </c>
      <c r="N915" s="1">
        <v>0.003893983</v>
      </c>
      <c r="O915" s="1">
        <v>0.004479604</v>
      </c>
      <c r="P915" s="1">
        <v>0.005262429</v>
      </c>
      <c r="Q915" s="1">
        <v>0.00609329</v>
      </c>
      <c r="R915" s="1">
        <v>0.006971605</v>
      </c>
      <c r="S915" s="1">
        <v>0.007807329</v>
      </c>
    </row>
    <row r="916" ht="14.25" hidden="1" customHeight="1">
      <c r="A916" s="1" t="s">
        <v>5</v>
      </c>
      <c r="B916" s="1" t="s">
        <v>57</v>
      </c>
      <c r="C916" s="1" t="s">
        <v>31</v>
      </c>
      <c r="D916" s="1" t="s">
        <v>11</v>
      </c>
      <c r="E916" s="1">
        <v>0.545367</v>
      </c>
      <c r="F916" s="1">
        <v>0.638978</v>
      </c>
      <c r="G916" s="1">
        <v>0.679145</v>
      </c>
      <c r="H916" s="1">
        <v>0.610034</v>
      </c>
      <c r="I916" s="1">
        <v>0.967488</v>
      </c>
      <c r="J916" s="1">
        <v>0.347182</v>
      </c>
      <c r="K916" s="1">
        <v>0.217624</v>
      </c>
      <c r="L916" s="1">
        <v>0.149672</v>
      </c>
      <c r="M916" s="1">
        <v>0.105249</v>
      </c>
      <c r="N916" s="1">
        <v>0.0549561</v>
      </c>
      <c r="O916" s="1">
        <v>0.0</v>
      </c>
      <c r="P916" s="1">
        <v>0.0</v>
      </c>
      <c r="Q916" s="1">
        <v>0.0</v>
      </c>
      <c r="R916" s="1">
        <v>0.0</v>
      </c>
      <c r="S916" s="1">
        <v>0.0</v>
      </c>
    </row>
    <row r="917" ht="14.25" hidden="1" customHeight="1">
      <c r="A917" s="1" t="s">
        <v>5</v>
      </c>
      <c r="B917" s="1" t="s">
        <v>58</v>
      </c>
      <c r="C917" s="1" t="s">
        <v>7</v>
      </c>
      <c r="D917" s="1" t="s">
        <v>8</v>
      </c>
      <c r="E917" s="2">
        <v>9.96416E-5</v>
      </c>
      <c r="F917" s="2">
        <v>1.2678E-4</v>
      </c>
      <c r="G917" s="2">
        <v>1.35754E-4</v>
      </c>
      <c r="H917" s="2">
        <v>2.99352E-5</v>
      </c>
      <c r="I917" s="1">
        <v>0.0</v>
      </c>
      <c r="J917" s="1">
        <v>0.0</v>
      </c>
      <c r="K917" s="1">
        <v>0.0</v>
      </c>
      <c r="L917" s="1">
        <v>0.0</v>
      </c>
      <c r="M917" s="1">
        <v>0.0</v>
      </c>
      <c r="N917" s="1">
        <v>0.0</v>
      </c>
      <c r="O917" s="1">
        <v>0.0</v>
      </c>
      <c r="P917" s="1">
        <v>0.0</v>
      </c>
      <c r="Q917" s="1">
        <v>0.0</v>
      </c>
      <c r="R917" s="1">
        <v>0.0</v>
      </c>
      <c r="S917" s="1">
        <v>0.0</v>
      </c>
    </row>
    <row r="918" ht="14.25" hidden="1" customHeight="1">
      <c r="A918" s="1" t="s">
        <v>5</v>
      </c>
      <c r="B918" s="1" t="s">
        <v>58</v>
      </c>
      <c r="C918" s="1" t="s">
        <v>9</v>
      </c>
      <c r="D918" s="1" t="s">
        <v>8</v>
      </c>
      <c r="E918" s="2">
        <v>8.70363E-6</v>
      </c>
      <c r="F918" s="2">
        <v>7.59878E-6</v>
      </c>
      <c r="G918" s="2">
        <v>1.12044E-5</v>
      </c>
      <c r="H918" s="2">
        <v>2.11336E-6</v>
      </c>
      <c r="I918" s="1">
        <v>0.0</v>
      </c>
      <c r="J918" s="1">
        <v>0.0</v>
      </c>
      <c r="K918" s="1">
        <v>0.0</v>
      </c>
      <c r="L918" s="1">
        <v>0.0</v>
      </c>
      <c r="M918" s="1">
        <v>0.0</v>
      </c>
      <c r="N918" s="1">
        <v>0.0</v>
      </c>
      <c r="O918" s="1">
        <v>0.0</v>
      </c>
      <c r="P918" s="1">
        <v>0.0</v>
      </c>
      <c r="Q918" s="1">
        <v>0.0</v>
      </c>
      <c r="R918" s="1">
        <v>0.0</v>
      </c>
      <c r="S918" s="1">
        <v>0.0</v>
      </c>
    </row>
    <row r="919" ht="14.25" hidden="1" customHeight="1">
      <c r="A919" s="1" t="s">
        <v>5</v>
      </c>
      <c r="B919" s="1" t="s">
        <v>58</v>
      </c>
      <c r="C919" s="1" t="s">
        <v>9</v>
      </c>
      <c r="D919" s="1" t="s">
        <v>10</v>
      </c>
      <c r="E919" s="1">
        <v>0.0</v>
      </c>
      <c r="F919" s="1">
        <v>0.0</v>
      </c>
      <c r="G919" s="2">
        <v>3.20157E-6</v>
      </c>
      <c r="H919" s="1">
        <v>0.0</v>
      </c>
      <c r="I919" s="1">
        <v>0.0</v>
      </c>
      <c r="J919" s="1">
        <v>0.0</v>
      </c>
      <c r="K919" s="1">
        <v>0.0</v>
      </c>
      <c r="L919" s="1">
        <v>0.0</v>
      </c>
      <c r="M919" s="1">
        <v>0.0</v>
      </c>
      <c r="N919" s="1">
        <v>0.0</v>
      </c>
      <c r="O919" s="1">
        <v>0.0</v>
      </c>
      <c r="P919" s="1">
        <v>0.0</v>
      </c>
      <c r="Q919" s="1">
        <v>0.0</v>
      </c>
      <c r="R919" s="1">
        <v>0.0</v>
      </c>
      <c r="S919" s="1">
        <v>0.0</v>
      </c>
    </row>
    <row r="920" ht="14.25" hidden="1" customHeight="1">
      <c r="A920" s="1" t="s">
        <v>5</v>
      </c>
      <c r="B920" s="1" t="s">
        <v>58</v>
      </c>
      <c r="C920" s="1" t="s">
        <v>9</v>
      </c>
      <c r="D920" s="1" t="s">
        <v>11</v>
      </c>
      <c r="E920" s="1">
        <v>0.0</v>
      </c>
      <c r="F920" s="1">
        <v>0.0</v>
      </c>
      <c r="G920" s="2">
        <v>3.20065E-6</v>
      </c>
      <c r="H920" s="1">
        <v>0.0</v>
      </c>
      <c r="I920" s="1">
        <v>0.0</v>
      </c>
      <c r="J920" s="1">
        <v>0.0</v>
      </c>
      <c r="K920" s="1">
        <v>0.0</v>
      </c>
      <c r="L920" s="1">
        <v>0.0</v>
      </c>
      <c r="M920" s="1">
        <v>0.0</v>
      </c>
      <c r="N920" s="1">
        <v>0.0</v>
      </c>
      <c r="O920" s="1">
        <v>0.0</v>
      </c>
      <c r="P920" s="1">
        <v>0.0</v>
      </c>
      <c r="Q920" s="1">
        <v>0.0</v>
      </c>
      <c r="R920" s="1">
        <v>0.0</v>
      </c>
      <c r="S920" s="1">
        <v>0.0</v>
      </c>
    </row>
    <row r="921" ht="14.25" hidden="1" customHeight="1">
      <c r="A921" s="1" t="s">
        <v>5</v>
      </c>
      <c r="B921" s="1" t="s">
        <v>58</v>
      </c>
      <c r="C921" s="1" t="s">
        <v>9</v>
      </c>
      <c r="D921" s="1" t="s">
        <v>12</v>
      </c>
      <c r="E921" s="1">
        <v>0.0</v>
      </c>
      <c r="F921" s="1">
        <v>0.0</v>
      </c>
      <c r="G921" s="2">
        <v>3.00978E-7</v>
      </c>
      <c r="H921" s="1">
        <v>0.0</v>
      </c>
      <c r="I921" s="1">
        <v>0.0</v>
      </c>
      <c r="J921" s="1">
        <v>0.0</v>
      </c>
      <c r="K921" s="1">
        <v>0.0</v>
      </c>
      <c r="L921" s="1">
        <v>0.0</v>
      </c>
      <c r="M921" s="1">
        <v>0.0</v>
      </c>
      <c r="N921" s="1">
        <v>0.0</v>
      </c>
      <c r="O921" s="1">
        <v>0.0</v>
      </c>
      <c r="P921" s="1">
        <v>0.0</v>
      </c>
      <c r="Q921" s="1">
        <v>0.0</v>
      </c>
      <c r="R921" s="1">
        <v>0.0</v>
      </c>
      <c r="S921" s="1">
        <v>0.0</v>
      </c>
    </row>
    <row r="922" ht="14.25" hidden="1" customHeight="1">
      <c r="A922" s="1" t="s">
        <v>5</v>
      </c>
      <c r="B922" s="1" t="s">
        <v>58</v>
      </c>
      <c r="C922" s="1" t="s">
        <v>15</v>
      </c>
      <c r="D922" s="1" t="s">
        <v>16</v>
      </c>
      <c r="E922" s="1">
        <v>0.0</v>
      </c>
      <c r="F922" s="1">
        <v>0.0</v>
      </c>
      <c r="G922" s="1">
        <v>0.0</v>
      </c>
      <c r="H922" s="1">
        <v>0.0</v>
      </c>
      <c r="I922" s="2">
        <v>2.76062E-5</v>
      </c>
      <c r="J922" s="2">
        <v>3.627774E-4</v>
      </c>
      <c r="K922" s="2">
        <v>9.144283E-4</v>
      </c>
      <c r="L922" s="1">
        <v>0.0015408671</v>
      </c>
      <c r="M922" s="1">
        <v>0.00248375686</v>
      </c>
      <c r="N922" s="1">
        <v>0.00335676566</v>
      </c>
      <c r="O922" s="1">
        <v>0.0042434404</v>
      </c>
      <c r="P922" s="1">
        <v>0.005150943</v>
      </c>
      <c r="Q922" s="1">
        <v>0.006071282</v>
      </c>
      <c r="R922" s="1">
        <v>0.006996828</v>
      </c>
      <c r="S922" s="1">
        <v>0.007933213</v>
      </c>
    </row>
    <row r="923" ht="14.25" customHeight="1">
      <c r="A923" s="1" t="s">
        <v>5</v>
      </c>
      <c r="B923" s="1" t="s">
        <v>58</v>
      </c>
      <c r="C923" s="1" t="s">
        <v>15</v>
      </c>
      <c r="D923" s="1" t="s">
        <v>14</v>
      </c>
      <c r="E923" s="1">
        <v>0.0</v>
      </c>
      <c r="F923" s="1">
        <v>0.0</v>
      </c>
      <c r="G923" s="1">
        <v>0.0</v>
      </c>
      <c r="H923" s="1">
        <v>0.0</v>
      </c>
      <c r="I923" s="2">
        <v>2.85375E-7</v>
      </c>
      <c r="J923" s="2">
        <v>8.616911E-6</v>
      </c>
      <c r="K923" s="2">
        <v>4.16605286E-4</v>
      </c>
      <c r="L923" s="2">
        <v>7.44882987E-4</v>
      </c>
      <c r="M923" s="1">
        <v>0.001015429549</v>
      </c>
      <c r="N923" s="1">
        <v>0.0011671364042</v>
      </c>
      <c r="O923" s="1">
        <v>0.00129031422</v>
      </c>
      <c r="P923" s="1">
        <v>0.00139083329999999</v>
      </c>
      <c r="Q923" s="1">
        <v>0.0014946891</v>
      </c>
      <c r="R923" s="1">
        <v>0.0016034617</v>
      </c>
      <c r="S923" s="1">
        <v>0.0017157619</v>
      </c>
    </row>
    <row r="924" ht="14.25" hidden="1" customHeight="1">
      <c r="A924" s="1" t="s">
        <v>5</v>
      </c>
      <c r="B924" s="1" t="s">
        <v>58</v>
      </c>
      <c r="C924" s="1" t="s">
        <v>17</v>
      </c>
      <c r="D924" s="1" t="s">
        <v>16</v>
      </c>
      <c r="E924" s="2">
        <v>9.30141E-6</v>
      </c>
      <c r="F924" s="2">
        <v>2.90936E-5</v>
      </c>
      <c r="G924" s="2">
        <v>1.12001E-4</v>
      </c>
      <c r="H924" s="2">
        <v>3.196217E-4</v>
      </c>
      <c r="I924" s="2">
        <v>2.7625424E-4</v>
      </c>
      <c r="J924" s="2">
        <v>7.0622776E-4</v>
      </c>
      <c r="K924" s="2">
        <v>8.266546E-4</v>
      </c>
      <c r="L924" s="2">
        <v>9.29503971E-4</v>
      </c>
      <c r="M924" s="1">
        <v>0.001115509244</v>
      </c>
      <c r="N924" s="1">
        <v>0.001284802184</v>
      </c>
      <c r="O924" s="1">
        <v>0.00149905949999999</v>
      </c>
      <c r="P924" s="1">
        <v>0.00175267409999999</v>
      </c>
      <c r="Q924" s="1">
        <v>0.0020282064</v>
      </c>
      <c r="R924" s="1">
        <v>0.00231233049999999</v>
      </c>
      <c r="S924" s="1">
        <v>0.00259945869999999</v>
      </c>
    </row>
    <row r="925" ht="14.25" hidden="1" customHeight="1">
      <c r="A925" s="1" t="s">
        <v>5</v>
      </c>
      <c r="B925" s="1" t="s">
        <v>58</v>
      </c>
      <c r="C925" s="1" t="s">
        <v>17</v>
      </c>
      <c r="D925" s="1" t="s">
        <v>18</v>
      </c>
      <c r="E925" s="2">
        <v>2.98846E-5</v>
      </c>
      <c r="F925" s="2">
        <v>9.3E-5</v>
      </c>
      <c r="G925" s="2">
        <v>3.58385E-4</v>
      </c>
      <c r="H925" s="2">
        <v>3.814212E-4</v>
      </c>
      <c r="I925" s="2">
        <v>7.97534999999999E-5</v>
      </c>
      <c r="J925" s="2">
        <v>7.859606E-4</v>
      </c>
      <c r="K925" s="1">
        <v>0.0011110735</v>
      </c>
      <c r="L925" s="1">
        <v>0.0014645254</v>
      </c>
      <c r="M925" s="1">
        <v>0.00194248838999999</v>
      </c>
      <c r="N925" s="1">
        <v>0.002383482</v>
      </c>
      <c r="O925" s="1">
        <v>0.0028169087</v>
      </c>
      <c r="P925" s="1">
        <v>0.00324275949999999</v>
      </c>
      <c r="Q925" s="1">
        <v>0.0036611762</v>
      </c>
      <c r="R925" s="1">
        <v>0.0040636277</v>
      </c>
      <c r="S925" s="1">
        <v>0.004436276</v>
      </c>
    </row>
    <row r="926" ht="14.25" hidden="1" customHeight="1">
      <c r="A926" s="1" t="s">
        <v>5</v>
      </c>
      <c r="B926" s="1" t="s">
        <v>58</v>
      </c>
      <c r="C926" s="1" t="s">
        <v>17</v>
      </c>
      <c r="D926" s="1" t="s">
        <v>19</v>
      </c>
      <c r="E926" s="2">
        <v>1.31016E-5</v>
      </c>
      <c r="F926" s="2">
        <v>4.06977E-5</v>
      </c>
      <c r="G926" s="2">
        <v>1.56799E-4</v>
      </c>
      <c r="H926" s="2">
        <v>1.871745E-4</v>
      </c>
      <c r="I926" s="2">
        <v>3.11059E-5</v>
      </c>
      <c r="J926" s="2">
        <v>3.309818E-4</v>
      </c>
      <c r="K926" s="2">
        <v>4.584384E-4</v>
      </c>
      <c r="L926" s="2">
        <v>5.89836E-4</v>
      </c>
      <c r="M926" s="2">
        <v>7.749008E-4</v>
      </c>
      <c r="N926" s="2">
        <v>9.565754E-4</v>
      </c>
      <c r="O926" s="1">
        <v>0.0011530165</v>
      </c>
      <c r="P926" s="1">
        <v>0.001359744</v>
      </c>
      <c r="Q926" s="1">
        <v>0.001572904</v>
      </c>
      <c r="R926" s="1">
        <v>0.001788447</v>
      </c>
      <c r="S926" s="1">
        <v>0.002001885</v>
      </c>
    </row>
    <row r="927" ht="14.25" hidden="1" customHeight="1">
      <c r="A927" s="1" t="s">
        <v>5</v>
      </c>
      <c r="B927" s="1" t="s">
        <v>58</v>
      </c>
      <c r="C927" s="1" t="s">
        <v>17</v>
      </c>
      <c r="D927" s="1" t="s">
        <v>8</v>
      </c>
      <c r="E927" s="2">
        <v>5.60234E-6</v>
      </c>
      <c r="F927" s="2">
        <v>1.73972E-5</v>
      </c>
      <c r="G927" s="2">
        <v>6.72266E-5</v>
      </c>
      <c r="H927" s="2">
        <v>1.293415E-4</v>
      </c>
      <c r="I927" s="2">
        <v>6.51254E-5</v>
      </c>
      <c r="J927" s="2">
        <v>3.436599E-4</v>
      </c>
      <c r="K927" s="2">
        <v>4.87306899999999E-4</v>
      </c>
      <c r="L927" s="2">
        <v>6.32732999999999E-4</v>
      </c>
      <c r="M927" s="2">
        <v>8.478032E-4</v>
      </c>
      <c r="N927" s="1">
        <v>0.0010387095</v>
      </c>
      <c r="O927" s="1">
        <v>0.00124761039999999</v>
      </c>
      <c r="P927" s="1">
        <v>0.001467988</v>
      </c>
      <c r="Q927" s="1">
        <v>0.00169057799999999</v>
      </c>
      <c r="R927" s="1">
        <v>0.00191319</v>
      </c>
      <c r="S927" s="1">
        <v>0.002132111</v>
      </c>
    </row>
    <row r="928" ht="14.25" hidden="1" customHeight="1">
      <c r="A928" s="1" t="s">
        <v>5</v>
      </c>
      <c r="B928" s="1" t="s">
        <v>58</v>
      </c>
      <c r="C928" s="1" t="s">
        <v>17</v>
      </c>
      <c r="D928" s="1" t="s">
        <v>20</v>
      </c>
      <c r="E928" s="2">
        <v>3.68421E-6</v>
      </c>
      <c r="F928" s="2">
        <v>1.15789E-5</v>
      </c>
      <c r="G928" s="2">
        <v>4.47368E-5</v>
      </c>
      <c r="H928" s="2">
        <v>5.28464E-5</v>
      </c>
      <c r="I928" s="2">
        <v>1.606442E-5</v>
      </c>
      <c r="J928" s="2">
        <v>9.982439E-5</v>
      </c>
      <c r="K928" s="2">
        <v>1.392791E-4</v>
      </c>
      <c r="L928" s="2">
        <v>1.76696099999999E-4</v>
      </c>
      <c r="M928" s="2">
        <v>2.305466E-4</v>
      </c>
      <c r="N928" s="2">
        <v>2.83172099999999E-4</v>
      </c>
      <c r="O928" s="2">
        <v>3.393625E-4</v>
      </c>
      <c r="P928" s="2">
        <v>3.974283E-4</v>
      </c>
      <c r="Q928" s="2">
        <v>4.568035E-4</v>
      </c>
      <c r="R928" s="2">
        <v>5.161356E-4</v>
      </c>
      <c r="S928" s="2">
        <v>5.739745E-4</v>
      </c>
    </row>
    <row r="929" ht="14.25" hidden="1" customHeight="1">
      <c r="A929" s="1" t="s">
        <v>5</v>
      </c>
      <c r="B929" s="1" t="s">
        <v>58</v>
      </c>
      <c r="C929" s="1" t="s">
        <v>21</v>
      </c>
      <c r="D929" s="1" t="s">
        <v>10</v>
      </c>
      <c r="E929" s="2">
        <v>1.41725E-5</v>
      </c>
      <c r="F929" s="2">
        <v>4.40888E-5</v>
      </c>
      <c r="G929" s="2">
        <v>1.97197E-4</v>
      </c>
      <c r="H929" s="2">
        <v>1.3445433E-4</v>
      </c>
      <c r="I929" s="2">
        <v>7.962812E-5</v>
      </c>
      <c r="J929" s="2">
        <v>1.68614839999999E-4</v>
      </c>
      <c r="K929" s="2">
        <v>2.67895979999999E-4</v>
      </c>
      <c r="L929" s="2">
        <v>3.74929899999999E-4</v>
      </c>
      <c r="M929" s="2">
        <v>4.656449E-4</v>
      </c>
      <c r="N929" s="2">
        <v>5.052454E-4</v>
      </c>
      <c r="O929" s="2">
        <v>5.261006E-4</v>
      </c>
      <c r="P929" s="2">
        <v>5.636971E-4</v>
      </c>
      <c r="Q929" s="2">
        <v>5.903283E-4</v>
      </c>
      <c r="R929" s="2">
        <v>6.072756E-4</v>
      </c>
      <c r="S929" s="2">
        <v>6.169973E-4</v>
      </c>
    </row>
    <row r="930" ht="14.25" hidden="1" customHeight="1">
      <c r="A930" s="1" t="s">
        <v>5</v>
      </c>
      <c r="B930" s="1" t="s">
        <v>58</v>
      </c>
      <c r="C930" s="1" t="s">
        <v>21</v>
      </c>
      <c r="D930" s="1" t="s">
        <v>11</v>
      </c>
      <c r="E930" s="2">
        <v>7.11195E-6</v>
      </c>
      <c r="F930" s="2">
        <v>2.19938E-5</v>
      </c>
      <c r="G930" s="2">
        <v>9.86199E-5</v>
      </c>
      <c r="H930" s="2">
        <v>1.288288E-4</v>
      </c>
      <c r="I930" s="2">
        <v>1.804899E-4</v>
      </c>
      <c r="J930" s="2">
        <v>2.310985E-4</v>
      </c>
      <c r="K930" s="2">
        <v>2.496752E-4</v>
      </c>
      <c r="L930" s="2">
        <v>2.483752E-4</v>
      </c>
      <c r="M930" s="2">
        <v>2.473887E-4</v>
      </c>
      <c r="N930" s="2">
        <v>2.135044E-4</v>
      </c>
      <c r="O930" s="2">
        <v>1.83236099999999E-4</v>
      </c>
      <c r="P930" s="2">
        <v>1.696724E-4</v>
      </c>
      <c r="Q930" s="2">
        <v>1.61772999999999E-4</v>
      </c>
      <c r="R930" s="2">
        <v>1.557275E-4</v>
      </c>
      <c r="S930" s="2">
        <v>1.508291E-4</v>
      </c>
    </row>
    <row r="931" ht="14.25" hidden="1" customHeight="1">
      <c r="A931" s="1" t="s">
        <v>5</v>
      </c>
      <c r="B931" s="1" t="s">
        <v>58</v>
      </c>
      <c r="C931" s="1" t="s">
        <v>21</v>
      </c>
      <c r="D931" s="1" t="s">
        <v>22</v>
      </c>
      <c r="E931" s="2">
        <v>7.1E-6</v>
      </c>
      <c r="F931" s="2">
        <v>2.2E-5</v>
      </c>
      <c r="G931" s="2">
        <v>9.86E-5</v>
      </c>
      <c r="H931" s="2">
        <v>9.07065E-5</v>
      </c>
      <c r="I931" s="2">
        <v>6.11693E-5</v>
      </c>
      <c r="J931" s="2">
        <v>1.320272E-4</v>
      </c>
      <c r="K931" s="2">
        <v>1.389267E-4</v>
      </c>
      <c r="L931" s="2">
        <v>1.502299E-4</v>
      </c>
      <c r="M931" s="2">
        <v>1.52189099999999E-4</v>
      </c>
      <c r="N931" s="2">
        <v>1.522498E-4</v>
      </c>
      <c r="O931" s="2">
        <v>1.541885E-4</v>
      </c>
      <c r="P931" s="2">
        <v>1.58871E-4</v>
      </c>
      <c r="Q931" s="2">
        <v>1.614927E-4</v>
      </c>
      <c r="R931" s="2">
        <v>1.639716E-4</v>
      </c>
      <c r="S931" s="2">
        <v>1.651494E-4</v>
      </c>
    </row>
    <row r="932" ht="14.25" hidden="1" customHeight="1">
      <c r="A932" s="1" t="s">
        <v>5</v>
      </c>
      <c r="B932" s="1" t="s">
        <v>58</v>
      </c>
      <c r="C932" s="1" t="s">
        <v>21</v>
      </c>
      <c r="D932" s="1" t="s">
        <v>23</v>
      </c>
      <c r="E932" s="2">
        <v>7.12345999999999E-6</v>
      </c>
      <c r="F932" s="2">
        <v>2.199886E-5</v>
      </c>
      <c r="G932" s="2">
        <v>9.8586E-5</v>
      </c>
      <c r="H932" s="2">
        <v>6.810145E-5</v>
      </c>
      <c r="I932" s="2">
        <v>6.173426E-5</v>
      </c>
      <c r="J932" s="2">
        <v>1.807576E-4</v>
      </c>
      <c r="K932" s="2">
        <v>1.477377E-4</v>
      </c>
      <c r="L932" s="2">
        <v>1.715939E-4</v>
      </c>
      <c r="M932" s="2">
        <v>1.93576299999999E-4</v>
      </c>
      <c r="N932" s="2">
        <v>1.92977299999999E-4</v>
      </c>
      <c r="O932" s="2">
        <v>2.04651799999999E-4</v>
      </c>
      <c r="P932" s="2">
        <v>2.45961E-4</v>
      </c>
      <c r="Q932" s="2">
        <v>2.897429E-4</v>
      </c>
      <c r="R932" s="2">
        <v>3.383429E-4</v>
      </c>
      <c r="S932" s="2">
        <v>3.907831E-4</v>
      </c>
    </row>
    <row r="933" ht="14.25" hidden="1" customHeight="1">
      <c r="A933" s="1" t="s">
        <v>5</v>
      </c>
      <c r="B933" s="1" t="s">
        <v>58</v>
      </c>
      <c r="C933" s="1" t="s">
        <v>21</v>
      </c>
      <c r="D933" s="1" t="s">
        <v>24</v>
      </c>
      <c r="E933" s="2">
        <v>7.09489E-6</v>
      </c>
      <c r="F933" s="2">
        <v>2.199924E-5</v>
      </c>
      <c r="G933" s="2">
        <v>9.86006E-5</v>
      </c>
      <c r="H933" s="2">
        <v>8.392044E-5</v>
      </c>
      <c r="I933" s="2">
        <v>6.80583E-5</v>
      </c>
      <c r="J933" s="2">
        <v>1.6227836E-4</v>
      </c>
      <c r="K933" s="2">
        <v>1.614768E-4</v>
      </c>
      <c r="L933" s="2">
        <v>1.75890099999999E-4</v>
      </c>
      <c r="M933" s="2">
        <v>1.860536E-4</v>
      </c>
      <c r="N933" s="2">
        <v>1.775039E-4</v>
      </c>
      <c r="O933" s="2">
        <v>1.727174E-4</v>
      </c>
      <c r="P933" s="2">
        <v>1.724426E-4</v>
      </c>
      <c r="Q933" s="2">
        <v>1.705153E-4</v>
      </c>
      <c r="R933" s="2">
        <v>1.688536E-4</v>
      </c>
      <c r="S933" s="2">
        <v>1.676892E-4</v>
      </c>
    </row>
    <row r="934" ht="14.25" hidden="1" customHeight="1">
      <c r="A934" s="1" t="s">
        <v>5</v>
      </c>
      <c r="B934" s="1" t="s">
        <v>58</v>
      </c>
      <c r="C934" s="1" t="s">
        <v>21</v>
      </c>
      <c r="D934" s="1" t="s">
        <v>12</v>
      </c>
      <c r="E934" s="2">
        <v>7.0E-7</v>
      </c>
      <c r="F934" s="2">
        <v>2.2E-6</v>
      </c>
      <c r="G934" s="2">
        <v>9.93228E-6</v>
      </c>
      <c r="H934" s="2">
        <v>8.03378E-6</v>
      </c>
      <c r="I934" s="2">
        <v>7.18993E-6</v>
      </c>
      <c r="J934" s="2">
        <v>1.22099E-5</v>
      </c>
      <c r="K934" s="2">
        <v>1.24435E-5</v>
      </c>
      <c r="L934" s="2">
        <v>1.30772E-5</v>
      </c>
      <c r="M934" s="2">
        <v>1.29483E-5</v>
      </c>
      <c r="N934" s="2">
        <v>1.29039E-5</v>
      </c>
      <c r="O934" s="2">
        <v>1.29255E-5</v>
      </c>
      <c r="P934" s="2">
        <v>1.30991E-5</v>
      </c>
      <c r="Q934" s="2">
        <v>1.31943E-5</v>
      </c>
      <c r="R934" s="2">
        <v>1.33385E-5</v>
      </c>
      <c r="S934" s="2">
        <v>1.34104E-5</v>
      </c>
    </row>
    <row r="935" ht="14.25" hidden="1" customHeight="1">
      <c r="A935" s="1" t="s">
        <v>5</v>
      </c>
      <c r="B935" s="1" t="s">
        <v>58</v>
      </c>
      <c r="C935" s="1" t="s">
        <v>21</v>
      </c>
      <c r="D935" s="1" t="s">
        <v>13</v>
      </c>
      <c r="E935" s="2">
        <v>1.2199E-4</v>
      </c>
      <c r="F935" s="2">
        <v>3.795E-4</v>
      </c>
      <c r="G935" s="2">
        <v>4.03646E-4</v>
      </c>
      <c r="H935" s="2">
        <v>4.26855E-4</v>
      </c>
      <c r="I935" s="2">
        <v>2.675277E-4</v>
      </c>
      <c r="J935" s="2">
        <v>5.975985E-4</v>
      </c>
      <c r="K935" s="2">
        <v>8.336347E-4</v>
      </c>
      <c r="L935" s="1">
        <v>0.00111586399999999</v>
      </c>
      <c r="M935" s="1">
        <v>0.00148892879999999</v>
      </c>
      <c r="N935" s="1">
        <v>0.001850913</v>
      </c>
      <c r="O935" s="1">
        <v>0.002167602</v>
      </c>
      <c r="P935" s="1">
        <v>0.002466985</v>
      </c>
      <c r="Q935" s="1">
        <v>0.002744522</v>
      </c>
      <c r="R935" s="1">
        <v>0.002996935</v>
      </c>
      <c r="S935" s="1">
        <v>0.00322427</v>
      </c>
    </row>
    <row r="936" ht="14.25" hidden="1" customHeight="1">
      <c r="A936" s="1" t="s">
        <v>5</v>
      </c>
      <c r="B936" s="1" t="s">
        <v>58</v>
      </c>
      <c r="C936" s="1" t="s">
        <v>21</v>
      </c>
      <c r="D936" s="1" t="s">
        <v>14</v>
      </c>
      <c r="E936" s="2">
        <v>1.01958E-5</v>
      </c>
      <c r="F936" s="2">
        <v>3.16037E-5</v>
      </c>
      <c r="G936" s="2">
        <v>3.36014E-5</v>
      </c>
      <c r="H936" s="2">
        <v>1.74248499999999E-4</v>
      </c>
      <c r="I936" s="2">
        <v>3.024306E-4</v>
      </c>
      <c r="J936" s="2">
        <v>4.71967E-4</v>
      </c>
      <c r="K936" s="2">
        <v>2.6791E-4</v>
      </c>
      <c r="L936" s="2">
        <v>1.223173E-4</v>
      </c>
      <c r="M936" s="2">
        <v>1.006443E-4</v>
      </c>
      <c r="N936" s="2">
        <v>8.62177E-5</v>
      </c>
      <c r="O936" s="2">
        <v>8.42756E-5</v>
      </c>
      <c r="P936" s="2">
        <v>9.33747E-5</v>
      </c>
      <c r="Q936" s="2">
        <v>1.001255E-4</v>
      </c>
      <c r="R936" s="2">
        <v>1.014223E-4</v>
      </c>
      <c r="S936" s="2">
        <v>1.01479E-4</v>
      </c>
    </row>
    <row r="937" ht="14.25" hidden="1" customHeight="1">
      <c r="A937" s="1" t="s">
        <v>5</v>
      </c>
      <c r="B937" s="1" t="s">
        <v>58</v>
      </c>
      <c r="C937" s="1" t="s">
        <v>21</v>
      </c>
      <c r="D937" s="1" t="s">
        <v>25</v>
      </c>
      <c r="E937" s="2">
        <v>2.03E-5</v>
      </c>
      <c r="F937" s="2">
        <v>6.33E-5</v>
      </c>
      <c r="G937" s="2">
        <v>6.73E-5</v>
      </c>
      <c r="H937" s="2">
        <v>4.447324E-5</v>
      </c>
      <c r="I937" s="2">
        <v>4.851862E-5</v>
      </c>
      <c r="J937" s="2">
        <v>8.60519E-5</v>
      </c>
      <c r="K937" s="2">
        <v>6.17753E-5</v>
      </c>
      <c r="L937" s="2">
        <v>5.99298E-5</v>
      </c>
      <c r="M937" s="2">
        <v>5.89041E-5</v>
      </c>
      <c r="N937" s="2">
        <v>7.13403E-5</v>
      </c>
      <c r="O937" s="2">
        <v>8.39706E-5</v>
      </c>
      <c r="P937" s="2">
        <v>9.62089E-5</v>
      </c>
      <c r="Q937" s="2">
        <v>1.079096E-4</v>
      </c>
      <c r="R937" s="2">
        <v>1.18702799999999E-4</v>
      </c>
      <c r="S937" s="2">
        <v>1.277849E-4</v>
      </c>
    </row>
    <row r="938" ht="14.25" hidden="1" customHeight="1">
      <c r="A938" s="1" t="s">
        <v>5</v>
      </c>
      <c r="B938" s="1" t="s">
        <v>58</v>
      </c>
      <c r="C938" s="1" t="s">
        <v>21</v>
      </c>
      <c r="D938" s="1" t="s">
        <v>26</v>
      </c>
      <c r="E938" s="2">
        <v>1.219861E-4</v>
      </c>
      <c r="F938" s="2">
        <v>3.79488599999999E-4</v>
      </c>
      <c r="G938" s="2">
        <v>4.036013E-4</v>
      </c>
      <c r="H938" s="2">
        <v>2.7434628E-4</v>
      </c>
      <c r="I938" s="2">
        <v>2.3500934E-4</v>
      </c>
      <c r="J938" s="2">
        <v>6.517135E-4</v>
      </c>
      <c r="K938" s="2">
        <v>4.443854E-4</v>
      </c>
      <c r="L938" s="2">
        <v>4.422651E-4</v>
      </c>
      <c r="M938" s="2">
        <v>4.843575E-4</v>
      </c>
      <c r="N938" s="2">
        <v>6.52753E-4</v>
      </c>
      <c r="O938" s="2">
        <v>8.51334E-4</v>
      </c>
      <c r="P938" s="1">
        <v>0.001080706</v>
      </c>
      <c r="Q938" s="1">
        <v>0.001336019</v>
      </c>
      <c r="R938" s="1">
        <v>0.001611324</v>
      </c>
      <c r="S938" s="1">
        <v>0.001901206</v>
      </c>
    </row>
    <row r="939" ht="14.25" hidden="1" customHeight="1">
      <c r="A939" s="1" t="s">
        <v>5</v>
      </c>
      <c r="B939" s="1" t="s">
        <v>58</v>
      </c>
      <c r="C939" s="1" t="s">
        <v>21</v>
      </c>
      <c r="D939" s="1" t="s">
        <v>27</v>
      </c>
      <c r="E939" s="2">
        <v>4.469809E-5</v>
      </c>
      <c r="F939" s="2">
        <v>1.392025E-4</v>
      </c>
      <c r="G939" s="2">
        <v>1.47995E-4</v>
      </c>
      <c r="H939" s="2">
        <v>1.473851E-4</v>
      </c>
      <c r="I939" s="2">
        <v>1.082172E-4</v>
      </c>
      <c r="J939" s="2">
        <v>2.983814E-4</v>
      </c>
      <c r="K939" s="2">
        <v>3.469816E-4</v>
      </c>
      <c r="L939" s="2">
        <v>4.251221E-4</v>
      </c>
      <c r="M939" s="2">
        <v>5.368666E-4</v>
      </c>
      <c r="N939" s="2">
        <v>6.332886E-4</v>
      </c>
      <c r="O939" s="2">
        <v>7.181147E-4</v>
      </c>
      <c r="P939" s="2">
        <v>7.90967899999999E-4</v>
      </c>
      <c r="Q939" s="2">
        <v>8.56416E-4</v>
      </c>
      <c r="R939" s="2">
        <v>9.162134E-4</v>
      </c>
      <c r="S939" s="2">
        <v>9.71996E-4</v>
      </c>
    </row>
    <row r="940" ht="14.25" hidden="1" customHeight="1">
      <c r="A940" s="1" t="s">
        <v>5</v>
      </c>
      <c r="B940" s="1" t="s">
        <v>58</v>
      </c>
      <c r="C940" s="1" t="s">
        <v>21</v>
      </c>
      <c r="D940" s="1" t="s">
        <v>28</v>
      </c>
      <c r="E940" s="2">
        <v>1.0E-6</v>
      </c>
      <c r="F940" s="2">
        <v>3.2E-6</v>
      </c>
      <c r="G940" s="2">
        <v>3.4E-6</v>
      </c>
      <c r="H940" s="2">
        <v>2.72663E-6</v>
      </c>
      <c r="I940" s="2">
        <v>2.32374E-6</v>
      </c>
      <c r="J940" s="2">
        <v>3.80696E-6</v>
      </c>
      <c r="K940" s="2">
        <v>3.29262E-6</v>
      </c>
      <c r="L940" s="2">
        <v>3.04539E-6</v>
      </c>
      <c r="M940" s="2">
        <v>2.8156E-6</v>
      </c>
      <c r="N940" s="2">
        <v>3.22826E-6</v>
      </c>
      <c r="O940" s="2">
        <v>3.6712E-6</v>
      </c>
      <c r="P940" s="2">
        <v>4.08415E-6</v>
      </c>
      <c r="Q940" s="2">
        <v>4.49717E-6</v>
      </c>
      <c r="R940" s="2">
        <v>4.88744E-6</v>
      </c>
      <c r="S940" s="2">
        <v>5.21979E-6</v>
      </c>
    </row>
    <row r="941" ht="14.25" hidden="1" customHeight="1">
      <c r="A941" s="1" t="s">
        <v>5</v>
      </c>
      <c r="B941" s="1" t="s">
        <v>58</v>
      </c>
      <c r="C941" s="1" t="s">
        <v>29</v>
      </c>
      <c r="D941" s="1" t="s">
        <v>16</v>
      </c>
      <c r="E941" s="2">
        <v>1.85328E-4</v>
      </c>
      <c r="F941" s="2">
        <v>3.55622E-4</v>
      </c>
      <c r="G941" s="2">
        <v>6.60207E-4</v>
      </c>
      <c r="H941" s="2">
        <v>6.12949E-4</v>
      </c>
      <c r="I941" s="2">
        <v>5.2345591E-4</v>
      </c>
      <c r="J941" s="2">
        <v>6.1500553E-4</v>
      </c>
      <c r="K941" s="2">
        <v>7.104054E-4</v>
      </c>
      <c r="L941" s="2">
        <v>7.83028009999999E-4</v>
      </c>
      <c r="M941" s="2">
        <v>8.2499661E-4</v>
      </c>
      <c r="N941" s="2">
        <v>9.36704585E-4</v>
      </c>
      <c r="O941" s="1">
        <v>0.0010595662</v>
      </c>
      <c r="P941" s="1">
        <v>0.0011886678</v>
      </c>
      <c r="Q941" s="1">
        <v>0.0013321487</v>
      </c>
      <c r="R941" s="1">
        <v>0.0014890999</v>
      </c>
      <c r="S941" s="1">
        <v>0.0016360292</v>
      </c>
    </row>
    <row r="942" ht="14.25" hidden="1" customHeight="1">
      <c r="A942" s="1" t="s">
        <v>5</v>
      </c>
      <c r="B942" s="1" t="s">
        <v>58</v>
      </c>
      <c r="C942" s="1" t="s">
        <v>29</v>
      </c>
      <c r="D942" s="1" t="s">
        <v>8</v>
      </c>
      <c r="E942" s="2">
        <v>3.71155E-5</v>
      </c>
      <c r="F942" s="2">
        <v>7.10886E-5</v>
      </c>
      <c r="G942" s="2">
        <v>1.32052E-4</v>
      </c>
      <c r="H942" s="2">
        <v>1.02128741E-4</v>
      </c>
      <c r="I942" s="2">
        <v>6.06615339999999E-5</v>
      </c>
      <c r="J942" s="2">
        <v>1.22772055E-4</v>
      </c>
      <c r="K942" s="2">
        <v>1.551313706E-4</v>
      </c>
      <c r="L942" s="2">
        <v>1.89932286399999E-4</v>
      </c>
      <c r="M942" s="2">
        <v>2.193826061E-4</v>
      </c>
      <c r="N942" s="2">
        <v>2.757632E-4</v>
      </c>
      <c r="O942" s="2">
        <v>3.2926708E-4</v>
      </c>
      <c r="P942" s="2">
        <v>3.8029785E-4</v>
      </c>
      <c r="Q942" s="2">
        <v>4.3656182E-4</v>
      </c>
      <c r="R942" s="2">
        <v>4.936342E-4</v>
      </c>
      <c r="S942" s="2">
        <v>5.482247E-4</v>
      </c>
    </row>
    <row r="943" ht="14.25" hidden="1" customHeight="1">
      <c r="A943" s="1" t="s">
        <v>5</v>
      </c>
      <c r="B943" s="1" t="s">
        <v>58</v>
      </c>
      <c r="C943" s="1" t="s">
        <v>29</v>
      </c>
      <c r="D943" s="1" t="s">
        <v>10</v>
      </c>
      <c r="E943" s="2">
        <v>2.15581E-5</v>
      </c>
      <c r="F943" s="2">
        <v>4.13895E-5</v>
      </c>
      <c r="G943" s="2">
        <v>4.22207E-5</v>
      </c>
      <c r="H943" s="2">
        <v>4.106076E-4</v>
      </c>
      <c r="I943" s="2">
        <v>2.75232E-4</v>
      </c>
      <c r="J943" s="2">
        <v>3.062696E-4</v>
      </c>
      <c r="K943" s="2">
        <v>2.515154E-4</v>
      </c>
      <c r="L943" s="2">
        <v>1.8606303E-4</v>
      </c>
      <c r="M943" s="2">
        <v>1.3166804E-4</v>
      </c>
      <c r="N943" s="2">
        <v>7.98613E-5</v>
      </c>
      <c r="O943" s="2">
        <v>7.223343E-5</v>
      </c>
      <c r="P943" s="2">
        <v>6.403832E-5</v>
      </c>
      <c r="Q943" s="2">
        <v>5.730926E-5</v>
      </c>
      <c r="R943" s="2">
        <v>5.36733399999999E-5</v>
      </c>
      <c r="S943" s="2">
        <v>5.163748E-5</v>
      </c>
    </row>
    <row r="944" ht="14.25" hidden="1" customHeight="1">
      <c r="A944" s="1" t="s">
        <v>5</v>
      </c>
      <c r="B944" s="1" t="s">
        <v>58</v>
      </c>
      <c r="C944" s="1" t="s">
        <v>29</v>
      </c>
      <c r="D944" s="1" t="s">
        <v>11</v>
      </c>
      <c r="E944" s="2">
        <v>1.81405E-4</v>
      </c>
      <c r="F944" s="2">
        <v>3.47602E-4</v>
      </c>
      <c r="G944" s="2">
        <v>3.54171E-4</v>
      </c>
      <c r="H944" s="2">
        <v>2.73516229999999E-4</v>
      </c>
      <c r="I944" s="2">
        <v>2.29782546E-4</v>
      </c>
      <c r="J944" s="2">
        <v>1.776423494E-4</v>
      </c>
      <c r="K944" s="2">
        <v>1.66548650999999E-4</v>
      </c>
      <c r="L944" s="2">
        <v>1.73155563499999E-4</v>
      </c>
      <c r="M944" s="2">
        <v>1.518957985E-4</v>
      </c>
      <c r="N944" s="2">
        <v>1.947206387E-4</v>
      </c>
      <c r="O944" s="2">
        <v>2.300207426E-4</v>
      </c>
      <c r="P944" s="2">
        <v>2.5103339E-4</v>
      </c>
      <c r="Q944" s="2">
        <v>2.6535814E-4</v>
      </c>
      <c r="R944" s="2">
        <v>2.7839647E-4</v>
      </c>
      <c r="S944" s="2">
        <v>2.9035152E-4</v>
      </c>
    </row>
    <row r="945" ht="14.25" hidden="1" customHeight="1">
      <c r="A945" s="1" t="s">
        <v>5</v>
      </c>
      <c r="B945" s="1" t="s">
        <v>58</v>
      </c>
      <c r="C945" s="1" t="s">
        <v>29</v>
      </c>
      <c r="D945" s="1" t="s">
        <v>13</v>
      </c>
      <c r="E945" s="2">
        <v>2.32982E-5</v>
      </c>
      <c r="F945" s="2">
        <v>4.48E-5</v>
      </c>
      <c r="G945" s="2">
        <v>2.85032E-5</v>
      </c>
      <c r="H945" s="2">
        <v>5.090003E-4</v>
      </c>
      <c r="I945" s="2">
        <v>3.842209E-4</v>
      </c>
      <c r="J945" s="2">
        <v>4.20988E-4</v>
      </c>
      <c r="K945" s="2">
        <v>4.10605599999999E-4</v>
      </c>
      <c r="L945" s="2">
        <v>3.8159604E-4</v>
      </c>
      <c r="M945" s="2">
        <v>3.682999E-4</v>
      </c>
      <c r="N945" s="2">
        <v>3.403356E-4</v>
      </c>
      <c r="O945" s="2">
        <v>3.5689173E-4</v>
      </c>
      <c r="P945" s="2">
        <v>3.644517E-4</v>
      </c>
      <c r="Q945" s="2">
        <v>3.769496E-4</v>
      </c>
      <c r="R945" s="2">
        <v>3.946295E-4</v>
      </c>
      <c r="S945" s="2">
        <v>4.124795E-4</v>
      </c>
    </row>
    <row r="946" ht="14.25" hidden="1" customHeight="1">
      <c r="A946" s="1" t="s">
        <v>5</v>
      </c>
      <c r="B946" s="1" t="s">
        <v>58</v>
      </c>
      <c r="C946" s="1" t="s">
        <v>29</v>
      </c>
      <c r="D946" s="1" t="s">
        <v>14</v>
      </c>
      <c r="E946" s="2">
        <v>9.0523E-4</v>
      </c>
      <c r="F946" s="1">
        <v>0.00173881</v>
      </c>
      <c r="G946" s="1">
        <v>0.00110515</v>
      </c>
      <c r="H946" s="2">
        <v>8.658763E-4</v>
      </c>
      <c r="I946" s="2">
        <v>7.297806E-4</v>
      </c>
      <c r="J946" s="2">
        <v>5.6755282E-4</v>
      </c>
      <c r="K946" s="2">
        <v>5.2308306E-4</v>
      </c>
      <c r="L946" s="2">
        <v>4.7241188E-4</v>
      </c>
      <c r="M946" s="2">
        <v>2.97124599E-4</v>
      </c>
      <c r="N946" s="2">
        <v>3.42810616E-4</v>
      </c>
      <c r="O946" s="2">
        <v>3.94348591E-4</v>
      </c>
      <c r="P946" s="2">
        <v>4.497186E-4</v>
      </c>
      <c r="Q946" s="2">
        <v>5.073814E-4</v>
      </c>
      <c r="R946" s="2">
        <v>5.694379E-4</v>
      </c>
      <c r="S946" s="2">
        <v>6.269999E-4</v>
      </c>
    </row>
    <row r="947" ht="14.25" hidden="1" customHeight="1">
      <c r="A947" s="1" t="s">
        <v>5</v>
      </c>
      <c r="B947" s="1" t="s">
        <v>59</v>
      </c>
      <c r="C947" s="1" t="s">
        <v>7</v>
      </c>
      <c r="D947" s="1" t="s">
        <v>8</v>
      </c>
      <c r="E947" s="1">
        <v>0.0162743</v>
      </c>
      <c r="F947" s="1">
        <v>0.0207191</v>
      </c>
      <c r="G947" s="1">
        <v>0.022173</v>
      </c>
      <c r="H947" s="1">
        <v>0.00399693</v>
      </c>
      <c r="I947" s="1">
        <v>0.00563474</v>
      </c>
      <c r="J947" s="2">
        <v>5.34297E-4</v>
      </c>
      <c r="K947" s="2">
        <v>3.18929E-4</v>
      </c>
      <c r="L947" s="2">
        <v>2.79948E-4</v>
      </c>
      <c r="M947" s="2">
        <v>1.9516E-4</v>
      </c>
      <c r="N947" s="2">
        <v>1.122E-4</v>
      </c>
      <c r="O947" s="1">
        <v>0.0</v>
      </c>
      <c r="P947" s="1">
        <v>0.0</v>
      </c>
      <c r="Q947" s="1">
        <v>0.0</v>
      </c>
      <c r="R947" s="1">
        <v>0.0</v>
      </c>
      <c r="S947" s="1">
        <v>0.0</v>
      </c>
    </row>
    <row r="948" ht="14.25" hidden="1" customHeight="1">
      <c r="A948" s="1" t="s">
        <v>5</v>
      </c>
      <c r="B948" s="1" t="s">
        <v>59</v>
      </c>
      <c r="C948" s="1" t="s">
        <v>9</v>
      </c>
      <c r="D948" s="1" t="s">
        <v>8</v>
      </c>
      <c r="E948" s="1">
        <v>0.00433425</v>
      </c>
      <c r="F948" s="1">
        <v>0.00380133</v>
      </c>
      <c r="G948" s="1">
        <v>0.00559088</v>
      </c>
      <c r="H948" s="1">
        <v>0.00348578</v>
      </c>
      <c r="I948" s="2">
        <v>2.65378E-4</v>
      </c>
      <c r="J948" s="2">
        <v>1.16735E-10</v>
      </c>
      <c r="K948" s="1">
        <v>0.0</v>
      </c>
      <c r="L948" s="1">
        <v>0.0</v>
      </c>
      <c r="M948" s="1">
        <v>0.0</v>
      </c>
      <c r="N948" s="1">
        <v>0.0</v>
      </c>
      <c r="O948" s="1">
        <v>0.0</v>
      </c>
      <c r="P948" s="1">
        <v>0.0</v>
      </c>
      <c r="Q948" s="1">
        <v>0.0</v>
      </c>
      <c r="R948" s="1">
        <v>0.0</v>
      </c>
      <c r="S948" s="1">
        <v>0.0</v>
      </c>
    </row>
    <row r="949" ht="14.25" hidden="1" customHeight="1">
      <c r="A949" s="1" t="s">
        <v>5</v>
      </c>
      <c r="B949" s="1" t="s">
        <v>59</v>
      </c>
      <c r="C949" s="1" t="s">
        <v>9</v>
      </c>
      <c r="D949" s="1" t="s">
        <v>10</v>
      </c>
      <c r="E949" s="1">
        <v>0.00423358</v>
      </c>
      <c r="F949" s="1">
        <v>0.00371301</v>
      </c>
      <c r="G949" s="2">
        <v>3.67895E-4</v>
      </c>
      <c r="H949" s="2">
        <v>1.72466E-6</v>
      </c>
      <c r="I949" s="2">
        <v>8.3152E-4</v>
      </c>
      <c r="J949" s="1">
        <v>0.011467</v>
      </c>
      <c r="K949" s="1">
        <v>0.0</v>
      </c>
      <c r="L949" s="1">
        <v>0.0</v>
      </c>
      <c r="M949" s="1">
        <v>0.0</v>
      </c>
      <c r="N949" s="1">
        <v>0.0</v>
      </c>
      <c r="O949" s="1">
        <v>0.0</v>
      </c>
      <c r="P949" s="1">
        <v>0.0</v>
      </c>
      <c r="Q949" s="1">
        <v>0.0</v>
      </c>
      <c r="R949" s="1">
        <v>0.0</v>
      </c>
      <c r="S949" s="1">
        <v>0.0</v>
      </c>
    </row>
    <row r="950" ht="14.25" hidden="1" customHeight="1">
      <c r="A950" s="1" t="s">
        <v>5</v>
      </c>
      <c r="B950" s="1" t="s">
        <v>59</v>
      </c>
      <c r="C950" s="1" t="s">
        <v>9</v>
      </c>
      <c r="D950" s="1" t="s">
        <v>11</v>
      </c>
      <c r="E950" s="1">
        <v>0.00423361</v>
      </c>
      <c r="F950" s="1">
        <v>0.0037131</v>
      </c>
      <c r="G950" s="2">
        <v>3.679E-4</v>
      </c>
      <c r="H950" s="2">
        <v>1.40625E-4</v>
      </c>
      <c r="I950" s="1">
        <v>0.0</v>
      </c>
      <c r="J950" s="2">
        <v>4.80266E-4</v>
      </c>
      <c r="K950" s="1">
        <v>0.0</v>
      </c>
      <c r="L950" s="1">
        <v>0.0</v>
      </c>
      <c r="M950" s="1">
        <v>0.0</v>
      </c>
      <c r="N950" s="1">
        <v>0.0</v>
      </c>
      <c r="O950" s="1">
        <v>0.0</v>
      </c>
      <c r="P950" s="1">
        <v>0.0</v>
      </c>
      <c r="Q950" s="1">
        <v>0.0</v>
      </c>
      <c r="R950" s="1">
        <v>0.0</v>
      </c>
      <c r="S950" s="1">
        <v>0.0</v>
      </c>
    </row>
    <row r="951" ht="14.25" hidden="1" customHeight="1">
      <c r="A951" s="1" t="s">
        <v>5</v>
      </c>
      <c r="B951" s="1" t="s">
        <v>59</v>
      </c>
      <c r="C951" s="1" t="s">
        <v>9</v>
      </c>
      <c r="D951" s="1" t="s">
        <v>12</v>
      </c>
      <c r="E951" s="2">
        <v>4.23554E-4</v>
      </c>
      <c r="F951" s="2">
        <v>3.71118E-4</v>
      </c>
      <c r="G951" s="2">
        <v>3.68652E-5</v>
      </c>
      <c r="H951" s="2">
        <v>4.87814E-5</v>
      </c>
      <c r="I951" s="2">
        <v>3.39529E-5</v>
      </c>
      <c r="J951" s="2">
        <v>3.20198E-5</v>
      </c>
      <c r="K951" s="1">
        <v>0.0</v>
      </c>
      <c r="L951" s="1">
        <v>0.0</v>
      </c>
      <c r="M951" s="1">
        <v>0.0</v>
      </c>
      <c r="N951" s="1">
        <v>0.0</v>
      </c>
      <c r="O951" s="1">
        <v>0.0</v>
      </c>
      <c r="P951" s="1">
        <v>0.0</v>
      </c>
      <c r="Q951" s="1">
        <v>0.0</v>
      </c>
      <c r="R951" s="1">
        <v>0.0</v>
      </c>
      <c r="S951" s="1">
        <v>0.0</v>
      </c>
    </row>
    <row r="952" ht="14.25" hidden="1" customHeight="1">
      <c r="A952" s="1" t="s">
        <v>5</v>
      </c>
      <c r="B952" s="1" t="s">
        <v>59</v>
      </c>
      <c r="C952" s="1" t="s">
        <v>9</v>
      </c>
      <c r="D952" s="1" t="s">
        <v>13</v>
      </c>
      <c r="E952" s="1">
        <v>0.0</v>
      </c>
      <c r="F952" s="1">
        <v>0.0</v>
      </c>
      <c r="G952" s="1">
        <v>0.0</v>
      </c>
      <c r="H952" s="2">
        <v>6.5931E-5</v>
      </c>
      <c r="I952" s="1">
        <v>0.0</v>
      </c>
      <c r="J952" s="1">
        <v>0.0</v>
      </c>
      <c r="K952" s="1">
        <v>0.0</v>
      </c>
      <c r="L952" s="1">
        <v>0.0</v>
      </c>
      <c r="M952" s="1">
        <v>0.0</v>
      </c>
      <c r="N952" s="1">
        <v>0.0</v>
      </c>
      <c r="O952" s="1">
        <v>0.0</v>
      </c>
      <c r="P952" s="1">
        <v>0.0</v>
      </c>
      <c r="Q952" s="1">
        <v>0.0</v>
      </c>
      <c r="R952" s="1">
        <v>0.0</v>
      </c>
      <c r="S952" s="1">
        <v>0.0</v>
      </c>
    </row>
    <row r="953" ht="14.25" hidden="1" customHeight="1">
      <c r="A953" s="1" t="s">
        <v>5</v>
      </c>
      <c r="B953" s="1" t="s">
        <v>59</v>
      </c>
      <c r="C953" s="1" t="s">
        <v>9</v>
      </c>
      <c r="D953" s="1" t="s">
        <v>14</v>
      </c>
      <c r="E953" s="1">
        <v>0.0</v>
      </c>
      <c r="F953" s="1">
        <v>0.0</v>
      </c>
      <c r="G953" s="1">
        <v>0.0</v>
      </c>
      <c r="H953" s="2">
        <v>4.38513E-4</v>
      </c>
      <c r="I953" s="1">
        <v>0.0</v>
      </c>
      <c r="J953" s="1">
        <v>0.0</v>
      </c>
      <c r="K953" s="1">
        <v>0.0</v>
      </c>
      <c r="L953" s="1">
        <v>0.0</v>
      </c>
      <c r="M953" s="1">
        <v>0.0</v>
      </c>
      <c r="N953" s="1">
        <v>0.0</v>
      </c>
      <c r="O953" s="1">
        <v>0.0</v>
      </c>
      <c r="P953" s="1">
        <v>0.0</v>
      </c>
      <c r="Q953" s="1">
        <v>0.0</v>
      </c>
      <c r="R953" s="1">
        <v>0.0</v>
      </c>
      <c r="S953" s="1">
        <v>0.0</v>
      </c>
    </row>
    <row r="954" ht="14.25" hidden="1" customHeight="1">
      <c r="A954" s="1" t="s">
        <v>5</v>
      </c>
      <c r="B954" s="1" t="s">
        <v>59</v>
      </c>
      <c r="C954" s="1" t="s">
        <v>15</v>
      </c>
      <c r="D954" s="1" t="s">
        <v>16</v>
      </c>
      <c r="E954" s="1">
        <v>0.0</v>
      </c>
      <c r="F954" s="1">
        <v>0.0</v>
      </c>
      <c r="G954" s="1">
        <v>0.0</v>
      </c>
      <c r="H954" s="1">
        <v>0.0</v>
      </c>
      <c r="I954" s="1">
        <v>0.0</v>
      </c>
      <c r="J954" s="1">
        <v>0.00394857</v>
      </c>
      <c r="K954" s="1">
        <v>0.00716136</v>
      </c>
      <c r="L954" s="1">
        <v>0.01117086</v>
      </c>
      <c r="M954" s="1">
        <v>0.01641044</v>
      </c>
      <c r="N954" s="1">
        <v>0.02152545</v>
      </c>
      <c r="O954" s="1">
        <v>0.026737391</v>
      </c>
      <c r="P954" s="1">
        <v>0.032235106</v>
      </c>
      <c r="Q954" s="1">
        <v>0.037778067</v>
      </c>
      <c r="R954" s="1">
        <v>0.043355354</v>
      </c>
      <c r="S954" s="1">
        <v>0.04902828</v>
      </c>
    </row>
    <row r="955" ht="14.25" customHeight="1">
      <c r="A955" s="1" t="s">
        <v>5</v>
      </c>
      <c r="B955" s="1" t="s">
        <v>59</v>
      </c>
      <c r="C955" s="1" t="s">
        <v>15</v>
      </c>
      <c r="D955" s="1" t="s">
        <v>14</v>
      </c>
      <c r="E955" s="1">
        <v>0.0</v>
      </c>
      <c r="F955" s="1">
        <v>0.0</v>
      </c>
      <c r="G955" s="1">
        <v>0.0</v>
      </c>
      <c r="H955" s="1">
        <v>0.0</v>
      </c>
      <c r="I955" s="2">
        <v>4.80322E-5</v>
      </c>
      <c r="J955" s="1">
        <v>0.0050213763</v>
      </c>
      <c r="K955" s="1">
        <v>0.009779519</v>
      </c>
      <c r="L955" s="1">
        <v>0.0144506161</v>
      </c>
      <c r="M955" s="1">
        <v>0.0205592832</v>
      </c>
      <c r="N955" s="1">
        <v>0.0243757859</v>
      </c>
      <c r="O955" s="1">
        <v>0.0278240989999999</v>
      </c>
      <c r="P955" s="1">
        <v>0.030668866</v>
      </c>
      <c r="Q955" s="1">
        <v>0.033800111</v>
      </c>
      <c r="R955" s="1">
        <v>0.03699719</v>
      </c>
      <c r="S955" s="1">
        <v>0.04035501</v>
      </c>
    </row>
    <row r="956" ht="14.25" hidden="1" customHeight="1">
      <c r="A956" s="1" t="s">
        <v>5</v>
      </c>
      <c r="B956" s="1" t="s">
        <v>59</v>
      </c>
      <c r="C956" s="1" t="s">
        <v>17</v>
      </c>
      <c r="D956" s="1" t="s">
        <v>16</v>
      </c>
      <c r="E956" s="2">
        <v>1.06998E-5</v>
      </c>
      <c r="F956" s="2">
        <v>3.34001E-5</v>
      </c>
      <c r="G956" s="2">
        <v>5.03002E-5</v>
      </c>
      <c r="H956" s="2">
        <v>1.749837E-4</v>
      </c>
      <c r="I956" s="2">
        <v>1.354793E-4</v>
      </c>
      <c r="J956" s="2">
        <v>3.201232E-4</v>
      </c>
      <c r="K956" s="2">
        <v>3.819279E-4</v>
      </c>
      <c r="L956" s="2">
        <v>4.4763765E-4</v>
      </c>
      <c r="M956" s="2">
        <v>5.545394E-4</v>
      </c>
      <c r="N956" s="2">
        <v>6.742474E-4</v>
      </c>
      <c r="O956" s="2">
        <v>8.32799599999999E-4</v>
      </c>
      <c r="P956" s="1">
        <v>0.0010191334</v>
      </c>
      <c r="Q956" s="1">
        <v>0.0012004059</v>
      </c>
      <c r="R956" s="1">
        <v>0.0013885788</v>
      </c>
      <c r="S956" s="1">
        <v>0.0015769942</v>
      </c>
    </row>
    <row r="957" ht="14.25" hidden="1" customHeight="1">
      <c r="A957" s="1" t="s">
        <v>5</v>
      </c>
      <c r="B957" s="1" t="s">
        <v>59</v>
      </c>
      <c r="C957" s="1" t="s">
        <v>17</v>
      </c>
      <c r="D957" s="1" t="s">
        <v>18</v>
      </c>
      <c r="E957" s="1">
        <v>0.00168381</v>
      </c>
      <c r="F957" s="1">
        <v>0.00523819</v>
      </c>
      <c r="G957" s="1">
        <v>0.00790169</v>
      </c>
      <c r="H957" s="1">
        <v>0.00561429</v>
      </c>
      <c r="I957" s="1">
        <v>0.00262019</v>
      </c>
      <c r="J957" s="1">
        <v>0.01009674</v>
      </c>
      <c r="K957" s="1">
        <v>0.01301499</v>
      </c>
      <c r="L957" s="1">
        <v>0.0162624099999999</v>
      </c>
      <c r="M957" s="1">
        <v>0.0196646</v>
      </c>
      <c r="N957" s="1">
        <v>0.02330391</v>
      </c>
      <c r="O957" s="1">
        <v>0.026920979</v>
      </c>
      <c r="P957" s="1">
        <v>0.030500341</v>
      </c>
      <c r="Q957" s="1">
        <v>0.034001299</v>
      </c>
      <c r="R957" s="1">
        <v>0.037442543</v>
      </c>
      <c r="S957" s="1">
        <v>0.040571585</v>
      </c>
    </row>
    <row r="958" ht="14.25" hidden="1" customHeight="1">
      <c r="A958" s="1" t="s">
        <v>5</v>
      </c>
      <c r="B958" s="1" t="s">
        <v>59</v>
      </c>
      <c r="C958" s="1" t="s">
        <v>17</v>
      </c>
      <c r="D958" s="1" t="s">
        <v>19</v>
      </c>
      <c r="E958" s="2">
        <v>7.65803E-4</v>
      </c>
      <c r="F958" s="1">
        <v>0.0023822</v>
      </c>
      <c r="G958" s="1">
        <v>0.0035935</v>
      </c>
      <c r="H958" s="1">
        <v>0.00415586</v>
      </c>
      <c r="I958" s="1">
        <v>0.00139766</v>
      </c>
      <c r="J958" s="1">
        <v>0.007127766</v>
      </c>
      <c r="K958" s="1">
        <v>0.009241432</v>
      </c>
      <c r="L958" s="1">
        <v>0.0117654199999999</v>
      </c>
      <c r="M958" s="1">
        <v>0.0145194999999999</v>
      </c>
      <c r="N958" s="1">
        <v>0.01757054</v>
      </c>
      <c r="O958" s="1">
        <v>0.02090614</v>
      </c>
      <c r="P958" s="1">
        <v>0.02444903</v>
      </c>
      <c r="Q958" s="1">
        <v>0.02812383</v>
      </c>
      <c r="R958" s="1">
        <v>0.03184613</v>
      </c>
      <c r="S958" s="1">
        <v>0.03554023</v>
      </c>
    </row>
    <row r="959" ht="14.25" hidden="1" customHeight="1">
      <c r="A959" s="1" t="s">
        <v>5</v>
      </c>
      <c r="B959" s="1" t="s">
        <v>59</v>
      </c>
      <c r="C959" s="1" t="s">
        <v>17</v>
      </c>
      <c r="D959" s="1" t="s">
        <v>8</v>
      </c>
      <c r="E959" s="2">
        <v>3.38904E-4</v>
      </c>
      <c r="F959" s="1">
        <v>0.00105431</v>
      </c>
      <c r="G959" s="1">
        <v>0.00159039</v>
      </c>
      <c r="H959" s="1">
        <v>0.00529592</v>
      </c>
      <c r="I959" s="1">
        <v>0.0037967953201</v>
      </c>
      <c r="J959" s="1">
        <v>0.0200585457561</v>
      </c>
      <c r="K959" s="1">
        <v>0.02725151916</v>
      </c>
      <c r="L959" s="1">
        <v>0.0352781205639999</v>
      </c>
      <c r="M959" s="1">
        <v>0.04378721</v>
      </c>
      <c r="N959" s="1">
        <v>0.05285029</v>
      </c>
      <c r="O959" s="1">
        <v>0.06267148</v>
      </c>
      <c r="P959" s="1">
        <v>0.07284285</v>
      </c>
      <c r="Q959" s="1">
        <v>0.0832657099999999</v>
      </c>
      <c r="R959" s="1">
        <v>0.09368384</v>
      </c>
      <c r="S959" s="1">
        <v>0.10389345</v>
      </c>
    </row>
    <row r="960" ht="14.25" hidden="1" customHeight="1">
      <c r="A960" s="1" t="s">
        <v>5</v>
      </c>
      <c r="B960" s="1" t="s">
        <v>59</v>
      </c>
      <c r="C960" s="1" t="s">
        <v>17</v>
      </c>
      <c r="D960" s="1" t="s">
        <v>20</v>
      </c>
      <c r="E960" s="2">
        <v>2.55263E-4</v>
      </c>
      <c r="F960" s="2">
        <v>7.94211E-4</v>
      </c>
      <c r="G960" s="1">
        <v>0.00119789</v>
      </c>
      <c r="H960" s="1">
        <v>0.001431593</v>
      </c>
      <c r="I960" s="2">
        <v>9.69831999999999E-4</v>
      </c>
      <c r="J960" s="1">
        <v>0.00252718169999999</v>
      </c>
      <c r="K960" s="1">
        <v>0.00331214219999999</v>
      </c>
      <c r="L960" s="1">
        <v>0.00413149</v>
      </c>
      <c r="M960" s="1">
        <v>0.005050456</v>
      </c>
      <c r="N960" s="1">
        <v>0.006078226</v>
      </c>
      <c r="O960" s="1">
        <v>0.00718895999999999</v>
      </c>
      <c r="P960" s="1">
        <v>0.00834966</v>
      </c>
      <c r="Q960" s="1">
        <v>0.0095428</v>
      </c>
      <c r="R960" s="1">
        <v>0.01073792</v>
      </c>
      <c r="S960" s="1">
        <v>0.01190572</v>
      </c>
    </row>
    <row r="961" ht="14.25" hidden="1" customHeight="1">
      <c r="A961" s="1" t="s">
        <v>5</v>
      </c>
      <c r="B961" s="1" t="s">
        <v>59</v>
      </c>
      <c r="C961" s="1" t="s">
        <v>21</v>
      </c>
      <c r="D961" s="1" t="s">
        <v>10</v>
      </c>
      <c r="E961" s="1">
        <v>0.00142069</v>
      </c>
      <c r="F961" s="1">
        <v>0.0044195</v>
      </c>
      <c r="G961" s="1">
        <v>0.00394965</v>
      </c>
      <c r="H961" s="1">
        <v>0.00507587</v>
      </c>
      <c r="I961" s="1">
        <v>0.00475750999999999</v>
      </c>
      <c r="J961" s="1">
        <v>0.00317051047</v>
      </c>
      <c r="K961" s="1">
        <v>0.00829764077</v>
      </c>
      <c r="L961" s="1">
        <v>0.00915971608</v>
      </c>
      <c r="M961" s="1">
        <v>0.009712664372</v>
      </c>
      <c r="N961" s="1">
        <v>0.01014299</v>
      </c>
      <c r="O961" s="1">
        <v>0.010363107</v>
      </c>
      <c r="P961" s="1">
        <v>0.010568562</v>
      </c>
      <c r="Q961" s="1">
        <v>0.010706096</v>
      </c>
      <c r="R961" s="1">
        <v>0.01078852</v>
      </c>
      <c r="S961" s="1">
        <v>0.010811807</v>
      </c>
    </row>
    <row r="962" ht="14.25" hidden="1" customHeight="1">
      <c r="A962" s="1" t="s">
        <v>5</v>
      </c>
      <c r="B962" s="1" t="s">
        <v>59</v>
      </c>
      <c r="C962" s="1" t="s">
        <v>21</v>
      </c>
      <c r="D962" s="1" t="s">
        <v>11</v>
      </c>
      <c r="E962" s="2">
        <v>1.08E-5</v>
      </c>
      <c r="F962" s="2">
        <v>3.35E-5</v>
      </c>
      <c r="G962" s="2">
        <v>2.99E-5</v>
      </c>
      <c r="H962" s="2">
        <v>3.222088E-4</v>
      </c>
      <c r="I962" s="2">
        <v>1.3462673442E-4</v>
      </c>
      <c r="J962" s="1">
        <v>0.024428300755189</v>
      </c>
      <c r="K962" s="1">
        <v>0.0268536</v>
      </c>
      <c r="L962" s="1">
        <v>0.0219909</v>
      </c>
      <c r="M962" s="1">
        <v>0.0213130799999999</v>
      </c>
      <c r="N962" s="1">
        <v>0.02361025</v>
      </c>
      <c r="O962" s="1">
        <v>0.02673879</v>
      </c>
      <c r="P962" s="1">
        <v>0.0276919</v>
      </c>
      <c r="Q962" s="1">
        <v>0.0277533199999999</v>
      </c>
      <c r="R962" s="1">
        <v>0.02835322</v>
      </c>
      <c r="S962" s="1">
        <v>0.0291325799999999</v>
      </c>
    </row>
    <row r="963" ht="14.25" hidden="1" customHeight="1">
      <c r="A963" s="1" t="s">
        <v>5</v>
      </c>
      <c r="B963" s="1" t="s">
        <v>59</v>
      </c>
      <c r="C963" s="1" t="s">
        <v>21</v>
      </c>
      <c r="D963" s="1" t="s">
        <v>22</v>
      </c>
      <c r="E963" s="2">
        <v>3.875E-4</v>
      </c>
      <c r="F963" s="1">
        <v>0.0012054</v>
      </c>
      <c r="G963" s="1">
        <v>0.0010772</v>
      </c>
      <c r="H963" s="1">
        <v>0.001186036</v>
      </c>
      <c r="I963" s="1">
        <v>0.001461372</v>
      </c>
      <c r="J963" s="1">
        <v>0.005051166</v>
      </c>
      <c r="K963" s="1">
        <v>0.00615385</v>
      </c>
      <c r="L963" s="1">
        <v>0.00689089</v>
      </c>
      <c r="M963" s="1">
        <v>0.00729011</v>
      </c>
      <c r="N963" s="1">
        <v>0.00771368</v>
      </c>
      <c r="O963" s="1">
        <v>0.00809228</v>
      </c>
      <c r="P963" s="1">
        <v>0.00811122</v>
      </c>
      <c r="Q963" s="1">
        <v>0.00817825</v>
      </c>
      <c r="R963" s="1">
        <v>0.00826891999999999</v>
      </c>
      <c r="S963" s="1">
        <v>0.00835428</v>
      </c>
    </row>
    <row r="964" ht="14.25" hidden="1" customHeight="1">
      <c r="A964" s="1" t="s">
        <v>5</v>
      </c>
      <c r="B964" s="1" t="s">
        <v>59</v>
      </c>
      <c r="C964" s="1" t="s">
        <v>21</v>
      </c>
      <c r="D964" s="1" t="s">
        <v>23</v>
      </c>
      <c r="E964" s="2">
        <v>6.45994E-5</v>
      </c>
      <c r="F964" s="2">
        <v>2.008937E-4</v>
      </c>
      <c r="G964" s="2">
        <v>1.794899E-4</v>
      </c>
      <c r="H964" s="2">
        <v>2.77659E-4</v>
      </c>
      <c r="I964" s="2">
        <v>5.68874E-4</v>
      </c>
      <c r="J964" s="1">
        <v>0.0024016994</v>
      </c>
      <c r="K964" s="1">
        <v>0.003613721</v>
      </c>
      <c r="L964" s="1">
        <v>0.004858351</v>
      </c>
      <c r="M964" s="1">
        <v>0.006165382</v>
      </c>
      <c r="N964" s="1">
        <v>0.00754097</v>
      </c>
      <c r="O964" s="1">
        <v>0.00883083</v>
      </c>
      <c r="P964" s="1">
        <v>0.00969822</v>
      </c>
      <c r="Q964" s="1">
        <v>0.01041503</v>
      </c>
      <c r="R964" s="1">
        <v>0.0110212399999999</v>
      </c>
      <c r="S964" s="1">
        <v>0.0114680399999999</v>
      </c>
    </row>
    <row r="965" ht="14.25" hidden="1" customHeight="1">
      <c r="A965" s="1" t="s">
        <v>5</v>
      </c>
      <c r="B965" s="1" t="s">
        <v>59</v>
      </c>
      <c r="C965" s="1" t="s">
        <v>21</v>
      </c>
      <c r="D965" s="1" t="s">
        <v>24</v>
      </c>
      <c r="E965" s="2">
        <v>8.86894E-4</v>
      </c>
      <c r="F965" s="1">
        <v>0.002758901</v>
      </c>
      <c r="G965" s="1">
        <v>0.0024656</v>
      </c>
      <c r="H965" s="1">
        <v>0.00365515499999999</v>
      </c>
      <c r="I965" s="1">
        <v>0.003177779</v>
      </c>
      <c r="J965" s="1">
        <v>0.003352097</v>
      </c>
      <c r="K965" s="1">
        <v>0.00315576</v>
      </c>
      <c r="L965" s="1">
        <v>0.003196076</v>
      </c>
      <c r="M965" s="1">
        <v>0.003203556</v>
      </c>
      <c r="N965" s="1">
        <v>0.00322926</v>
      </c>
      <c r="O965" s="1">
        <v>0.00324763299999999</v>
      </c>
      <c r="P965" s="1">
        <v>0.003322326</v>
      </c>
      <c r="Q965" s="1">
        <v>0.003373809</v>
      </c>
      <c r="R965" s="1">
        <v>0.003411484</v>
      </c>
      <c r="S965" s="1">
        <v>0.003433237</v>
      </c>
    </row>
    <row r="966" ht="14.25" hidden="1" customHeight="1">
      <c r="A966" s="1" t="s">
        <v>5</v>
      </c>
      <c r="B966" s="1" t="s">
        <v>59</v>
      </c>
      <c r="C966" s="1" t="s">
        <v>21</v>
      </c>
      <c r="D966" s="1" t="s">
        <v>12</v>
      </c>
      <c r="E966" s="2">
        <v>1.1004E-6</v>
      </c>
      <c r="F966" s="2">
        <v>3.29839E-6</v>
      </c>
      <c r="G966" s="2">
        <v>3.00532E-6</v>
      </c>
      <c r="H966" s="2">
        <v>1.2205E-7</v>
      </c>
      <c r="I966" s="2">
        <v>7.27761E-6</v>
      </c>
      <c r="J966" s="2">
        <v>3.50905E-5</v>
      </c>
      <c r="K966" s="2">
        <v>5.13125E-5</v>
      </c>
      <c r="L966" s="2">
        <v>5.76671E-5</v>
      </c>
      <c r="M966" s="2">
        <v>6.10931E-5</v>
      </c>
      <c r="N966" s="2">
        <v>6.4664E-5</v>
      </c>
      <c r="O966" s="2">
        <v>6.78416E-5</v>
      </c>
      <c r="P966" s="2">
        <v>6.8001E-5</v>
      </c>
      <c r="Q966" s="2">
        <v>6.85629E-5</v>
      </c>
      <c r="R966" s="2">
        <v>6.93231E-5</v>
      </c>
      <c r="S966" s="2">
        <v>7.00386E-5</v>
      </c>
    </row>
    <row r="967" ht="14.25" hidden="1" customHeight="1">
      <c r="A967" s="1" t="s">
        <v>5</v>
      </c>
      <c r="B967" s="1" t="s">
        <v>59</v>
      </c>
      <c r="C967" s="1" t="s">
        <v>21</v>
      </c>
      <c r="D967" s="1" t="s">
        <v>13</v>
      </c>
      <c r="E967" s="1">
        <v>0.00140707</v>
      </c>
      <c r="F967" s="1">
        <v>0.00437719</v>
      </c>
      <c r="G967" s="1">
        <v>0.00564743</v>
      </c>
      <c r="H967" s="1">
        <v>0.003764988</v>
      </c>
      <c r="I967" s="1">
        <v>0.0032604051</v>
      </c>
      <c r="J967" s="1">
        <v>0.0033971072</v>
      </c>
      <c r="K967" s="1">
        <v>0.0025907624</v>
      </c>
      <c r="L967" s="1">
        <v>0.0034981118</v>
      </c>
      <c r="M967" s="1">
        <v>0.004945364</v>
      </c>
      <c r="N967" s="1">
        <v>0.0070985</v>
      </c>
      <c r="O967" s="1">
        <v>0.00918093899999999</v>
      </c>
      <c r="P967" s="1">
        <v>0.011317785</v>
      </c>
      <c r="Q967" s="1">
        <v>0.0133088989999999</v>
      </c>
      <c r="R967" s="1">
        <v>0.01518597</v>
      </c>
      <c r="S967" s="1">
        <v>0.01709646</v>
      </c>
    </row>
    <row r="968" ht="14.25" hidden="1" customHeight="1">
      <c r="A968" s="1" t="s">
        <v>5</v>
      </c>
      <c r="B968" s="1" t="s">
        <v>59</v>
      </c>
      <c r="C968" s="1" t="s">
        <v>21</v>
      </c>
      <c r="D968" s="1" t="s">
        <v>14</v>
      </c>
      <c r="E968" s="2">
        <v>1.08E-5</v>
      </c>
      <c r="F968" s="2">
        <v>3.36997E-5</v>
      </c>
      <c r="G968" s="2">
        <v>4.34001E-5</v>
      </c>
      <c r="H968" s="2">
        <v>3.08719E-4</v>
      </c>
      <c r="I968" s="1">
        <v>0.001180872</v>
      </c>
      <c r="J968" s="2">
        <v>4.981775E-4</v>
      </c>
      <c r="K968" s="2">
        <v>4.42E-5</v>
      </c>
      <c r="L968" s="2">
        <v>3.75248E-5</v>
      </c>
      <c r="M968" s="2">
        <v>4.93461E-5</v>
      </c>
      <c r="N968" s="2">
        <v>5.39043E-5</v>
      </c>
      <c r="O968" s="2">
        <v>6.15381999999999E-5</v>
      </c>
      <c r="P968" s="2">
        <v>7.22828E-5</v>
      </c>
      <c r="Q968" s="2">
        <v>7.94027E-5</v>
      </c>
      <c r="R968" s="2">
        <v>8.68163E-5</v>
      </c>
      <c r="S968" s="2">
        <v>9.42432E-5</v>
      </c>
    </row>
    <row r="969" ht="14.25" hidden="1" customHeight="1">
      <c r="A969" s="1" t="s">
        <v>5</v>
      </c>
      <c r="B969" s="1" t="s">
        <v>59</v>
      </c>
      <c r="C969" s="1" t="s">
        <v>21</v>
      </c>
      <c r="D969" s="1" t="s">
        <v>25</v>
      </c>
      <c r="E969" s="2">
        <v>8.226E-4</v>
      </c>
      <c r="F969" s="1">
        <v>0.002559</v>
      </c>
      <c r="G969" s="1">
        <v>0.0033016</v>
      </c>
      <c r="H969" s="1">
        <v>0.00378163</v>
      </c>
      <c r="I969" s="1">
        <v>0.00493928</v>
      </c>
      <c r="J969" s="1">
        <v>0.00511105</v>
      </c>
      <c r="K969" s="1">
        <v>0.00449876</v>
      </c>
      <c r="L969" s="1">
        <v>0.00395783</v>
      </c>
      <c r="M969" s="1">
        <v>0.00308104</v>
      </c>
      <c r="N969" s="1">
        <v>0.00321460999999999</v>
      </c>
      <c r="O969" s="1">
        <v>0.00346527</v>
      </c>
      <c r="P969" s="1">
        <v>0.00390149999999999</v>
      </c>
      <c r="Q969" s="1">
        <v>0.00441666</v>
      </c>
      <c r="R969" s="1">
        <v>0.00495356</v>
      </c>
      <c r="S969" s="1">
        <v>0.00545418999999999</v>
      </c>
    </row>
    <row r="970" ht="14.25" hidden="1" customHeight="1">
      <c r="A970" s="1" t="s">
        <v>5</v>
      </c>
      <c r="B970" s="1" t="s">
        <v>59</v>
      </c>
      <c r="C970" s="1" t="s">
        <v>21</v>
      </c>
      <c r="D970" s="1" t="s">
        <v>26</v>
      </c>
      <c r="E970" s="2">
        <v>4.112962E-4</v>
      </c>
      <c r="F970" s="1">
        <v>0.001279499</v>
      </c>
      <c r="G970" s="1">
        <v>0.001650812</v>
      </c>
      <c r="H970" s="1">
        <v>0.00253852699999999</v>
      </c>
      <c r="I970" s="1">
        <v>0.004326545</v>
      </c>
      <c r="J970" s="1">
        <v>0.007260528</v>
      </c>
      <c r="K970" s="1">
        <v>0.008002323</v>
      </c>
      <c r="L970" s="1">
        <v>0.00862343</v>
      </c>
      <c r="M970" s="1">
        <v>0.00788743</v>
      </c>
      <c r="N970" s="1">
        <v>0.00951035999999999</v>
      </c>
      <c r="O970" s="1">
        <v>0.01160564</v>
      </c>
      <c r="P970" s="1">
        <v>0.01459951</v>
      </c>
      <c r="Q970" s="1">
        <v>0.01835538</v>
      </c>
      <c r="R970" s="1">
        <v>0.02255291</v>
      </c>
      <c r="S970" s="1">
        <v>0.02687614</v>
      </c>
    </row>
    <row r="971" ht="14.25" hidden="1" customHeight="1">
      <c r="A971" s="1" t="s">
        <v>5</v>
      </c>
      <c r="B971" s="1" t="s">
        <v>59</v>
      </c>
      <c r="C971" s="1" t="s">
        <v>21</v>
      </c>
      <c r="D971" s="1" t="s">
        <v>27</v>
      </c>
      <c r="E971" s="2">
        <v>7.29504E-4</v>
      </c>
      <c r="F971" s="1">
        <v>0.0022694</v>
      </c>
      <c r="G971" s="1">
        <v>0.002928</v>
      </c>
      <c r="H971" s="1">
        <v>0.004717044</v>
      </c>
      <c r="I971" s="1">
        <v>0.004972311</v>
      </c>
      <c r="J971" s="1">
        <v>0.008142181</v>
      </c>
      <c r="K971" s="1">
        <v>0.008566084</v>
      </c>
      <c r="L971" s="1">
        <v>0.009206193</v>
      </c>
      <c r="M971" s="1">
        <v>0.010047306</v>
      </c>
      <c r="N971" s="1">
        <v>0.01094066</v>
      </c>
      <c r="O971" s="1">
        <v>0.0118374</v>
      </c>
      <c r="P971" s="1">
        <v>0.01320693</v>
      </c>
      <c r="Q971" s="1">
        <v>0.01473001</v>
      </c>
      <c r="R971" s="1">
        <v>0.01624838</v>
      </c>
      <c r="S971" s="1">
        <v>0.01776968</v>
      </c>
    </row>
    <row r="972" ht="14.25" hidden="1" customHeight="1">
      <c r="A972" s="1" t="s">
        <v>5</v>
      </c>
      <c r="B972" s="1" t="s">
        <v>59</v>
      </c>
      <c r="C972" s="1" t="s">
        <v>21</v>
      </c>
      <c r="D972" s="1" t="s">
        <v>28</v>
      </c>
      <c r="E972" s="2">
        <v>1.1E-6</v>
      </c>
      <c r="F972" s="2">
        <v>3.4E-6</v>
      </c>
      <c r="G972" s="2">
        <v>4.3E-6</v>
      </c>
      <c r="H972" s="2">
        <v>4.03402E-6</v>
      </c>
      <c r="I972" s="2">
        <v>5.10586E-6</v>
      </c>
      <c r="J972" s="2">
        <v>5.35169E-6</v>
      </c>
      <c r="K972" s="2">
        <v>4.69872E-6</v>
      </c>
      <c r="L972" s="2">
        <v>4.13125E-6</v>
      </c>
      <c r="M972" s="2">
        <v>3.21574E-6</v>
      </c>
      <c r="N972" s="2">
        <v>3.35512E-6</v>
      </c>
      <c r="O972" s="2">
        <v>3.61672E-6</v>
      </c>
      <c r="P972" s="2">
        <v>4.07201E-6</v>
      </c>
      <c r="Q972" s="2">
        <v>4.60969E-6</v>
      </c>
      <c r="R972" s="2">
        <v>5.17006E-6</v>
      </c>
      <c r="S972" s="2">
        <v>5.69257E-6</v>
      </c>
    </row>
    <row r="973" ht="14.25" hidden="1" customHeight="1">
      <c r="A973" s="1" t="s">
        <v>5</v>
      </c>
      <c r="B973" s="1" t="s">
        <v>59</v>
      </c>
      <c r="C973" s="1" t="s">
        <v>29</v>
      </c>
      <c r="D973" s="1" t="s">
        <v>16</v>
      </c>
      <c r="E973" s="1">
        <v>0.00214815</v>
      </c>
      <c r="F973" s="1">
        <v>0.00412432</v>
      </c>
      <c r="G973" s="1">
        <v>0.00489932</v>
      </c>
      <c r="H973" s="1">
        <v>0.00545961</v>
      </c>
      <c r="I973" s="1">
        <v>0.00415758</v>
      </c>
      <c r="J973" s="1">
        <v>0.00661517</v>
      </c>
      <c r="K973" s="1">
        <v>0.007000154</v>
      </c>
      <c r="L973" s="1">
        <v>0.007312943</v>
      </c>
      <c r="M973" s="1">
        <v>0.00712632</v>
      </c>
      <c r="N973" s="1">
        <v>0.00753267</v>
      </c>
      <c r="O973" s="1">
        <v>0.008191913</v>
      </c>
      <c r="P973" s="1">
        <v>0.008950517</v>
      </c>
      <c r="Q973" s="1">
        <v>0.009939743</v>
      </c>
      <c r="R973" s="1">
        <v>0.0110359699999999</v>
      </c>
      <c r="S973" s="1">
        <v>0.012075659</v>
      </c>
    </row>
    <row r="974" ht="14.25" hidden="1" customHeight="1">
      <c r="A974" s="1" t="s">
        <v>5</v>
      </c>
      <c r="B974" s="1" t="s">
        <v>59</v>
      </c>
      <c r="C974" s="1" t="s">
        <v>29</v>
      </c>
      <c r="D974" s="1" t="s">
        <v>8</v>
      </c>
      <c r="E974" s="2">
        <v>4.67005E-5</v>
      </c>
      <c r="F974" s="2">
        <v>8.97006E-5</v>
      </c>
      <c r="G974" s="2">
        <v>1.065E-4</v>
      </c>
      <c r="H974" s="2">
        <v>8.2334101E-5</v>
      </c>
      <c r="I974" s="1">
        <v>0.001269214791</v>
      </c>
      <c r="J974" s="1">
        <v>0.001152417911</v>
      </c>
      <c r="K974" s="2">
        <v>9.934698006E-4</v>
      </c>
      <c r="L974" s="2">
        <v>7.53844290199999E-4</v>
      </c>
      <c r="M974" s="2">
        <v>4.978573106E-4</v>
      </c>
      <c r="N974" s="2">
        <v>3.525453E-4</v>
      </c>
      <c r="O974" s="2">
        <v>2.2285574E-4</v>
      </c>
      <c r="P974" s="2">
        <v>2.4892811E-4</v>
      </c>
      <c r="Q974" s="2">
        <v>2.7989837E-4</v>
      </c>
      <c r="R974" s="2">
        <v>3.1179053E-4</v>
      </c>
      <c r="S974" s="2">
        <v>3.4219589E-4</v>
      </c>
    </row>
    <row r="975" ht="14.25" hidden="1" customHeight="1">
      <c r="A975" s="1" t="s">
        <v>5</v>
      </c>
      <c r="B975" s="1" t="s">
        <v>59</v>
      </c>
      <c r="C975" s="1" t="s">
        <v>29</v>
      </c>
      <c r="D975" s="1" t="s">
        <v>10</v>
      </c>
      <c r="E975" s="2">
        <v>2.38999E-5</v>
      </c>
      <c r="F975" s="2">
        <v>4.57989E-5</v>
      </c>
      <c r="G975" s="2">
        <v>4.51994E-5</v>
      </c>
      <c r="H975" s="1">
        <v>0.0014021688</v>
      </c>
      <c r="I975" s="1">
        <v>0.0012265059</v>
      </c>
      <c r="J975" s="1">
        <v>0.00101534886164999</v>
      </c>
      <c r="K975" s="2">
        <v>7.1899381666E-4</v>
      </c>
      <c r="L975" s="2">
        <v>4.1484280096E-4</v>
      </c>
      <c r="M975" s="2">
        <v>2.0021299082E-4</v>
      </c>
      <c r="N975" s="2">
        <v>1.720916069E-5</v>
      </c>
      <c r="O975" s="2">
        <v>1.355323499E-5</v>
      </c>
      <c r="P975" s="2">
        <v>1.110798E-5</v>
      </c>
      <c r="Q975" s="2">
        <v>8.743635E-6</v>
      </c>
      <c r="R975" s="2">
        <v>7.76669299999999E-6</v>
      </c>
      <c r="S975" s="2">
        <v>7.230383E-6</v>
      </c>
    </row>
    <row r="976" ht="14.25" hidden="1" customHeight="1">
      <c r="A976" s="1" t="s">
        <v>5</v>
      </c>
      <c r="B976" s="1" t="s">
        <v>59</v>
      </c>
      <c r="C976" s="1" t="s">
        <v>29</v>
      </c>
      <c r="D976" s="1" t="s">
        <v>11</v>
      </c>
      <c r="E976" s="1">
        <v>0.00510691</v>
      </c>
      <c r="F976" s="1">
        <v>0.00980429</v>
      </c>
      <c r="G976" s="1">
        <v>0.00966509</v>
      </c>
      <c r="H976" s="1">
        <v>0.0075017313</v>
      </c>
      <c r="I976" s="1">
        <v>0.00629722288182</v>
      </c>
      <c r="J976" s="1">
        <v>0.051551415344704</v>
      </c>
      <c r="K976" s="1">
        <v>0.076260675802827</v>
      </c>
      <c r="L976" s="1">
        <v>0.09511392634091</v>
      </c>
      <c r="M976" s="1">
        <v>0.10372924865</v>
      </c>
      <c r="N976" s="1">
        <v>0.1100853</v>
      </c>
      <c r="O976" s="1">
        <v>0.11481385</v>
      </c>
      <c r="P976" s="1">
        <v>0.11408826</v>
      </c>
      <c r="Q976" s="1">
        <v>0.11519529</v>
      </c>
      <c r="R976" s="1">
        <v>0.11612396</v>
      </c>
      <c r="S976" s="1">
        <v>0.116861949999999</v>
      </c>
    </row>
    <row r="977" ht="14.25" hidden="1" customHeight="1">
      <c r="A977" s="1" t="s">
        <v>5</v>
      </c>
      <c r="B977" s="1" t="s">
        <v>59</v>
      </c>
      <c r="C977" s="1" t="s">
        <v>29</v>
      </c>
      <c r="D977" s="1" t="s">
        <v>13</v>
      </c>
      <c r="E977" s="2">
        <v>2.39011E-5</v>
      </c>
      <c r="F977" s="2">
        <v>4.59999E-5</v>
      </c>
      <c r="G977" s="2">
        <v>3.79995E-5</v>
      </c>
      <c r="H977" s="1">
        <v>0.0132664314</v>
      </c>
      <c r="I977" s="1">
        <v>0.0160250071</v>
      </c>
      <c r="J977" s="1">
        <v>0.0207158598</v>
      </c>
      <c r="K977" s="1">
        <v>0.0262387724</v>
      </c>
      <c r="L977" s="1">
        <v>0.02940154817</v>
      </c>
      <c r="M977" s="1">
        <v>0.0328045</v>
      </c>
      <c r="N977" s="1">
        <v>0.035458983</v>
      </c>
      <c r="O977" s="1">
        <v>0.038304164</v>
      </c>
      <c r="P977" s="1">
        <v>0.04127088</v>
      </c>
      <c r="Q977" s="1">
        <v>0.0449848</v>
      </c>
      <c r="R977" s="1">
        <v>0.04901626</v>
      </c>
      <c r="S977" s="1">
        <v>0.05297828</v>
      </c>
    </row>
    <row r="978" ht="14.25" hidden="1" customHeight="1">
      <c r="A978" s="1" t="s">
        <v>5</v>
      </c>
      <c r="B978" s="1" t="s">
        <v>59</v>
      </c>
      <c r="C978" s="1" t="s">
        <v>29</v>
      </c>
      <c r="D978" s="1" t="s">
        <v>14</v>
      </c>
      <c r="E978" s="1">
        <v>0.0174775</v>
      </c>
      <c r="F978" s="1">
        <v>0.0335536</v>
      </c>
      <c r="G978" s="1">
        <v>0.0277408</v>
      </c>
      <c r="H978" s="1">
        <v>0.02354486</v>
      </c>
      <c r="I978" s="1">
        <v>0.02615623</v>
      </c>
      <c r="J978" s="1">
        <v>0.02300087</v>
      </c>
      <c r="K978" s="1">
        <v>0.0188959</v>
      </c>
      <c r="L978" s="1">
        <v>0.0148267049999999</v>
      </c>
      <c r="M978" s="1">
        <v>0.008524525</v>
      </c>
      <c r="N978" s="1">
        <v>0.008420901</v>
      </c>
      <c r="O978" s="1">
        <v>0.008920753</v>
      </c>
      <c r="P978" s="1">
        <v>0.010321629</v>
      </c>
      <c r="Q978" s="1">
        <v>0.011905476</v>
      </c>
      <c r="R978" s="1">
        <v>0.013616988</v>
      </c>
      <c r="S978" s="1">
        <v>0.015288093</v>
      </c>
    </row>
    <row r="979" ht="14.25" hidden="1" customHeight="1">
      <c r="A979" s="1" t="s">
        <v>5</v>
      </c>
      <c r="B979" s="1" t="s">
        <v>59</v>
      </c>
      <c r="C979" s="1" t="s">
        <v>31</v>
      </c>
      <c r="D979" s="1" t="s">
        <v>11</v>
      </c>
      <c r="E979" s="1">
        <v>0.194717</v>
      </c>
      <c r="F979" s="1">
        <v>0.228139</v>
      </c>
      <c r="G979" s="1">
        <v>0.279915</v>
      </c>
      <c r="H979" s="1">
        <v>0.268522</v>
      </c>
      <c r="I979" s="1">
        <v>0.45237</v>
      </c>
      <c r="J979" s="1">
        <v>0.119168</v>
      </c>
      <c r="K979" s="1">
        <v>0.0708764</v>
      </c>
      <c r="L979" s="1">
        <v>0.0557577</v>
      </c>
      <c r="M979" s="1">
        <v>0.04176</v>
      </c>
      <c r="N979" s="1">
        <v>0.0213361</v>
      </c>
      <c r="O979" s="1">
        <v>0.0</v>
      </c>
      <c r="P979" s="1">
        <v>0.0</v>
      </c>
      <c r="Q979" s="1">
        <v>0.0</v>
      </c>
      <c r="R979" s="1">
        <v>0.0</v>
      </c>
      <c r="S979" s="1">
        <v>0.0</v>
      </c>
    </row>
    <row r="980" ht="14.25" hidden="1" customHeight="1">
      <c r="A980" s="1" t="s">
        <v>5</v>
      </c>
      <c r="B980" s="1" t="s">
        <v>60</v>
      </c>
      <c r="C980" s="1" t="s">
        <v>7</v>
      </c>
      <c r="D980" s="1" t="s">
        <v>8</v>
      </c>
      <c r="E980" s="2">
        <v>8.80107E-5</v>
      </c>
      <c r="F980" s="2">
        <v>1.12179E-4</v>
      </c>
      <c r="G980" s="2">
        <v>1.20168E-4</v>
      </c>
      <c r="H980" s="2">
        <v>2.31449E-5</v>
      </c>
      <c r="I980" s="2">
        <v>9.26104E-6</v>
      </c>
      <c r="J980" s="2">
        <v>2.00644E-6</v>
      </c>
      <c r="K980" s="2">
        <v>1.50829E-6</v>
      </c>
      <c r="L980" s="2">
        <v>1.34885E-6</v>
      </c>
      <c r="M980" s="2">
        <v>9.55301E-7</v>
      </c>
      <c r="N980" s="2">
        <v>5.17185E-7</v>
      </c>
      <c r="O980" s="1">
        <v>0.0</v>
      </c>
      <c r="P980" s="1">
        <v>0.0</v>
      </c>
      <c r="Q980" s="1">
        <v>0.0</v>
      </c>
      <c r="R980" s="1">
        <v>0.0</v>
      </c>
      <c r="S980" s="1">
        <v>0.0</v>
      </c>
    </row>
    <row r="981" ht="14.25" hidden="1" customHeight="1">
      <c r="A981" s="1" t="s">
        <v>5</v>
      </c>
      <c r="B981" s="1" t="s">
        <v>60</v>
      </c>
      <c r="C981" s="1" t="s">
        <v>9</v>
      </c>
      <c r="D981" s="1" t="s">
        <v>8</v>
      </c>
      <c r="E981" s="2">
        <v>5.58798E-6</v>
      </c>
      <c r="F981" s="2">
        <v>4.89473E-6</v>
      </c>
      <c r="G981" s="2">
        <v>7.19809E-6</v>
      </c>
      <c r="H981" s="2">
        <v>2.03529E-6</v>
      </c>
      <c r="I981" s="2">
        <v>1.29138E-4</v>
      </c>
      <c r="J981" s="1">
        <v>0.0</v>
      </c>
      <c r="K981" s="1">
        <v>0.0</v>
      </c>
      <c r="L981" s="1">
        <v>0.0</v>
      </c>
      <c r="M981" s="1">
        <v>0.0</v>
      </c>
      <c r="N981" s="1">
        <v>0.0</v>
      </c>
      <c r="O981" s="1">
        <v>0.0</v>
      </c>
      <c r="P981" s="1">
        <v>0.0</v>
      </c>
      <c r="Q981" s="1">
        <v>0.0</v>
      </c>
      <c r="R981" s="1">
        <v>0.0</v>
      </c>
      <c r="S981" s="1">
        <v>0.0</v>
      </c>
    </row>
    <row r="982" ht="14.25" hidden="1" customHeight="1">
      <c r="A982" s="1" t="s">
        <v>5</v>
      </c>
      <c r="B982" s="1" t="s">
        <v>60</v>
      </c>
      <c r="C982" s="1" t="s">
        <v>9</v>
      </c>
      <c r="D982" s="1" t="s">
        <v>10</v>
      </c>
      <c r="E982" s="1">
        <v>0.0</v>
      </c>
      <c r="F982" s="1">
        <v>0.0</v>
      </c>
      <c r="G982" s="2">
        <v>2.99608E-7</v>
      </c>
      <c r="H982" s="1">
        <v>0.0</v>
      </c>
      <c r="I982" s="2">
        <v>3.39529E-9</v>
      </c>
      <c r="J982" s="2">
        <v>1.20513E-5</v>
      </c>
      <c r="K982" s="1">
        <v>0.0</v>
      </c>
      <c r="L982" s="1">
        <v>0.0</v>
      </c>
      <c r="M982" s="1">
        <v>0.0</v>
      </c>
      <c r="N982" s="1">
        <v>0.0</v>
      </c>
      <c r="O982" s="1">
        <v>0.0</v>
      </c>
      <c r="P982" s="1">
        <v>0.0</v>
      </c>
      <c r="Q982" s="1">
        <v>0.0</v>
      </c>
      <c r="R982" s="1">
        <v>0.0</v>
      </c>
      <c r="S982" s="1">
        <v>0.0</v>
      </c>
    </row>
    <row r="983" ht="14.25" hidden="1" customHeight="1">
      <c r="A983" s="1" t="s">
        <v>5</v>
      </c>
      <c r="B983" s="1" t="s">
        <v>60</v>
      </c>
      <c r="C983" s="1" t="s">
        <v>9</v>
      </c>
      <c r="D983" s="1" t="s">
        <v>11</v>
      </c>
      <c r="E983" s="1">
        <v>0.0</v>
      </c>
      <c r="F983" s="1">
        <v>0.0</v>
      </c>
      <c r="G983" s="2">
        <v>3.00205E-7</v>
      </c>
      <c r="H983" s="1">
        <v>0.0</v>
      </c>
      <c r="I983" s="1">
        <v>0.0</v>
      </c>
      <c r="J983" s="1">
        <v>0.0</v>
      </c>
      <c r="K983" s="1">
        <v>0.0</v>
      </c>
      <c r="L983" s="1">
        <v>0.0</v>
      </c>
      <c r="M983" s="1">
        <v>0.0</v>
      </c>
      <c r="N983" s="1">
        <v>0.0</v>
      </c>
      <c r="O983" s="1">
        <v>0.0</v>
      </c>
      <c r="P983" s="1">
        <v>0.0</v>
      </c>
      <c r="Q983" s="1">
        <v>0.0</v>
      </c>
      <c r="R983" s="1">
        <v>0.0</v>
      </c>
      <c r="S983" s="1">
        <v>0.0</v>
      </c>
    </row>
    <row r="984" ht="14.25" hidden="1" customHeight="1">
      <c r="A984" s="1" t="s">
        <v>5</v>
      </c>
      <c r="B984" s="1" t="s">
        <v>60</v>
      </c>
      <c r="C984" s="1" t="s">
        <v>9</v>
      </c>
      <c r="D984" s="1" t="s">
        <v>13</v>
      </c>
      <c r="E984" s="1">
        <v>0.0</v>
      </c>
      <c r="F984" s="1">
        <v>0.0</v>
      </c>
      <c r="G984" s="1">
        <v>0.0</v>
      </c>
      <c r="H984" s="2">
        <v>6.51209E-7</v>
      </c>
      <c r="I984" s="1">
        <v>0.0</v>
      </c>
      <c r="J984" s="1">
        <v>0.0</v>
      </c>
      <c r="K984" s="1">
        <v>0.0</v>
      </c>
      <c r="L984" s="1">
        <v>0.0</v>
      </c>
      <c r="M984" s="1">
        <v>0.0</v>
      </c>
      <c r="N984" s="1">
        <v>0.0</v>
      </c>
      <c r="O984" s="1">
        <v>0.0</v>
      </c>
      <c r="P984" s="1">
        <v>0.0</v>
      </c>
      <c r="Q984" s="1">
        <v>0.0</v>
      </c>
      <c r="R984" s="1">
        <v>0.0</v>
      </c>
      <c r="S984" s="1">
        <v>0.0</v>
      </c>
    </row>
    <row r="985" ht="14.25" hidden="1" customHeight="1">
      <c r="A985" s="1" t="s">
        <v>5</v>
      </c>
      <c r="B985" s="1" t="s">
        <v>60</v>
      </c>
      <c r="C985" s="1" t="s">
        <v>9</v>
      </c>
      <c r="D985" s="1" t="s">
        <v>14</v>
      </c>
      <c r="E985" s="1">
        <v>0.0</v>
      </c>
      <c r="F985" s="1">
        <v>0.0</v>
      </c>
      <c r="G985" s="1">
        <v>0.0</v>
      </c>
      <c r="H985" s="2">
        <v>4.3244E-8</v>
      </c>
      <c r="I985" s="1">
        <v>0.0</v>
      </c>
      <c r="J985" s="1">
        <v>0.0</v>
      </c>
      <c r="K985" s="1">
        <v>0.0</v>
      </c>
      <c r="L985" s="1">
        <v>0.0</v>
      </c>
      <c r="M985" s="1">
        <v>0.0</v>
      </c>
      <c r="N985" s="1">
        <v>0.0</v>
      </c>
      <c r="O985" s="1">
        <v>0.0</v>
      </c>
      <c r="P985" s="1">
        <v>0.0</v>
      </c>
      <c r="Q985" s="1">
        <v>0.0</v>
      </c>
      <c r="R985" s="1">
        <v>0.0</v>
      </c>
      <c r="S985" s="1">
        <v>0.0</v>
      </c>
    </row>
    <row r="986" ht="14.25" hidden="1" customHeight="1">
      <c r="A986" s="1" t="s">
        <v>5</v>
      </c>
      <c r="B986" s="1" t="s">
        <v>60</v>
      </c>
      <c r="C986" s="1" t="s">
        <v>15</v>
      </c>
      <c r="D986" s="1" t="s">
        <v>16</v>
      </c>
      <c r="E986" s="2">
        <v>2.99729E-6</v>
      </c>
      <c r="F986" s="2">
        <v>4.49664E-6</v>
      </c>
      <c r="G986" s="1">
        <v>0.0</v>
      </c>
      <c r="H986" s="2">
        <v>1.3109E-5</v>
      </c>
      <c r="I986" s="2">
        <v>9.917E-5</v>
      </c>
      <c r="J986" s="2">
        <v>2.6029428E-4</v>
      </c>
      <c r="K986" s="2">
        <v>5.06214579999999E-4</v>
      </c>
      <c r="L986" s="2">
        <v>7.8915807E-4</v>
      </c>
      <c r="M986" s="1">
        <v>0.00109750677</v>
      </c>
      <c r="N986" s="1">
        <v>0.0013588346</v>
      </c>
      <c r="O986" s="1">
        <v>0.001605389</v>
      </c>
      <c r="P986" s="1">
        <v>0.0018191554</v>
      </c>
      <c r="Q986" s="1">
        <v>0.0020238067</v>
      </c>
      <c r="R986" s="1">
        <v>0.0022081622</v>
      </c>
      <c r="S986" s="1">
        <v>0.0023682451</v>
      </c>
    </row>
    <row r="987" ht="14.25" hidden="1" customHeight="1">
      <c r="A987" s="1" t="s">
        <v>5</v>
      </c>
      <c r="B987" s="1" t="s">
        <v>60</v>
      </c>
      <c r="C987" s="1" t="s">
        <v>15</v>
      </c>
      <c r="D987" s="1" t="s">
        <v>13</v>
      </c>
      <c r="E987" s="2">
        <v>3.39226E-6</v>
      </c>
      <c r="F987" s="2">
        <v>5.19704E-6</v>
      </c>
      <c r="G987" s="1">
        <v>0.0</v>
      </c>
      <c r="H987" s="2">
        <v>2.00089E-6</v>
      </c>
      <c r="I987" s="2">
        <v>1.912344E-6</v>
      </c>
      <c r="J987" s="2">
        <v>2.873058E-5</v>
      </c>
      <c r="K987" s="2">
        <v>5.833868E-5</v>
      </c>
      <c r="L987" s="2">
        <v>8.91525261E-5</v>
      </c>
      <c r="M987" s="2">
        <v>1.10440864399999E-4</v>
      </c>
      <c r="N987" s="2">
        <v>1.236336543E-4</v>
      </c>
      <c r="O987" s="2">
        <v>1.2719651E-4</v>
      </c>
      <c r="P987" s="2">
        <v>1.2401336E-4</v>
      </c>
      <c r="Q987" s="2">
        <v>1.19775319999999E-4</v>
      </c>
      <c r="R987" s="2">
        <v>1.1490366E-4</v>
      </c>
      <c r="S987" s="2">
        <v>1.1126314E-4</v>
      </c>
    </row>
    <row r="988" ht="14.25" customHeight="1">
      <c r="A988" s="1" t="s">
        <v>5</v>
      </c>
      <c r="B988" s="1" t="s">
        <v>60</v>
      </c>
      <c r="C988" s="1" t="s">
        <v>15</v>
      </c>
      <c r="D988" s="1" t="s">
        <v>14</v>
      </c>
      <c r="E988" s="2">
        <v>3.39877E-6</v>
      </c>
      <c r="F988" s="2">
        <v>5.20383E-6</v>
      </c>
      <c r="G988" s="1">
        <v>0.0</v>
      </c>
      <c r="H988" s="2">
        <v>3.82406E-6</v>
      </c>
      <c r="I988" s="2">
        <v>3.32043E-6</v>
      </c>
      <c r="J988" s="2">
        <v>3.81511999999999E-5</v>
      </c>
      <c r="K988" s="2">
        <v>3.5368993E-4</v>
      </c>
      <c r="L988" s="2">
        <v>5.6925266E-4</v>
      </c>
      <c r="M988" s="2">
        <v>7.52716134E-4</v>
      </c>
      <c r="N988" s="2">
        <v>8.6451314E-4</v>
      </c>
      <c r="O988" s="2">
        <v>9.6031129E-4</v>
      </c>
      <c r="P988" s="1">
        <v>0.00102357049999999</v>
      </c>
      <c r="Q988" s="1">
        <v>0.0010751818</v>
      </c>
      <c r="R988" s="1">
        <v>0.0011257232</v>
      </c>
      <c r="S988" s="1">
        <v>0.00116738479999999</v>
      </c>
    </row>
    <row r="989" ht="14.25" hidden="1" customHeight="1">
      <c r="A989" s="1" t="s">
        <v>5</v>
      </c>
      <c r="B989" s="1" t="s">
        <v>60</v>
      </c>
      <c r="C989" s="1" t="s">
        <v>17</v>
      </c>
      <c r="D989" s="1" t="s">
        <v>16</v>
      </c>
      <c r="E989" s="2">
        <v>9.89104E-6</v>
      </c>
      <c r="F989" s="2">
        <v>3.06771E-5</v>
      </c>
      <c r="G989" s="2">
        <v>4.60977E-5</v>
      </c>
      <c r="H989" s="2">
        <v>2.21524E-4</v>
      </c>
      <c r="I989" s="2">
        <v>3.408895E-4</v>
      </c>
      <c r="J989" s="2">
        <v>4.821068E-4</v>
      </c>
      <c r="K989" s="2">
        <v>5.826414E-4</v>
      </c>
      <c r="L989" s="2">
        <v>6.7967271E-4</v>
      </c>
      <c r="M989" s="2">
        <v>8.053767E-4</v>
      </c>
      <c r="N989" s="2">
        <v>9.221832E-4</v>
      </c>
      <c r="O989" s="1">
        <v>0.0010482934</v>
      </c>
      <c r="P989" s="1">
        <v>0.0011845811</v>
      </c>
      <c r="Q989" s="1">
        <v>0.0013055068</v>
      </c>
      <c r="R989" s="1">
        <v>0.0014182408</v>
      </c>
      <c r="S989" s="1">
        <v>0.00151831729999999</v>
      </c>
    </row>
    <row r="990" ht="14.25" hidden="1" customHeight="1">
      <c r="A990" s="1" t="s">
        <v>5</v>
      </c>
      <c r="B990" s="1" t="s">
        <v>60</v>
      </c>
      <c r="C990" s="1" t="s">
        <v>17</v>
      </c>
      <c r="D990" s="1" t="s">
        <v>18</v>
      </c>
      <c r="E990" s="2">
        <v>5.31923E-5</v>
      </c>
      <c r="F990" s="2">
        <v>1.65615E-4</v>
      </c>
      <c r="G990" s="2">
        <v>2.49E-4</v>
      </c>
      <c r="H990" s="2">
        <v>3.16112E-4</v>
      </c>
      <c r="I990" s="2">
        <v>2.018453E-4</v>
      </c>
      <c r="J990" s="2">
        <v>6.588192E-4</v>
      </c>
      <c r="K990" s="2">
        <v>8.531578E-4</v>
      </c>
      <c r="L990" s="1">
        <v>0.0010617343</v>
      </c>
      <c r="M990" s="1">
        <v>0.0012603964</v>
      </c>
      <c r="N990" s="1">
        <v>0.001455684</v>
      </c>
      <c r="O990" s="1">
        <v>0.0016326333</v>
      </c>
      <c r="P990" s="1">
        <v>0.0017862995</v>
      </c>
      <c r="Q990" s="1">
        <v>0.0019183463</v>
      </c>
      <c r="R990" s="1">
        <v>0.0020279919</v>
      </c>
      <c r="S990" s="1">
        <v>0.0021054067</v>
      </c>
    </row>
    <row r="991" ht="14.25" hidden="1" customHeight="1">
      <c r="A991" s="1" t="s">
        <v>5</v>
      </c>
      <c r="B991" s="1" t="s">
        <v>60</v>
      </c>
      <c r="C991" s="1" t="s">
        <v>17</v>
      </c>
      <c r="D991" s="1" t="s">
        <v>19</v>
      </c>
      <c r="E991" s="2">
        <v>2.36996E-5</v>
      </c>
      <c r="F991" s="2">
        <v>7.36023E-5</v>
      </c>
      <c r="G991" s="2">
        <v>1.10698E-4</v>
      </c>
      <c r="H991" s="2">
        <v>1.485805E-4</v>
      </c>
      <c r="I991" s="2">
        <v>5.64973E-5</v>
      </c>
      <c r="J991" s="2">
        <v>2.978758E-4</v>
      </c>
      <c r="K991" s="2">
        <v>3.88358199999999E-4</v>
      </c>
      <c r="L991" s="2">
        <v>4.89732E-4</v>
      </c>
      <c r="M991" s="2">
        <v>5.927418E-4</v>
      </c>
      <c r="N991" s="2">
        <v>6.977127E-4</v>
      </c>
      <c r="O991" s="2">
        <v>8.050726E-4</v>
      </c>
      <c r="P991" s="2">
        <v>9.076348E-4</v>
      </c>
      <c r="Q991" s="1">
        <v>0.0010021405</v>
      </c>
      <c r="R991" s="1">
        <v>0.001087797</v>
      </c>
      <c r="S991" s="1">
        <v>0.001161229</v>
      </c>
    </row>
    <row r="992" ht="14.25" hidden="1" customHeight="1">
      <c r="A992" s="1" t="s">
        <v>5</v>
      </c>
      <c r="B992" s="1" t="s">
        <v>60</v>
      </c>
      <c r="C992" s="1" t="s">
        <v>17</v>
      </c>
      <c r="D992" s="1" t="s">
        <v>8</v>
      </c>
      <c r="E992" s="2">
        <v>1.17747E-5</v>
      </c>
      <c r="F992" s="2">
        <v>3.67604E-5</v>
      </c>
      <c r="G992" s="2">
        <v>5.52853E-5</v>
      </c>
      <c r="H992" s="2">
        <v>2.017303E-4</v>
      </c>
      <c r="I992" s="2">
        <v>1.447557E-4</v>
      </c>
      <c r="J992" s="2">
        <v>5.73174E-4</v>
      </c>
      <c r="K992" s="2">
        <v>8.292513E-4</v>
      </c>
      <c r="L992" s="1">
        <v>0.001110035</v>
      </c>
      <c r="M992" s="1">
        <v>0.001411088</v>
      </c>
      <c r="N992" s="1">
        <v>0.001667989</v>
      </c>
      <c r="O992" s="1">
        <v>0.00192727</v>
      </c>
      <c r="P992" s="1">
        <v>0.002160517</v>
      </c>
      <c r="Q992" s="1">
        <v>0.002371008</v>
      </c>
      <c r="R992" s="1">
        <v>0.00255790399999999</v>
      </c>
      <c r="S992" s="1">
        <v>0.002713924</v>
      </c>
    </row>
    <row r="993" ht="14.25" hidden="1" customHeight="1">
      <c r="A993" s="1" t="s">
        <v>5</v>
      </c>
      <c r="B993" s="1" t="s">
        <v>60</v>
      </c>
      <c r="C993" s="1" t="s">
        <v>17</v>
      </c>
      <c r="D993" s="1" t="s">
        <v>20</v>
      </c>
      <c r="E993" s="2">
        <v>7.89474E-6</v>
      </c>
      <c r="F993" s="2">
        <v>2.47368E-5</v>
      </c>
      <c r="G993" s="2">
        <v>3.68421E-5</v>
      </c>
      <c r="H993" s="2">
        <v>5.15132E-5</v>
      </c>
      <c r="I993" s="2">
        <v>3.451241E-5</v>
      </c>
      <c r="J993" s="2">
        <v>1.0564593E-4</v>
      </c>
      <c r="K993" s="2">
        <v>1.39048051E-4</v>
      </c>
      <c r="L993" s="2">
        <v>1.717014E-4</v>
      </c>
      <c r="M993" s="2">
        <v>2.058519E-4</v>
      </c>
      <c r="N993" s="2">
        <v>2.409895E-4</v>
      </c>
      <c r="O993" s="2">
        <v>2.764131E-4</v>
      </c>
      <c r="P993" s="2">
        <v>3.094853E-4</v>
      </c>
      <c r="Q993" s="2">
        <v>3.395122E-4</v>
      </c>
      <c r="R993" s="2">
        <v>3.662225E-4</v>
      </c>
      <c r="S993" s="2">
        <v>3.884017E-4</v>
      </c>
    </row>
    <row r="994" ht="14.25" hidden="1" customHeight="1">
      <c r="A994" s="1" t="s">
        <v>5</v>
      </c>
      <c r="B994" s="1" t="s">
        <v>60</v>
      </c>
      <c r="C994" s="1" t="s">
        <v>21</v>
      </c>
      <c r="D994" s="1" t="s">
        <v>10</v>
      </c>
      <c r="E994" s="2">
        <v>2.50518E-6</v>
      </c>
      <c r="F994" s="2">
        <v>7.69917E-6</v>
      </c>
      <c r="G994" s="2">
        <v>2.96612E-5</v>
      </c>
      <c r="H994" s="2">
        <v>2.05534E-5</v>
      </c>
      <c r="I994" s="2">
        <v>1.5970955E-5</v>
      </c>
      <c r="J994" s="2">
        <v>1.24336499999999E-5</v>
      </c>
      <c r="K994" s="2">
        <v>1.0681876E-5</v>
      </c>
      <c r="L994" s="2">
        <v>9.880478E-6</v>
      </c>
      <c r="M994" s="2">
        <v>1.3133836E-5</v>
      </c>
      <c r="N994" s="2">
        <v>1.68102099999999E-5</v>
      </c>
      <c r="O994" s="2">
        <v>1.7532511E-5</v>
      </c>
      <c r="P994" s="2">
        <v>1.808887E-5</v>
      </c>
      <c r="Q994" s="2">
        <v>1.91666E-5</v>
      </c>
      <c r="R994" s="2">
        <v>1.968416E-5</v>
      </c>
      <c r="S994" s="2">
        <v>2.01219499999999E-5</v>
      </c>
    </row>
    <row r="995" ht="14.25" hidden="1" customHeight="1">
      <c r="A995" s="1" t="s">
        <v>5</v>
      </c>
      <c r="B995" s="1" t="s">
        <v>60</v>
      </c>
      <c r="C995" s="1" t="s">
        <v>21</v>
      </c>
      <c r="D995" s="1" t="s">
        <v>11</v>
      </c>
      <c r="E995" s="2">
        <v>2.49858E-6</v>
      </c>
      <c r="F995" s="2">
        <v>7.702E-6</v>
      </c>
      <c r="G995" s="2">
        <v>2.97203E-5</v>
      </c>
      <c r="H995" s="2">
        <v>3.20806E-5</v>
      </c>
      <c r="I995" s="2">
        <v>1.1109281E-4</v>
      </c>
      <c r="J995" s="2">
        <v>3.54607E-5</v>
      </c>
      <c r="K995" s="2">
        <v>2.27006E-5</v>
      </c>
      <c r="L995" s="2">
        <v>1.633253E-5</v>
      </c>
      <c r="M995" s="2">
        <v>1.778222E-5</v>
      </c>
      <c r="N995" s="2">
        <v>1.537323E-5</v>
      </c>
      <c r="O995" s="2">
        <v>1.23847E-5</v>
      </c>
      <c r="P995" s="2">
        <v>1.079211E-5</v>
      </c>
      <c r="Q995" s="2">
        <v>1.021231E-5</v>
      </c>
      <c r="R995" s="2">
        <v>9.65209E-6</v>
      </c>
      <c r="S995" s="2">
        <v>9.28206E-6</v>
      </c>
    </row>
    <row r="996" ht="14.25" hidden="1" customHeight="1">
      <c r="A996" s="1" t="s">
        <v>5</v>
      </c>
      <c r="B996" s="1" t="s">
        <v>60</v>
      </c>
      <c r="C996" s="1" t="s">
        <v>21</v>
      </c>
      <c r="D996" s="1" t="s">
        <v>22</v>
      </c>
      <c r="E996" s="2">
        <v>2.5E-6</v>
      </c>
      <c r="F996" s="2">
        <v>7.7E-6</v>
      </c>
      <c r="G996" s="2">
        <v>2.97E-5</v>
      </c>
      <c r="H996" s="2">
        <v>3.36259E-5</v>
      </c>
      <c r="I996" s="2">
        <v>3.97606E-5</v>
      </c>
      <c r="J996" s="2">
        <v>2.8748E-5</v>
      </c>
      <c r="K996" s="2">
        <v>2.30214199999999E-5</v>
      </c>
      <c r="L996" s="2">
        <v>1.709559E-5</v>
      </c>
      <c r="M996" s="2">
        <v>1.224094E-5</v>
      </c>
      <c r="N996" s="2">
        <v>1.209156E-5</v>
      </c>
      <c r="O996" s="2">
        <v>1.198002E-5</v>
      </c>
      <c r="P996" s="2">
        <v>1.177053E-5</v>
      </c>
      <c r="Q996" s="2">
        <v>1.19605099999999E-5</v>
      </c>
      <c r="R996" s="2">
        <v>1.22041199999999E-5</v>
      </c>
      <c r="S996" s="2">
        <v>1.234052E-5</v>
      </c>
    </row>
    <row r="997" ht="14.25" hidden="1" customHeight="1">
      <c r="A997" s="1" t="s">
        <v>5</v>
      </c>
      <c r="B997" s="1" t="s">
        <v>60</v>
      </c>
      <c r="C997" s="1" t="s">
        <v>21</v>
      </c>
      <c r="D997" s="1" t="s">
        <v>23</v>
      </c>
      <c r="E997" s="2">
        <v>2.502788E-6</v>
      </c>
      <c r="F997" s="2">
        <v>7.69078E-6</v>
      </c>
      <c r="G997" s="2">
        <v>2.969366E-5</v>
      </c>
      <c r="H997" s="2">
        <v>6.73375E-5</v>
      </c>
      <c r="I997" s="2">
        <v>1.1092557E-4</v>
      </c>
      <c r="J997" s="2">
        <v>7.45596399999999E-5</v>
      </c>
      <c r="K997" s="2">
        <v>5.92105699999999E-5</v>
      </c>
      <c r="L997" s="2">
        <v>4.93298599999999E-5</v>
      </c>
      <c r="M997" s="2">
        <v>3.752555E-5</v>
      </c>
      <c r="N997" s="2">
        <v>4.094796E-5</v>
      </c>
      <c r="O997" s="2">
        <v>4.634335E-5</v>
      </c>
      <c r="P997" s="2">
        <v>5.292353E-5</v>
      </c>
      <c r="Q997" s="2">
        <v>5.920932E-5</v>
      </c>
      <c r="R997" s="2">
        <v>6.569238E-5</v>
      </c>
      <c r="S997" s="2">
        <v>7.14906E-5</v>
      </c>
    </row>
    <row r="998" ht="14.25" hidden="1" customHeight="1">
      <c r="A998" s="1" t="s">
        <v>5</v>
      </c>
      <c r="B998" s="1" t="s">
        <v>60</v>
      </c>
      <c r="C998" s="1" t="s">
        <v>21</v>
      </c>
      <c r="D998" s="1" t="s">
        <v>24</v>
      </c>
      <c r="E998" s="2">
        <v>2.496579E-6</v>
      </c>
      <c r="F998" s="2">
        <v>7.69927E-6</v>
      </c>
      <c r="G998" s="2">
        <v>2.969858E-5</v>
      </c>
      <c r="H998" s="2">
        <v>4.174009E-5</v>
      </c>
      <c r="I998" s="2">
        <v>3.195205E-5</v>
      </c>
      <c r="J998" s="2">
        <v>2.92035699999999E-5</v>
      </c>
      <c r="K998" s="2">
        <v>2.016114E-5</v>
      </c>
      <c r="L998" s="2">
        <v>1.460415E-5</v>
      </c>
      <c r="M998" s="2">
        <v>1.333848E-5</v>
      </c>
      <c r="N998" s="2">
        <v>1.276058E-5</v>
      </c>
      <c r="O998" s="2">
        <v>1.233457E-5</v>
      </c>
      <c r="P998" s="2">
        <v>1.217076E-5</v>
      </c>
      <c r="Q998" s="2">
        <v>1.244325E-5</v>
      </c>
      <c r="R998" s="2">
        <v>1.26164E-5</v>
      </c>
      <c r="S998" s="2">
        <v>1.27529E-5</v>
      </c>
    </row>
    <row r="999" ht="14.25" hidden="1" customHeight="1">
      <c r="A999" s="1" t="s">
        <v>5</v>
      </c>
      <c r="B999" s="1" t="s">
        <v>60</v>
      </c>
      <c r="C999" s="1" t="s">
        <v>21</v>
      </c>
      <c r="D999" s="1" t="s">
        <v>12</v>
      </c>
      <c r="E999" s="2">
        <v>2.0E-7</v>
      </c>
      <c r="F999" s="2">
        <v>8.0E-7</v>
      </c>
      <c r="G999" s="2">
        <v>3.0E-6</v>
      </c>
      <c r="H999" s="2">
        <v>2.86659E-6</v>
      </c>
      <c r="I999" s="2">
        <v>4.22276E-6</v>
      </c>
      <c r="J999" s="2">
        <v>2.42882E-6</v>
      </c>
      <c r="K999" s="2">
        <v>1.90909E-6</v>
      </c>
      <c r="L999" s="2">
        <v>1.39975E-6</v>
      </c>
      <c r="M999" s="2">
        <v>9.96673E-7</v>
      </c>
      <c r="N999" s="2">
        <v>9.80242E-7</v>
      </c>
      <c r="O999" s="2">
        <v>9.68801E-7</v>
      </c>
      <c r="P999" s="2">
        <v>9.51237E-7</v>
      </c>
      <c r="Q999" s="2">
        <v>9.66491E-7</v>
      </c>
      <c r="R999" s="2">
        <v>9.86156E-7</v>
      </c>
      <c r="S999" s="2">
        <v>9.97174E-7</v>
      </c>
    </row>
    <row r="1000" ht="14.25" hidden="1" customHeight="1">
      <c r="A1000" s="1" t="s">
        <v>5</v>
      </c>
      <c r="B1000" s="1" t="s">
        <v>60</v>
      </c>
      <c r="C1000" s="1" t="s">
        <v>21</v>
      </c>
      <c r="D1000" s="1" t="s">
        <v>13</v>
      </c>
      <c r="E1000" s="2">
        <v>1.99545E-6</v>
      </c>
      <c r="F1000" s="2">
        <v>6.19647E-6</v>
      </c>
      <c r="G1000" s="2">
        <v>5.44896E-5</v>
      </c>
      <c r="H1000" s="2">
        <v>1.299125E-4</v>
      </c>
      <c r="I1000" s="2">
        <v>1.571921E-4</v>
      </c>
      <c r="J1000" s="2">
        <v>4.005835E-4</v>
      </c>
      <c r="K1000" s="2">
        <v>5.60328E-4</v>
      </c>
      <c r="L1000" s="2">
        <v>7.408465E-4</v>
      </c>
      <c r="M1000" s="2">
        <v>8.923049E-4</v>
      </c>
      <c r="N1000" s="1">
        <v>0.0010136186</v>
      </c>
      <c r="O1000" s="1">
        <v>0.001124703</v>
      </c>
      <c r="P1000" s="1">
        <v>0.0012233905</v>
      </c>
      <c r="Q1000" s="1">
        <v>0.001294095</v>
      </c>
      <c r="R1000" s="1">
        <v>0.001348899</v>
      </c>
      <c r="S1000" s="1">
        <v>0.001385722</v>
      </c>
    </row>
    <row r="1001" ht="14.25" hidden="1" customHeight="1">
      <c r="A1001" s="1" t="s">
        <v>5</v>
      </c>
      <c r="B1001" s="1" t="s">
        <v>60</v>
      </c>
      <c r="C1001" s="1" t="s">
        <v>21</v>
      </c>
      <c r="D1001" s="1" t="s">
        <v>14</v>
      </c>
      <c r="E1001" s="2">
        <v>1.99928E-6</v>
      </c>
      <c r="F1001" s="2">
        <v>6.20456E-6</v>
      </c>
      <c r="G1001" s="2">
        <v>5.44832E-5</v>
      </c>
      <c r="H1001" s="2">
        <v>1.509537E-4</v>
      </c>
      <c r="I1001" s="2">
        <v>7.557011E-4</v>
      </c>
      <c r="J1001" s="2">
        <v>3.998473E-4</v>
      </c>
      <c r="K1001" s="2">
        <v>2.91476099999999E-4</v>
      </c>
      <c r="L1001" s="2">
        <v>2.74248E-4</v>
      </c>
      <c r="M1001" s="2">
        <v>2.431357E-4</v>
      </c>
      <c r="N1001" s="2">
        <v>2.330231E-4</v>
      </c>
      <c r="O1001" s="2">
        <v>2.256263E-4</v>
      </c>
      <c r="P1001" s="2">
        <v>2.343679E-4</v>
      </c>
      <c r="Q1001" s="2">
        <v>2.347854E-4</v>
      </c>
      <c r="R1001" s="2">
        <v>2.293081E-4</v>
      </c>
      <c r="S1001" s="2">
        <v>2.240707E-4</v>
      </c>
    </row>
    <row r="1002" ht="14.25" hidden="1" customHeight="1">
      <c r="A1002" s="1" t="s">
        <v>5</v>
      </c>
      <c r="B1002" s="1" t="s">
        <v>60</v>
      </c>
      <c r="C1002" s="1" t="s">
        <v>21</v>
      </c>
      <c r="D1002" s="1" t="s">
        <v>25</v>
      </c>
      <c r="E1002" s="2">
        <v>2.0E-6</v>
      </c>
      <c r="F1002" s="2">
        <v>6.2E-6</v>
      </c>
      <c r="G1002" s="2">
        <v>5.45E-5</v>
      </c>
      <c r="H1002" s="2">
        <v>8.70112E-5</v>
      </c>
      <c r="I1002" s="2">
        <v>2.021268E-4</v>
      </c>
      <c r="J1002" s="2">
        <v>1.552904E-4</v>
      </c>
      <c r="K1002" s="2">
        <v>1.461644E-4</v>
      </c>
      <c r="L1002" s="2">
        <v>1.536293E-4</v>
      </c>
      <c r="M1002" s="2">
        <v>1.462959E-4</v>
      </c>
      <c r="N1002" s="2">
        <v>1.530808E-4</v>
      </c>
      <c r="O1002" s="2">
        <v>1.608751E-4</v>
      </c>
      <c r="P1002" s="2">
        <v>1.722771E-4</v>
      </c>
      <c r="Q1002" s="2">
        <v>1.814351E-4</v>
      </c>
      <c r="R1002" s="2">
        <v>1.886195E-4</v>
      </c>
      <c r="S1002" s="2">
        <v>1.92995E-4</v>
      </c>
    </row>
    <row r="1003" ht="14.25" hidden="1" customHeight="1">
      <c r="A1003" s="1" t="s">
        <v>5</v>
      </c>
      <c r="B1003" s="1" t="s">
        <v>60</v>
      </c>
      <c r="C1003" s="1" t="s">
        <v>21</v>
      </c>
      <c r="D1003" s="1" t="s">
        <v>26</v>
      </c>
      <c r="E1003" s="2">
        <v>1.996612E-6</v>
      </c>
      <c r="F1003" s="2">
        <v>6.20034E-6</v>
      </c>
      <c r="G1003" s="2">
        <v>5.44951E-5</v>
      </c>
      <c r="H1003" s="2">
        <v>1.5920137E-4</v>
      </c>
      <c r="I1003" s="2">
        <v>4.1684509E-4</v>
      </c>
      <c r="J1003" s="2">
        <v>3.9374778E-4</v>
      </c>
      <c r="K1003" s="2">
        <v>3.798157E-4</v>
      </c>
      <c r="L1003" s="2">
        <v>4.515473E-4</v>
      </c>
      <c r="M1003" s="2">
        <v>5.051201E-4</v>
      </c>
      <c r="N1003" s="2">
        <v>6.083906E-4</v>
      </c>
      <c r="O1003" s="2">
        <v>7.059136E-4</v>
      </c>
      <c r="P1003" s="2">
        <v>8.51855E-4</v>
      </c>
      <c r="Q1003" s="1">
        <v>0.001008849</v>
      </c>
      <c r="R1003" s="1">
        <v>0.001166919</v>
      </c>
      <c r="S1003" s="1">
        <v>0.001318684</v>
      </c>
    </row>
    <row r="1004" ht="14.25" hidden="1" customHeight="1">
      <c r="A1004" s="1" t="s">
        <v>5</v>
      </c>
      <c r="B1004" s="1" t="s">
        <v>60</v>
      </c>
      <c r="C1004" s="1" t="s">
        <v>21</v>
      </c>
      <c r="D1004" s="1" t="s">
        <v>27</v>
      </c>
      <c r="E1004" s="2">
        <v>1.603267E-6</v>
      </c>
      <c r="F1004" s="2">
        <v>4.99733E-6</v>
      </c>
      <c r="G1004" s="2">
        <v>4.35996099999999E-5</v>
      </c>
      <c r="H1004" s="2">
        <v>1.1154007E-4</v>
      </c>
      <c r="I1004" s="2">
        <v>1.3614684E-4</v>
      </c>
      <c r="J1004" s="2">
        <v>2.5481272E-4</v>
      </c>
      <c r="K1004" s="2">
        <v>3.052374E-4</v>
      </c>
      <c r="L1004" s="2">
        <v>3.617991E-4</v>
      </c>
      <c r="M1004" s="2">
        <v>3.924319E-4</v>
      </c>
      <c r="N1004" s="2">
        <v>4.130866E-4</v>
      </c>
      <c r="O1004" s="2">
        <v>4.286174E-4</v>
      </c>
      <c r="P1004" s="2">
        <v>4.56218199999999E-4</v>
      </c>
      <c r="Q1004" s="2">
        <v>4.77109899999999E-4</v>
      </c>
      <c r="R1004" s="2">
        <v>4.939265E-4</v>
      </c>
      <c r="S1004" s="2">
        <v>5.060717E-4</v>
      </c>
    </row>
    <row r="1005" ht="14.25" hidden="1" customHeight="1">
      <c r="A1005" s="1" t="s">
        <v>5</v>
      </c>
      <c r="B1005" s="1" t="s">
        <v>60</v>
      </c>
      <c r="C1005" s="1" t="s">
        <v>21</v>
      </c>
      <c r="D1005" s="1" t="s">
        <v>28</v>
      </c>
      <c r="E1005" s="2">
        <v>2.0E-7</v>
      </c>
      <c r="F1005" s="2">
        <v>6.0E-7</v>
      </c>
      <c r="G1005" s="2">
        <v>5.5E-6</v>
      </c>
      <c r="H1005" s="2">
        <v>6.68139E-6</v>
      </c>
      <c r="I1005" s="2">
        <v>1.5329E-5</v>
      </c>
      <c r="J1005" s="2">
        <v>1.25683E-5</v>
      </c>
      <c r="K1005" s="2">
        <v>1.18452E-5</v>
      </c>
      <c r="L1005" s="2">
        <v>1.24235E-5</v>
      </c>
      <c r="M1005" s="2">
        <v>1.1816E-5</v>
      </c>
      <c r="N1005" s="2">
        <v>1.23599E-5</v>
      </c>
      <c r="O1005" s="2">
        <v>1.29883E-5</v>
      </c>
      <c r="P1005" s="2">
        <v>1.39086E-5</v>
      </c>
      <c r="Q1005" s="2">
        <v>1.46478E-5</v>
      </c>
      <c r="R1005" s="2">
        <v>1.52279E-5</v>
      </c>
      <c r="S1005" s="2">
        <v>1.55811E-5</v>
      </c>
    </row>
    <row r="1006" ht="14.25" hidden="1" customHeight="1">
      <c r="A1006" s="1" t="s">
        <v>5</v>
      </c>
      <c r="B1006" s="1" t="s">
        <v>60</v>
      </c>
      <c r="C1006" s="1" t="s">
        <v>29</v>
      </c>
      <c r="D1006" s="1" t="s">
        <v>16</v>
      </c>
      <c r="E1006" s="2">
        <v>2.28793E-5</v>
      </c>
      <c r="F1006" s="2">
        <v>4.38672E-5</v>
      </c>
      <c r="G1006" s="2">
        <v>2.86386E-4</v>
      </c>
      <c r="H1006" s="2">
        <v>2.2446605E-4</v>
      </c>
      <c r="I1006" s="2">
        <v>2.1464468E-4</v>
      </c>
      <c r="J1006" s="2">
        <v>1.8762201E-4</v>
      </c>
      <c r="K1006" s="2">
        <v>1.6677433E-4</v>
      </c>
      <c r="L1006" s="2">
        <v>1.5385934E-4</v>
      </c>
      <c r="M1006" s="2">
        <v>1.13097647E-4</v>
      </c>
      <c r="N1006" s="2">
        <v>1.3243191E-4</v>
      </c>
      <c r="O1006" s="2">
        <v>1.5512661E-4</v>
      </c>
      <c r="P1006" s="2">
        <v>1.8133859E-4</v>
      </c>
      <c r="Q1006" s="2">
        <v>2.09620299999999E-4</v>
      </c>
      <c r="R1006" s="2">
        <v>2.38431629999999E-4</v>
      </c>
      <c r="S1006" s="2">
        <v>2.6339756E-4</v>
      </c>
    </row>
    <row r="1007" ht="14.25" hidden="1" customHeight="1">
      <c r="A1007" s="1" t="s">
        <v>5</v>
      </c>
      <c r="B1007" s="1" t="s">
        <v>60</v>
      </c>
      <c r="C1007" s="1" t="s">
        <v>29</v>
      </c>
      <c r="D1007" s="1" t="s">
        <v>8</v>
      </c>
      <c r="E1007" s="2">
        <v>2.28508E-5</v>
      </c>
      <c r="F1007" s="2">
        <v>4.38528E-5</v>
      </c>
      <c r="G1007" s="2">
        <v>2.86324E-4</v>
      </c>
      <c r="H1007" s="2">
        <v>2.2106897E-4</v>
      </c>
      <c r="I1007" s="2">
        <v>3.426582036E-4</v>
      </c>
      <c r="J1007" s="2">
        <v>2.97984841E-4</v>
      </c>
      <c r="K1007" s="2">
        <v>2.47185585E-4</v>
      </c>
      <c r="L1007" s="2">
        <v>1.93370829E-4</v>
      </c>
      <c r="M1007" s="2">
        <v>1.0837145642E-4</v>
      </c>
      <c r="N1007" s="2">
        <v>9.867232E-5</v>
      </c>
      <c r="O1007" s="2">
        <v>8.98466E-5</v>
      </c>
      <c r="P1007" s="2">
        <v>9.95150799999999E-5</v>
      </c>
      <c r="Q1007" s="2">
        <v>1.0934314E-4</v>
      </c>
      <c r="R1007" s="2">
        <v>1.1837613E-4</v>
      </c>
      <c r="S1007" s="2">
        <v>1.2588272E-4</v>
      </c>
    </row>
    <row r="1008" ht="14.25" hidden="1" customHeight="1">
      <c r="A1008" s="1" t="s">
        <v>5</v>
      </c>
      <c r="B1008" s="1" t="s">
        <v>60</v>
      </c>
      <c r="C1008" s="1" t="s">
        <v>29</v>
      </c>
      <c r="D1008" s="1" t="s">
        <v>10</v>
      </c>
      <c r="E1008" s="2">
        <v>2.2246E-5</v>
      </c>
      <c r="F1008" s="2">
        <v>4.26954E-5</v>
      </c>
      <c r="G1008" s="2">
        <v>9.68734E-6</v>
      </c>
      <c r="H1008" s="2">
        <v>5.272933E-5</v>
      </c>
      <c r="I1008" s="2">
        <v>4.696726E-5</v>
      </c>
      <c r="J1008" s="2">
        <v>3.987885E-5</v>
      </c>
      <c r="K1008" s="2">
        <v>3.752216E-5</v>
      </c>
      <c r="L1008" s="2">
        <v>2.7356685E-5</v>
      </c>
      <c r="M1008" s="2">
        <v>2.02976279999999E-5</v>
      </c>
      <c r="N1008" s="2">
        <v>1.47999079999999E-5</v>
      </c>
      <c r="O1008" s="2">
        <v>1.37548289999999E-5</v>
      </c>
      <c r="P1008" s="2">
        <v>1.2432785E-5</v>
      </c>
      <c r="Q1008" s="2">
        <v>1.1430615E-5</v>
      </c>
      <c r="R1008" s="2">
        <v>1.1232032E-5</v>
      </c>
      <c r="S1008" s="2">
        <v>1.0935548E-5</v>
      </c>
    </row>
    <row r="1009" ht="14.25" hidden="1" customHeight="1">
      <c r="A1009" s="1" t="s">
        <v>5</v>
      </c>
      <c r="B1009" s="1" t="s">
        <v>60</v>
      </c>
      <c r="C1009" s="1" t="s">
        <v>29</v>
      </c>
      <c r="D1009" s="1" t="s">
        <v>11</v>
      </c>
      <c r="E1009" s="2">
        <v>2.71046E-4</v>
      </c>
      <c r="F1009" s="2">
        <v>5.20835E-4</v>
      </c>
      <c r="G1009" s="2">
        <v>1.18081E-4</v>
      </c>
      <c r="H1009" s="2">
        <v>9.114850974E-5</v>
      </c>
      <c r="I1009" s="2">
        <v>7.649886068E-5</v>
      </c>
      <c r="J1009" s="2">
        <v>4.679444493E-5</v>
      </c>
      <c r="K1009" s="2">
        <v>4.921168487E-5</v>
      </c>
      <c r="L1009" s="2">
        <v>3.6528555733E-5</v>
      </c>
      <c r="M1009" s="2">
        <v>1.6265529067E-5</v>
      </c>
      <c r="N1009" s="2">
        <v>1.874441E-5</v>
      </c>
      <c r="O1009" s="2">
        <v>2.1796E-5</v>
      </c>
      <c r="P1009" s="2">
        <v>2.29762509999999E-5</v>
      </c>
      <c r="Q1009" s="2">
        <v>2.4165982E-5</v>
      </c>
      <c r="R1009" s="2">
        <v>2.54709499999999E-5</v>
      </c>
      <c r="S1009" s="2">
        <v>2.64697169999999E-5</v>
      </c>
    </row>
    <row r="1010" ht="14.25" hidden="1" customHeight="1">
      <c r="A1010" s="1" t="s">
        <v>5</v>
      </c>
      <c r="B1010" s="1" t="s">
        <v>60</v>
      </c>
      <c r="C1010" s="1" t="s">
        <v>29</v>
      </c>
      <c r="D1010" s="1" t="s">
        <v>13</v>
      </c>
      <c r="E1010" s="2">
        <v>1.95554E-5</v>
      </c>
      <c r="F1010" s="2">
        <v>3.75786E-5</v>
      </c>
      <c r="G1010" s="2">
        <v>7.29861E-5</v>
      </c>
      <c r="H1010" s="2">
        <v>5.867706E-5</v>
      </c>
      <c r="I1010" s="2">
        <v>5.08247E-5</v>
      </c>
      <c r="J1010" s="2">
        <v>4.077069E-5</v>
      </c>
      <c r="K1010" s="2">
        <v>3.05007E-5</v>
      </c>
      <c r="L1010" s="2">
        <v>2.180449E-5</v>
      </c>
      <c r="M1010" s="2">
        <v>5.194172E-6</v>
      </c>
      <c r="N1010" s="2">
        <v>4.917326E-6</v>
      </c>
      <c r="O1010" s="2">
        <v>4.74190399999999E-6</v>
      </c>
      <c r="P1010" s="2">
        <v>4.642687E-6</v>
      </c>
      <c r="Q1010" s="2">
        <v>4.616758E-6</v>
      </c>
      <c r="R1010" s="2">
        <v>4.631914E-6</v>
      </c>
      <c r="S1010" s="2">
        <v>4.657932E-6</v>
      </c>
    </row>
    <row r="1011" ht="14.25" hidden="1" customHeight="1">
      <c r="A1011" s="1" t="s">
        <v>5</v>
      </c>
      <c r="B1011" s="1" t="s">
        <v>60</v>
      </c>
      <c r="C1011" s="1" t="s">
        <v>29</v>
      </c>
      <c r="D1011" s="1" t="s">
        <v>14</v>
      </c>
      <c r="E1011" s="2">
        <v>7.82717E-5</v>
      </c>
      <c r="F1011" s="2">
        <v>1.50411E-4</v>
      </c>
      <c r="G1011" s="2">
        <v>2.9201E-4</v>
      </c>
      <c r="H1011" s="2">
        <v>2.25527587999999E-4</v>
      </c>
      <c r="I1011" s="2">
        <v>1.89283653E-4</v>
      </c>
      <c r="J1011" s="2">
        <v>1.525185654E-4</v>
      </c>
      <c r="K1011" s="2">
        <v>1.55661053999999E-4</v>
      </c>
      <c r="L1011" s="2">
        <v>1.498598825E-4</v>
      </c>
      <c r="M1011" s="2">
        <v>1.122227452E-4</v>
      </c>
      <c r="N1011" s="2">
        <v>1.3258498E-4</v>
      </c>
      <c r="O1011" s="2">
        <v>1.56736556E-4</v>
      </c>
      <c r="P1011" s="2">
        <v>1.8001602E-4</v>
      </c>
      <c r="Q1011" s="2">
        <v>2.0195199E-4</v>
      </c>
      <c r="R1011" s="2">
        <v>2.2411846E-4</v>
      </c>
      <c r="S1011" s="2">
        <v>2.41920509999999E-4</v>
      </c>
    </row>
    <row r="1012" ht="14.25" hidden="1" customHeight="1">
      <c r="A1012" s="1" t="s">
        <v>5</v>
      </c>
      <c r="B1012" s="1" t="s">
        <v>61</v>
      </c>
      <c r="C1012" s="1" t="s">
        <v>7</v>
      </c>
      <c r="D1012" s="1" t="s">
        <v>8</v>
      </c>
      <c r="E1012" s="1">
        <v>0.00901467</v>
      </c>
      <c r="F1012" s="1">
        <v>0.011477</v>
      </c>
      <c r="G1012" s="1">
        <v>0.0122823</v>
      </c>
      <c r="H1012" s="2">
        <v>7.52212E-4</v>
      </c>
      <c r="I1012" s="2">
        <v>7.83215E-4</v>
      </c>
      <c r="J1012" s="2">
        <v>8.22299E-5</v>
      </c>
      <c r="K1012" s="2">
        <v>6.16614E-5</v>
      </c>
      <c r="L1012" s="2">
        <v>5.19324E-5</v>
      </c>
      <c r="M1012" s="2">
        <v>3.5463E-5</v>
      </c>
      <c r="N1012" s="2">
        <v>2.02491E-5</v>
      </c>
      <c r="O1012" s="1">
        <v>0.0</v>
      </c>
      <c r="P1012" s="1">
        <v>0.0</v>
      </c>
      <c r="Q1012" s="1">
        <v>0.0</v>
      </c>
      <c r="R1012" s="1">
        <v>0.0</v>
      </c>
      <c r="S1012" s="1">
        <v>0.0</v>
      </c>
    </row>
    <row r="1013" ht="14.25" hidden="1" customHeight="1">
      <c r="A1013" s="1" t="s">
        <v>5</v>
      </c>
      <c r="B1013" s="1" t="s">
        <v>61</v>
      </c>
      <c r="C1013" s="1" t="s">
        <v>9</v>
      </c>
      <c r="D1013" s="1" t="s">
        <v>8</v>
      </c>
      <c r="E1013" s="2">
        <v>3.79499E-4</v>
      </c>
      <c r="F1013" s="2">
        <v>3.32802E-4</v>
      </c>
      <c r="G1013" s="2">
        <v>4.89496E-4</v>
      </c>
      <c r="H1013" s="2">
        <v>2.21225E-5</v>
      </c>
      <c r="I1013" s="1">
        <v>0.013724</v>
      </c>
      <c r="J1013" s="1">
        <v>0.0</v>
      </c>
      <c r="K1013" s="1">
        <v>0.0</v>
      </c>
      <c r="L1013" s="1">
        <v>0.0</v>
      </c>
      <c r="M1013" s="1">
        <v>0.0</v>
      </c>
      <c r="N1013" s="1">
        <v>0.0</v>
      </c>
      <c r="O1013" s="1">
        <v>0.0</v>
      </c>
      <c r="P1013" s="1">
        <v>0.0</v>
      </c>
      <c r="Q1013" s="1">
        <v>0.0</v>
      </c>
      <c r="R1013" s="1">
        <v>0.0</v>
      </c>
      <c r="S1013" s="1">
        <v>0.0</v>
      </c>
    </row>
    <row r="1014" ht="14.25" hidden="1" customHeight="1">
      <c r="A1014" s="1" t="s">
        <v>5</v>
      </c>
      <c r="B1014" s="1" t="s">
        <v>61</v>
      </c>
      <c r="C1014" s="1" t="s">
        <v>9</v>
      </c>
      <c r="D1014" s="1" t="s">
        <v>10</v>
      </c>
      <c r="E1014" s="1">
        <v>0.0</v>
      </c>
      <c r="F1014" s="1">
        <v>0.0</v>
      </c>
      <c r="G1014" s="2">
        <v>4.09E-5</v>
      </c>
      <c r="H1014" s="1">
        <v>0.0</v>
      </c>
      <c r="I1014" s="2">
        <v>4.93582E-6</v>
      </c>
      <c r="J1014" s="1">
        <v>0.0178892</v>
      </c>
      <c r="K1014" s="1">
        <v>0.0</v>
      </c>
      <c r="L1014" s="1">
        <v>0.0</v>
      </c>
      <c r="M1014" s="1">
        <v>0.0</v>
      </c>
      <c r="N1014" s="1">
        <v>0.0</v>
      </c>
      <c r="O1014" s="1">
        <v>0.0</v>
      </c>
      <c r="P1014" s="1">
        <v>0.0</v>
      </c>
      <c r="Q1014" s="1">
        <v>0.0</v>
      </c>
      <c r="R1014" s="1">
        <v>0.0</v>
      </c>
      <c r="S1014" s="1">
        <v>0.0</v>
      </c>
    </row>
    <row r="1015" ht="14.25" hidden="1" customHeight="1">
      <c r="A1015" s="1" t="s">
        <v>5</v>
      </c>
      <c r="B1015" s="1" t="s">
        <v>61</v>
      </c>
      <c r="C1015" s="1" t="s">
        <v>9</v>
      </c>
      <c r="D1015" s="1" t="s">
        <v>11</v>
      </c>
      <c r="E1015" s="1">
        <v>0.0</v>
      </c>
      <c r="F1015" s="1">
        <v>0.0</v>
      </c>
      <c r="G1015" s="2">
        <v>4.08998E-5</v>
      </c>
      <c r="H1015" s="1">
        <v>0.0</v>
      </c>
      <c r="I1015" s="1">
        <v>0.0</v>
      </c>
      <c r="J1015" s="1">
        <v>0.0</v>
      </c>
      <c r="K1015" s="1">
        <v>0.0</v>
      </c>
      <c r="L1015" s="1">
        <v>0.0</v>
      </c>
      <c r="M1015" s="1">
        <v>0.0</v>
      </c>
      <c r="N1015" s="1">
        <v>0.0</v>
      </c>
      <c r="O1015" s="1">
        <v>0.0</v>
      </c>
      <c r="P1015" s="1">
        <v>0.0</v>
      </c>
      <c r="Q1015" s="1">
        <v>0.0</v>
      </c>
      <c r="R1015" s="1">
        <v>0.0</v>
      </c>
      <c r="S1015" s="1">
        <v>0.0</v>
      </c>
    </row>
    <row r="1016" ht="14.25" hidden="1" customHeight="1">
      <c r="A1016" s="1" t="s">
        <v>5</v>
      </c>
      <c r="B1016" s="1" t="s">
        <v>61</v>
      </c>
      <c r="C1016" s="1" t="s">
        <v>9</v>
      </c>
      <c r="D1016" s="1" t="s">
        <v>12</v>
      </c>
      <c r="E1016" s="1">
        <v>0.0</v>
      </c>
      <c r="F1016" s="1">
        <v>0.0</v>
      </c>
      <c r="G1016" s="2">
        <v>4.08586E-6</v>
      </c>
      <c r="H1016" s="1">
        <v>0.0</v>
      </c>
      <c r="I1016" s="1">
        <v>0.0</v>
      </c>
      <c r="J1016" s="1">
        <v>0.0</v>
      </c>
      <c r="K1016" s="1">
        <v>0.0</v>
      </c>
      <c r="L1016" s="1">
        <v>0.0</v>
      </c>
      <c r="M1016" s="1">
        <v>0.0</v>
      </c>
      <c r="N1016" s="1">
        <v>0.0</v>
      </c>
      <c r="O1016" s="1">
        <v>0.0</v>
      </c>
      <c r="P1016" s="1">
        <v>0.0</v>
      </c>
      <c r="Q1016" s="1">
        <v>0.0</v>
      </c>
      <c r="R1016" s="1">
        <v>0.0</v>
      </c>
      <c r="S1016" s="1">
        <v>0.0</v>
      </c>
    </row>
    <row r="1017" ht="14.25" hidden="1" customHeight="1">
      <c r="A1017" s="1" t="s">
        <v>5</v>
      </c>
      <c r="B1017" s="1" t="s">
        <v>61</v>
      </c>
      <c r="C1017" s="1" t="s">
        <v>9</v>
      </c>
      <c r="D1017" s="1" t="s">
        <v>13</v>
      </c>
      <c r="E1017" s="1">
        <v>0.0</v>
      </c>
      <c r="F1017" s="1">
        <v>0.0</v>
      </c>
      <c r="G1017" s="1">
        <v>0.0</v>
      </c>
      <c r="H1017" s="1">
        <v>0.00400162</v>
      </c>
      <c r="I1017" s="1">
        <v>0.0</v>
      </c>
      <c r="J1017" s="1">
        <v>0.0</v>
      </c>
      <c r="K1017" s="1">
        <v>0.0</v>
      </c>
      <c r="L1017" s="1">
        <v>0.0</v>
      </c>
      <c r="M1017" s="1">
        <v>0.0</v>
      </c>
      <c r="N1017" s="1">
        <v>0.0</v>
      </c>
      <c r="O1017" s="1">
        <v>0.0</v>
      </c>
      <c r="P1017" s="1">
        <v>0.0</v>
      </c>
      <c r="Q1017" s="1">
        <v>0.0</v>
      </c>
      <c r="R1017" s="1">
        <v>0.0</v>
      </c>
      <c r="S1017" s="1">
        <v>0.0</v>
      </c>
    </row>
    <row r="1018" ht="14.25" hidden="1" customHeight="1">
      <c r="A1018" s="1" t="s">
        <v>5</v>
      </c>
      <c r="B1018" s="1" t="s">
        <v>61</v>
      </c>
      <c r="C1018" s="1" t="s">
        <v>9</v>
      </c>
      <c r="D1018" s="1" t="s">
        <v>14</v>
      </c>
      <c r="E1018" s="1">
        <v>0.0</v>
      </c>
      <c r="F1018" s="1">
        <v>0.0</v>
      </c>
      <c r="G1018" s="1">
        <v>0.0</v>
      </c>
      <c r="H1018" s="2">
        <v>8.16864E-4</v>
      </c>
      <c r="I1018" s="1">
        <v>0.0</v>
      </c>
      <c r="J1018" s="1">
        <v>0.0</v>
      </c>
      <c r="K1018" s="1">
        <v>0.0</v>
      </c>
      <c r="L1018" s="1">
        <v>0.0</v>
      </c>
      <c r="M1018" s="1">
        <v>0.0</v>
      </c>
      <c r="N1018" s="1">
        <v>0.0</v>
      </c>
      <c r="O1018" s="1">
        <v>0.0</v>
      </c>
      <c r="P1018" s="1">
        <v>0.0</v>
      </c>
      <c r="Q1018" s="1">
        <v>0.0</v>
      </c>
      <c r="R1018" s="1">
        <v>0.0</v>
      </c>
      <c r="S1018" s="1">
        <v>0.0</v>
      </c>
    </row>
    <row r="1019" ht="14.25" hidden="1" customHeight="1">
      <c r="A1019" s="1" t="s">
        <v>5</v>
      </c>
      <c r="B1019" s="1" t="s">
        <v>61</v>
      </c>
      <c r="C1019" s="1" t="s">
        <v>15</v>
      </c>
      <c r="D1019" s="1" t="s">
        <v>16</v>
      </c>
      <c r="E1019" s="1">
        <v>0.0</v>
      </c>
      <c r="F1019" s="1">
        <v>0.0</v>
      </c>
      <c r="G1019" s="1">
        <v>0.0</v>
      </c>
      <c r="H1019" s="1">
        <v>0.0</v>
      </c>
      <c r="I1019" s="1">
        <v>0.0</v>
      </c>
      <c r="J1019" s="1">
        <v>0.0141292</v>
      </c>
      <c r="K1019" s="1">
        <v>0.0262195</v>
      </c>
      <c r="L1019" s="1">
        <v>0.0409111</v>
      </c>
      <c r="M1019" s="1">
        <v>0.05964672</v>
      </c>
      <c r="N1019" s="1">
        <v>0.07739109</v>
      </c>
      <c r="O1019" s="1">
        <v>0.09494968</v>
      </c>
      <c r="P1019" s="1">
        <v>0.11301123</v>
      </c>
      <c r="Q1019" s="1">
        <v>0.13047444</v>
      </c>
      <c r="R1019" s="1">
        <v>0.14706168</v>
      </c>
      <c r="S1019" s="1">
        <v>0.16272316</v>
      </c>
    </row>
    <row r="1020" ht="14.25" customHeight="1">
      <c r="A1020" s="1" t="s">
        <v>5</v>
      </c>
      <c r="B1020" s="1" t="s">
        <v>61</v>
      </c>
      <c r="C1020" s="1" t="s">
        <v>15</v>
      </c>
      <c r="D1020" s="1" t="s">
        <v>14</v>
      </c>
      <c r="E1020" s="1">
        <v>0.0</v>
      </c>
      <c r="F1020" s="1">
        <v>0.0</v>
      </c>
      <c r="G1020" s="1">
        <v>0.0</v>
      </c>
      <c r="H1020" s="1">
        <v>0.0</v>
      </c>
      <c r="I1020" s="1">
        <v>0.0</v>
      </c>
      <c r="J1020" s="1">
        <v>0.0</v>
      </c>
      <c r="K1020" s="1">
        <v>0.0</v>
      </c>
      <c r="L1020" s="1">
        <v>0.011058</v>
      </c>
      <c r="M1020" s="1">
        <v>0.02582786</v>
      </c>
      <c r="N1020" s="1">
        <v>0.03579221</v>
      </c>
      <c r="O1020" s="1">
        <v>0.04525921</v>
      </c>
      <c r="P1020" s="1">
        <v>0.0500025</v>
      </c>
      <c r="Q1020" s="1">
        <v>0.05473603</v>
      </c>
      <c r="R1020" s="1">
        <v>0.058984</v>
      </c>
      <c r="S1020" s="1">
        <v>0.06278453</v>
      </c>
    </row>
    <row r="1021" ht="14.25" hidden="1" customHeight="1">
      <c r="A1021" s="1" t="s">
        <v>5</v>
      </c>
      <c r="B1021" s="1" t="s">
        <v>61</v>
      </c>
      <c r="C1021" s="1" t="s">
        <v>17</v>
      </c>
      <c r="D1021" s="1" t="s">
        <v>16</v>
      </c>
      <c r="E1021" s="2">
        <v>1.06999E-5</v>
      </c>
      <c r="F1021" s="2">
        <v>3.34E-5</v>
      </c>
      <c r="G1021" s="2">
        <v>5.05997E-5</v>
      </c>
      <c r="H1021" s="2">
        <v>2.565893E-4</v>
      </c>
      <c r="I1021" s="2">
        <v>2.216931E-4</v>
      </c>
      <c r="J1021" s="2">
        <v>3.488388E-4</v>
      </c>
      <c r="K1021" s="2">
        <v>3.46079199999999E-4</v>
      </c>
      <c r="L1021" s="2">
        <v>3.45016139999999E-4</v>
      </c>
      <c r="M1021" s="2">
        <v>3.689079E-4</v>
      </c>
      <c r="N1021" s="2">
        <v>3.990668E-4</v>
      </c>
      <c r="O1021" s="2">
        <v>4.636725E-4</v>
      </c>
      <c r="P1021" s="2">
        <v>5.4198452E-4</v>
      </c>
      <c r="Q1021" s="2">
        <v>6.22515399999999E-4</v>
      </c>
      <c r="R1021" s="2">
        <v>7.02778E-4</v>
      </c>
      <c r="S1021" s="2">
        <v>7.809564E-4</v>
      </c>
    </row>
    <row r="1022" ht="14.25" hidden="1" customHeight="1">
      <c r="A1022" s="1" t="s">
        <v>5</v>
      </c>
      <c r="B1022" s="1" t="s">
        <v>61</v>
      </c>
      <c r="C1022" s="1" t="s">
        <v>17</v>
      </c>
      <c r="D1022" s="1" t="s">
        <v>18</v>
      </c>
      <c r="E1022" s="1">
        <v>0.00337681</v>
      </c>
      <c r="F1022" s="1">
        <v>0.0105049</v>
      </c>
      <c r="G1022" s="1">
        <v>0.0159153</v>
      </c>
      <c r="H1022" s="1">
        <v>0.0155057299999999</v>
      </c>
      <c r="I1022" s="1">
        <v>0.0092600152</v>
      </c>
      <c r="J1022" s="1">
        <v>0.030527659</v>
      </c>
      <c r="K1022" s="1">
        <v>0.0404776889</v>
      </c>
      <c r="L1022" s="1">
        <v>0.0515675711</v>
      </c>
      <c r="M1022" s="1">
        <v>0.0633137561999999</v>
      </c>
      <c r="N1022" s="1">
        <v>0.07527596</v>
      </c>
      <c r="O1022" s="1">
        <v>0.08683072</v>
      </c>
      <c r="P1022" s="1">
        <v>0.09795626</v>
      </c>
      <c r="Q1022" s="1">
        <v>0.10840713</v>
      </c>
      <c r="R1022" s="1">
        <v>0.11773672</v>
      </c>
      <c r="S1022" s="1">
        <v>0.125431119999999</v>
      </c>
    </row>
    <row r="1023" ht="14.25" hidden="1" customHeight="1">
      <c r="A1023" s="1" t="s">
        <v>5</v>
      </c>
      <c r="B1023" s="1" t="s">
        <v>61</v>
      </c>
      <c r="C1023" s="1" t="s">
        <v>17</v>
      </c>
      <c r="D1023" s="1" t="s">
        <v>19</v>
      </c>
      <c r="E1023" s="1">
        <v>0.0015359</v>
      </c>
      <c r="F1023" s="1">
        <v>0.004778</v>
      </c>
      <c r="G1023" s="1">
        <v>0.0072388</v>
      </c>
      <c r="H1023" s="1">
        <v>0.00835987</v>
      </c>
      <c r="I1023" s="1">
        <v>0.00261054999999999</v>
      </c>
      <c r="J1023" s="1">
        <v>0.0140465</v>
      </c>
      <c r="K1023" s="1">
        <v>0.018488433</v>
      </c>
      <c r="L1023" s="1">
        <v>0.02372446</v>
      </c>
      <c r="M1023" s="1">
        <v>0.0293688599999999</v>
      </c>
      <c r="N1023" s="1">
        <v>0.03547544</v>
      </c>
      <c r="O1023" s="1">
        <v>0.04193164</v>
      </c>
      <c r="P1023" s="1">
        <v>0.04857325</v>
      </c>
      <c r="Q1023" s="1">
        <v>0.0551400799999999</v>
      </c>
      <c r="R1023" s="1">
        <v>0.06138306</v>
      </c>
      <c r="S1023" s="1">
        <v>0.06709973</v>
      </c>
    </row>
    <row r="1024" ht="14.25" hidden="1" customHeight="1">
      <c r="A1024" s="1" t="s">
        <v>5</v>
      </c>
      <c r="B1024" s="1" t="s">
        <v>61</v>
      </c>
      <c r="C1024" s="1" t="s">
        <v>17</v>
      </c>
      <c r="D1024" s="1" t="s">
        <v>8</v>
      </c>
      <c r="E1024" s="2">
        <v>6.80898E-4</v>
      </c>
      <c r="F1024" s="1">
        <v>0.00211841</v>
      </c>
      <c r="G1024" s="1">
        <v>0.00320937</v>
      </c>
      <c r="H1024" s="1">
        <v>0.00607108999999999</v>
      </c>
      <c r="I1024" s="1">
        <v>0.00431834293822</v>
      </c>
      <c r="J1024" s="1">
        <v>0.01393668712822</v>
      </c>
      <c r="K1024" s="1">
        <v>0.01865458146911</v>
      </c>
      <c r="L1024" s="1">
        <v>0.0240609508100049</v>
      </c>
      <c r="M1024" s="1">
        <v>0.02975094</v>
      </c>
      <c r="N1024" s="1">
        <v>0.03574938</v>
      </c>
      <c r="O1024" s="1">
        <v>0.04204847</v>
      </c>
      <c r="P1024" s="1">
        <v>0.04840641</v>
      </c>
      <c r="Q1024" s="1">
        <v>0.05460785</v>
      </c>
      <c r="R1024" s="1">
        <v>0.06040333</v>
      </c>
      <c r="S1024" s="1">
        <v>0.0656141299999999</v>
      </c>
    </row>
    <row r="1025" ht="14.25" hidden="1" customHeight="1">
      <c r="A1025" s="1" t="s">
        <v>5</v>
      </c>
      <c r="B1025" s="1" t="s">
        <v>61</v>
      </c>
      <c r="C1025" s="1" t="s">
        <v>17</v>
      </c>
      <c r="D1025" s="1" t="s">
        <v>20</v>
      </c>
      <c r="E1025" s="2">
        <v>5.11053E-4</v>
      </c>
      <c r="F1025" s="1">
        <v>0.00159053</v>
      </c>
      <c r="G1025" s="1">
        <v>0.00240947</v>
      </c>
      <c r="H1025" s="1">
        <v>0.00284282</v>
      </c>
      <c r="I1025" s="1">
        <v>0.001699191</v>
      </c>
      <c r="J1025" s="1">
        <v>0.004973058</v>
      </c>
      <c r="K1025" s="1">
        <v>0.0066154</v>
      </c>
      <c r="L1025" s="1">
        <v>0.00831892999999999</v>
      </c>
      <c r="M1025" s="1">
        <v>0.01020074</v>
      </c>
      <c r="N1025" s="1">
        <v>0.01225363</v>
      </c>
      <c r="O1025" s="1">
        <v>0.01439779</v>
      </c>
      <c r="P1025" s="1">
        <v>0.01656405</v>
      </c>
      <c r="Q1025" s="1">
        <v>0.0186823</v>
      </c>
      <c r="R1025" s="1">
        <v>0.02066704</v>
      </c>
      <c r="S1025" s="1">
        <v>0.02244514</v>
      </c>
    </row>
    <row r="1026" ht="14.25" hidden="1" customHeight="1">
      <c r="A1026" s="1" t="s">
        <v>5</v>
      </c>
      <c r="B1026" s="1" t="s">
        <v>61</v>
      </c>
      <c r="C1026" s="1" t="s">
        <v>21</v>
      </c>
      <c r="D1026" s="1" t="s">
        <v>10</v>
      </c>
      <c r="E1026" s="1">
        <v>0.00234125</v>
      </c>
      <c r="F1026" s="1">
        <v>0.00728333</v>
      </c>
      <c r="G1026" s="1">
        <v>0.0122665</v>
      </c>
      <c r="H1026" s="1">
        <v>0.01341112</v>
      </c>
      <c r="I1026" s="1">
        <v>0.01962351</v>
      </c>
      <c r="J1026" s="1">
        <v>0.01293351863</v>
      </c>
      <c r="K1026" s="1">
        <v>0.01902584628</v>
      </c>
      <c r="L1026" s="1">
        <v>0.02017508373</v>
      </c>
      <c r="M1026" s="1">
        <v>0.02025009163</v>
      </c>
      <c r="N1026" s="1">
        <v>0.0199281</v>
      </c>
      <c r="O1026" s="1">
        <v>0.01883637</v>
      </c>
      <c r="P1026" s="1">
        <v>0.01870178</v>
      </c>
      <c r="Q1026" s="1">
        <v>0.01839372</v>
      </c>
      <c r="R1026" s="1">
        <v>0.01812012</v>
      </c>
      <c r="S1026" s="1">
        <v>0.0180402299999999</v>
      </c>
    </row>
    <row r="1027" ht="14.25" hidden="1" customHeight="1">
      <c r="A1027" s="1" t="s">
        <v>5</v>
      </c>
      <c r="B1027" s="1" t="s">
        <v>61</v>
      </c>
      <c r="C1027" s="1" t="s">
        <v>21</v>
      </c>
      <c r="D1027" s="1" t="s">
        <v>11</v>
      </c>
      <c r="E1027" s="2">
        <v>1.06999E-5</v>
      </c>
      <c r="F1027" s="2">
        <v>3.34003E-5</v>
      </c>
      <c r="G1027" s="2">
        <v>5.62998E-5</v>
      </c>
      <c r="H1027" s="1">
        <v>0.00188823369999999</v>
      </c>
      <c r="I1027" s="2">
        <v>8.11488412478999E-4</v>
      </c>
      <c r="J1027" s="1">
        <v>0.0</v>
      </c>
      <c r="K1027" s="1">
        <v>0.0</v>
      </c>
      <c r="L1027" s="1">
        <v>0.0</v>
      </c>
      <c r="M1027" s="2">
        <v>7.46071E-5</v>
      </c>
      <c r="N1027" s="2">
        <v>1.171162E-4</v>
      </c>
      <c r="O1027" s="2">
        <v>1.048769E-4</v>
      </c>
      <c r="P1027" s="2">
        <v>6.01388E-5</v>
      </c>
      <c r="Q1027" s="2">
        <v>4.80986E-5</v>
      </c>
      <c r="R1027" s="2">
        <v>5.31610999999999E-5</v>
      </c>
      <c r="S1027" s="2">
        <v>5.67797999999999E-5</v>
      </c>
    </row>
    <row r="1028" ht="14.25" hidden="1" customHeight="1">
      <c r="A1028" s="1" t="s">
        <v>5</v>
      </c>
      <c r="B1028" s="1" t="s">
        <v>61</v>
      </c>
      <c r="C1028" s="1" t="s">
        <v>21</v>
      </c>
      <c r="D1028" s="1" t="s">
        <v>22</v>
      </c>
      <c r="E1028" s="2">
        <v>8.59E-5</v>
      </c>
      <c r="F1028" s="2">
        <v>2.673E-4</v>
      </c>
      <c r="G1028" s="2">
        <v>4.501E-4</v>
      </c>
      <c r="H1028" s="2">
        <v>4.85181E-4</v>
      </c>
      <c r="I1028" s="2">
        <v>7.70794999999999E-4</v>
      </c>
      <c r="J1028" s="2">
        <v>8.61989E-4</v>
      </c>
      <c r="K1028" s="2">
        <v>5.55534E-4</v>
      </c>
      <c r="L1028" s="2">
        <v>5.55733E-4</v>
      </c>
      <c r="M1028" s="2">
        <v>4.88296E-4</v>
      </c>
      <c r="N1028" s="2">
        <v>4.46259E-4</v>
      </c>
      <c r="O1028" s="2">
        <v>3.94103E-4</v>
      </c>
      <c r="P1028" s="2">
        <v>3.90897E-4</v>
      </c>
      <c r="Q1028" s="2">
        <v>3.8426E-4</v>
      </c>
      <c r="R1028" s="2">
        <v>3.81144E-4</v>
      </c>
      <c r="S1028" s="2">
        <v>3.79102E-4</v>
      </c>
    </row>
    <row r="1029" ht="14.25" hidden="1" customHeight="1">
      <c r="A1029" s="1" t="s">
        <v>5</v>
      </c>
      <c r="B1029" s="1" t="s">
        <v>61</v>
      </c>
      <c r="C1029" s="1" t="s">
        <v>21</v>
      </c>
      <c r="D1029" s="1" t="s">
        <v>23</v>
      </c>
      <c r="E1029" s="2">
        <v>1.070376E-5</v>
      </c>
      <c r="F1029" s="2">
        <v>3.34153E-5</v>
      </c>
      <c r="G1029" s="2">
        <v>5.63092E-5</v>
      </c>
      <c r="H1029" s="2">
        <v>5.217475E-5</v>
      </c>
      <c r="I1029" s="2">
        <v>1.1623287E-4</v>
      </c>
      <c r="J1029" s="2">
        <v>1.9765256E-4</v>
      </c>
      <c r="K1029" s="2">
        <v>1.186076E-4</v>
      </c>
      <c r="L1029" s="2">
        <v>1.4236764E-4</v>
      </c>
      <c r="M1029" s="2">
        <v>1.491632E-4</v>
      </c>
      <c r="N1029" s="2">
        <v>1.426766E-4</v>
      </c>
      <c r="O1029" s="2">
        <v>1.246065E-4</v>
      </c>
      <c r="P1029" s="2">
        <v>1.411639E-4</v>
      </c>
      <c r="Q1029" s="2">
        <v>1.56550799999999E-4</v>
      </c>
      <c r="R1029" s="2">
        <v>1.762263E-4</v>
      </c>
      <c r="S1029" s="2">
        <v>2.047926E-4</v>
      </c>
    </row>
    <row r="1030" ht="14.25" hidden="1" customHeight="1">
      <c r="A1030" s="1" t="s">
        <v>5</v>
      </c>
      <c r="B1030" s="1" t="s">
        <v>61</v>
      </c>
      <c r="C1030" s="1" t="s">
        <v>21</v>
      </c>
      <c r="D1030" s="1" t="s">
        <v>24</v>
      </c>
      <c r="E1030" s="1">
        <v>0.0010718</v>
      </c>
      <c r="F1030" s="1">
        <v>0.0033343</v>
      </c>
      <c r="G1030" s="1">
        <v>0.0056156</v>
      </c>
      <c r="H1030" s="1">
        <v>0.007101716</v>
      </c>
      <c r="I1030" s="1">
        <v>0.00557337999999999</v>
      </c>
      <c r="J1030" s="1">
        <v>0.007475599</v>
      </c>
      <c r="K1030" s="1">
        <v>0.006186308</v>
      </c>
      <c r="L1030" s="1">
        <v>0.00587793</v>
      </c>
      <c r="M1030" s="1">
        <v>0.00553561</v>
      </c>
      <c r="N1030" s="1">
        <v>0.00520089</v>
      </c>
      <c r="O1030" s="1">
        <v>0.00477954</v>
      </c>
      <c r="P1030" s="1">
        <v>0.00476844</v>
      </c>
      <c r="Q1030" s="1">
        <v>0.00469032999999999</v>
      </c>
      <c r="R1030" s="1">
        <v>0.00463311</v>
      </c>
      <c r="S1030" s="1">
        <v>0.00463197099999999</v>
      </c>
    </row>
    <row r="1031" ht="14.25" hidden="1" customHeight="1">
      <c r="A1031" s="1" t="s">
        <v>5</v>
      </c>
      <c r="B1031" s="1" t="s">
        <v>61</v>
      </c>
      <c r="C1031" s="1" t="s">
        <v>21</v>
      </c>
      <c r="D1031" s="1" t="s">
        <v>12</v>
      </c>
      <c r="E1031" s="2">
        <v>1.1E-6</v>
      </c>
      <c r="F1031" s="2">
        <v>3.3E-6</v>
      </c>
      <c r="G1031" s="2">
        <v>5.58068E-6</v>
      </c>
      <c r="H1031" s="2">
        <v>5.97685E-6</v>
      </c>
      <c r="I1031" s="2">
        <v>1.16859E-5</v>
      </c>
      <c r="J1031" s="2">
        <v>1.05044E-5</v>
      </c>
      <c r="K1031" s="2">
        <v>6.58789E-6</v>
      </c>
      <c r="L1031" s="2">
        <v>6.4749E-6</v>
      </c>
      <c r="M1031" s="2">
        <v>5.65501E-6</v>
      </c>
      <c r="N1031" s="2">
        <v>5.16159E-6</v>
      </c>
      <c r="O1031" s="2">
        <v>4.55734E-6</v>
      </c>
      <c r="P1031" s="2">
        <v>4.51509E-6</v>
      </c>
      <c r="Q1031" s="2">
        <v>4.43694E-6</v>
      </c>
      <c r="R1031" s="2">
        <v>4.40054E-6</v>
      </c>
      <c r="S1031" s="2">
        <v>4.37689E-6</v>
      </c>
    </row>
    <row r="1032" ht="14.25" hidden="1" customHeight="1">
      <c r="A1032" s="1" t="s">
        <v>5</v>
      </c>
      <c r="B1032" s="1" t="s">
        <v>61</v>
      </c>
      <c r="C1032" s="1" t="s">
        <v>21</v>
      </c>
      <c r="D1032" s="1" t="s">
        <v>13</v>
      </c>
      <c r="E1032" s="1">
        <v>0.00517853</v>
      </c>
      <c r="F1032" s="1">
        <v>0.01611</v>
      </c>
      <c r="G1032" s="1">
        <v>0.0195601</v>
      </c>
      <c r="H1032" s="1">
        <v>0.02005442</v>
      </c>
      <c r="I1032" s="1">
        <v>0.03446571</v>
      </c>
      <c r="J1032" s="1">
        <v>0.03440972</v>
      </c>
      <c r="K1032" s="1">
        <v>0.04561374</v>
      </c>
      <c r="L1032" s="1">
        <v>0.0592449</v>
      </c>
      <c r="M1032" s="1">
        <v>0.07367684</v>
      </c>
      <c r="N1032" s="1">
        <v>0.0897395699999999</v>
      </c>
      <c r="O1032" s="1">
        <v>0.10461714</v>
      </c>
      <c r="P1032" s="1">
        <v>0.11740814</v>
      </c>
      <c r="Q1032" s="1">
        <v>0.12975556</v>
      </c>
      <c r="R1032" s="1">
        <v>0.140658</v>
      </c>
      <c r="S1032" s="1">
        <v>0.1496322</v>
      </c>
    </row>
    <row r="1033" ht="14.25" hidden="1" customHeight="1">
      <c r="A1033" s="1" t="s">
        <v>5</v>
      </c>
      <c r="B1033" s="1" t="s">
        <v>61</v>
      </c>
      <c r="C1033" s="1" t="s">
        <v>21</v>
      </c>
      <c r="D1033" s="1" t="s">
        <v>14</v>
      </c>
      <c r="E1033" s="2">
        <v>1.09E-5</v>
      </c>
      <c r="F1033" s="2">
        <v>3.38001E-5</v>
      </c>
      <c r="G1033" s="2">
        <v>4.11E-5</v>
      </c>
      <c r="H1033" s="1">
        <v>0.0035483955</v>
      </c>
      <c r="I1033" s="1">
        <v>0.00153723</v>
      </c>
      <c r="J1033" s="1">
        <v>0.0</v>
      </c>
      <c r="K1033" s="1">
        <v>0.0</v>
      </c>
      <c r="L1033" s="2">
        <v>3.56751E-5</v>
      </c>
      <c r="M1033" s="2">
        <v>6.43784E-5</v>
      </c>
      <c r="N1033" s="2">
        <v>6.08917E-5</v>
      </c>
      <c r="O1033" s="2">
        <v>6.17787E-5</v>
      </c>
      <c r="P1033" s="2">
        <v>6.27015E-5</v>
      </c>
      <c r="Q1033" s="2">
        <v>6.61705E-5</v>
      </c>
      <c r="R1033" s="2">
        <v>7.19036E-5</v>
      </c>
      <c r="S1033" s="2">
        <v>7.37745E-5</v>
      </c>
    </row>
    <row r="1034" ht="14.25" hidden="1" customHeight="1">
      <c r="A1034" s="1" t="s">
        <v>5</v>
      </c>
      <c r="B1034" s="1" t="s">
        <v>61</v>
      </c>
      <c r="C1034" s="1" t="s">
        <v>21</v>
      </c>
      <c r="D1034" s="1" t="s">
        <v>25</v>
      </c>
      <c r="E1034" s="2">
        <v>3.046E-4</v>
      </c>
      <c r="F1034" s="2">
        <v>9.476E-4</v>
      </c>
      <c r="G1034" s="1">
        <v>0.0011506</v>
      </c>
      <c r="H1034" s="1">
        <v>0.001021876</v>
      </c>
      <c r="I1034" s="1">
        <v>0.002526312</v>
      </c>
      <c r="J1034" s="1">
        <v>0.002005632</v>
      </c>
      <c r="K1034" s="1">
        <v>0.002195408</v>
      </c>
      <c r="L1034" s="1">
        <v>0.00205583</v>
      </c>
      <c r="M1034" s="1">
        <v>0.001661142</v>
      </c>
      <c r="N1034" s="1">
        <v>0.001633442</v>
      </c>
      <c r="O1034" s="1">
        <v>0.001651119</v>
      </c>
      <c r="P1034" s="1">
        <v>0.001836359</v>
      </c>
      <c r="Q1034" s="1">
        <v>0.002044051</v>
      </c>
      <c r="R1034" s="1">
        <v>0.002236311</v>
      </c>
      <c r="S1034" s="1">
        <v>0.002382543</v>
      </c>
    </row>
    <row r="1035" ht="14.25" hidden="1" customHeight="1">
      <c r="A1035" s="1" t="s">
        <v>5</v>
      </c>
      <c r="B1035" s="1" t="s">
        <v>61</v>
      </c>
      <c r="C1035" s="1" t="s">
        <v>21</v>
      </c>
      <c r="D1035" s="1" t="s">
        <v>26</v>
      </c>
      <c r="E1035" s="1">
        <v>0.001044408</v>
      </c>
      <c r="F1035" s="1">
        <v>0.003249099</v>
      </c>
      <c r="G1035" s="1">
        <v>0.003944901</v>
      </c>
      <c r="H1035" s="1">
        <v>0.00370015399999999</v>
      </c>
      <c r="I1035" s="1">
        <v>0.00855628</v>
      </c>
      <c r="J1035" s="1">
        <v>0.012441507</v>
      </c>
      <c r="K1035" s="1">
        <v>0.013109559</v>
      </c>
      <c r="L1035" s="1">
        <v>0.01487347</v>
      </c>
      <c r="M1035" s="1">
        <v>0.0148215599999999</v>
      </c>
      <c r="N1035" s="1">
        <v>0.01842565</v>
      </c>
      <c r="O1035" s="1">
        <v>0.02294139</v>
      </c>
      <c r="P1035" s="1">
        <v>0.02994665</v>
      </c>
      <c r="Q1035" s="1">
        <v>0.03834127</v>
      </c>
      <c r="R1035" s="1">
        <v>0.04724865</v>
      </c>
      <c r="S1035" s="1">
        <v>0.0557023399999999</v>
      </c>
    </row>
    <row r="1036" ht="14.25" hidden="1" customHeight="1">
      <c r="A1036" s="1" t="s">
        <v>5</v>
      </c>
      <c r="B1036" s="1" t="s">
        <v>61</v>
      </c>
      <c r="C1036" s="1" t="s">
        <v>21</v>
      </c>
      <c r="D1036" s="1" t="s">
        <v>27</v>
      </c>
      <c r="E1036" s="1">
        <v>0.002067101</v>
      </c>
      <c r="F1036" s="1">
        <v>0.0064305</v>
      </c>
      <c r="G1036" s="1">
        <v>0.0078076</v>
      </c>
      <c r="H1036" s="1">
        <v>0.011393667</v>
      </c>
      <c r="I1036" s="1">
        <v>0.02758691</v>
      </c>
      <c r="J1036" s="1">
        <v>0.020562933</v>
      </c>
      <c r="K1036" s="1">
        <v>0.0228803699999999</v>
      </c>
      <c r="L1036" s="1">
        <v>0.0257339399999999</v>
      </c>
      <c r="M1036" s="1">
        <v>0.02900568</v>
      </c>
      <c r="N1036" s="1">
        <v>0.03223189</v>
      </c>
      <c r="O1036" s="1">
        <v>0.03542362</v>
      </c>
      <c r="P1036" s="1">
        <v>0.03919424</v>
      </c>
      <c r="Q1036" s="1">
        <v>0.04317216</v>
      </c>
      <c r="R1036" s="1">
        <v>0.04667883</v>
      </c>
      <c r="S1036" s="1">
        <v>0.04965736</v>
      </c>
    </row>
    <row r="1037" ht="14.25" hidden="1" customHeight="1">
      <c r="A1037" s="1" t="s">
        <v>5</v>
      </c>
      <c r="B1037" s="1" t="s">
        <v>61</v>
      </c>
      <c r="C1037" s="1" t="s">
        <v>21</v>
      </c>
      <c r="D1037" s="1" t="s">
        <v>28</v>
      </c>
      <c r="E1037" s="2">
        <v>1.1E-6</v>
      </c>
      <c r="F1037" s="2">
        <v>3.4E-6</v>
      </c>
      <c r="G1037" s="2">
        <v>4.1E-6</v>
      </c>
      <c r="H1037" s="2">
        <v>3.91267E-6</v>
      </c>
      <c r="I1037" s="2">
        <v>8.00443E-6</v>
      </c>
      <c r="J1037" s="2">
        <v>5.95333E-6</v>
      </c>
      <c r="K1037" s="2">
        <v>6.75338E-6</v>
      </c>
      <c r="L1037" s="2">
        <v>6.06021E-6</v>
      </c>
      <c r="M1037" s="2">
        <v>4.7919E-6</v>
      </c>
      <c r="N1037" s="2">
        <v>4.66893E-6</v>
      </c>
      <c r="O1037" s="2">
        <v>4.70951E-6</v>
      </c>
      <c r="P1037" s="2">
        <v>5.23578E-6</v>
      </c>
      <c r="Q1037" s="2">
        <v>5.82757E-6</v>
      </c>
      <c r="R1037" s="2">
        <v>6.37563E-6</v>
      </c>
      <c r="S1037" s="2">
        <v>6.79252E-6</v>
      </c>
    </row>
    <row r="1038" ht="14.25" hidden="1" customHeight="1">
      <c r="A1038" s="1" t="s">
        <v>5</v>
      </c>
      <c r="B1038" s="1" t="s">
        <v>61</v>
      </c>
      <c r="C1038" s="1" t="s">
        <v>29</v>
      </c>
      <c r="D1038" s="1" t="s">
        <v>16</v>
      </c>
      <c r="E1038" s="1">
        <v>0.0085346</v>
      </c>
      <c r="F1038" s="1">
        <v>0.0163852</v>
      </c>
      <c r="G1038" s="1">
        <v>0.0163627</v>
      </c>
      <c r="H1038" s="1">
        <v>0.0186616899999999</v>
      </c>
      <c r="I1038" s="1">
        <v>0.01580344</v>
      </c>
      <c r="J1038" s="1">
        <v>0.02106659</v>
      </c>
      <c r="K1038" s="1">
        <v>0.02184755</v>
      </c>
      <c r="L1038" s="1">
        <v>0.02236326</v>
      </c>
      <c r="M1038" s="1">
        <v>0.021236024</v>
      </c>
      <c r="N1038" s="1">
        <v>0.0222546</v>
      </c>
      <c r="O1038" s="1">
        <v>0.02407715</v>
      </c>
      <c r="P1038" s="1">
        <v>0.026102456</v>
      </c>
      <c r="Q1038" s="1">
        <v>0.0286262119999999</v>
      </c>
      <c r="R1038" s="1">
        <v>0.031273166</v>
      </c>
      <c r="S1038" s="1">
        <v>0.033543134</v>
      </c>
    </row>
    <row r="1039" ht="14.25" hidden="1" customHeight="1">
      <c r="A1039" s="1" t="s">
        <v>5</v>
      </c>
      <c r="B1039" s="1" t="s">
        <v>61</v>
      </c>
      <c r="C1039" s="1" t="s">
        <v>29</v>
      </c>
      <c r="D1039" s="1" t="s">
        <v>8</v>
      </c>
      <c r="E1039" s="2">
        <v>4.76999E-5</v>
      </c>
      <c r="F1039" s="2">
        <v>9.15006E-5</v>
      </c>
      <c r="G1039" s="2">
        <v>9.13992E-5</v>
      </c>
      <c r="H1039" s="2">
        <v>7.06204124E-5</v>
      </c>
      <c r="I1039" s="2">
        <v>5.446621258E-4</v>
      </c>
      <c r="J1039" s="2">
        <v>4.907364481E-4</v>
      </c>
      <c r="K1039" s="2">
        <v>4.241009562E-4</v>
      </c>
      <c r="L1039" s="2">
        <v>3.252540643E-4</v>
      </c>
      <c r="M1039" s="2">
        <v>2.1402618657E-4</v>
      </c>
      <c r="N1039" s="2">
        <v>1.5835471E-4</v>
      </c>
      <c r="O1039" s="2">
        <v>1.0847483E-4</v>
      </c>
      <c r="P1039" s="2">
        <v>1.2055189E-4</v>
      </c>
      <c r="Q1039" s="2">
        <v>1.3350533E-4</v>
      </c>
      <c r="R1039" s="2">
        <v>1.4597001E-4</v>
      </c>
      <c r="S1039" s="2">
        <v>1.5645535E-4</v>
      </c>
    </row>
    <row r="1040" ht="14.25" hidden="1" customHeight="1">
      <c r="A1040" s="1" t="s">
        <v>5</v>
      </c>
      <c r="B1040" s="1" t="s">
        <v>61</v>
      </c>
      <c r="C1040" s="1" t="s">
        <v>29</v>
      </c>
      <c r="D1040" s="1" t="s">
        <v>10</v>
      </c>
      <c r="E1040" s="2">
        <v>2.39005E-5</v>
      </c>
      <c r="F1040" s="2">
        <v>4.60002E-5</v>
      </c>
      <c r="G1040" s="2">
        <v>2.26E-5</v>
      </c>
      <c r="H1040" s="1">
        <v>0.0017050547</v>
      </c>
      <c r="I1040" s="1">
        <v>0.0014800460822</v>
      </c>
      <c r="J1040" s="1">
        <v>0.00122593579263</v>
      </c>
      <c r="K1040" s="2">
        <v>8.6626996539E-4</v>
      </c>
      <c r="L1040" s="2">
        <v>4.9861431096E-4</v>
      </c>
      <c r="M1040" s="2">
        <v>2.4468356632E-4</v>
      </c>
      <c r="N1040" s="2">
        <v>2.053074573E-5</v>
      </c>
      <c r="O1040" s="2">
        <v>1.734642755E-5</v>
      </c>
      <c r="P1040" s="2">
        <v>1.416782E-5</v>
      </c>
      <c r="Q1040" s="2">
        <v>1.10558E-5</v>
      </c>
      <c r="R1040" s="2">
        <v>9.594417E-6</v>
      </c>
      <c r="S1040" s="2">
        <v>8.862207E-6</v>
      </c>
    </row>
    <row r="1041" ht="14.25" hidden="1" customHeight="1">
      <c r="A1041" s="1" t="s">
        <v>5</v>
      </c>
      <c r="B1041" s="1" t="s">
        <v>61</v>
      </c>
      <c r="C1041" s="1" t="s">
        <v>29</v>
      </c>
      <c r="D1041" s="1" t="s">
        <v>11</v>
      </c>
      <c r="E1041" s="1">
        <v>0.0143444</v>
      </c>
      <c r="F1041" s="1">
        <v>0.0275392</v>
      </c>
      <c r="G1041" s="1">
        <v>0.013525</v>
      </c>
      <c r="H1041" s="1">
        <v>0.010595948</v>
      </c>
      <c r="I1041" s="1">
        <v>0.0313265729999999</v>
      </c>
      <c r="J1041" s="1">
        <v>0.0102760162</v>
      </c>
      <c r="K1041" s="1">
        <v>0.010171164</v>
      </c>
      <c r="L1041" s="1">
        <v>0.010135778</v>
      </c>
      <c r="M1041" s="1">
        <v>0.0083278149</v>
      </c>
      <c r="N1041" s="1">
        <v>0.00733192</v>
      </c>
      <c r="O1041" s="1">
        <v>0.00622233</v>
      </c>
      <c r="P1041" s="1">
        <v>0.00622337</v>
      </c>
      <c r="Q1041" s="1">
        <v>0.006134122</v>
      </c>
      <c r="R1041" s="1">
        <v>0.006053575</v>
      </c>
      <c r="S1041" s="1">
        <v>0.006056456</v>
      </c>
    </row>
    <row r="1042" ht="14.25" hidden="1" customHeight="1">
      <c r="A1042" s="1" t="s">
        <v>5</v>
      </c>
      <c r="B1042" s="1" t="s">
        <v>61</v>
      </c>
      <c r="C1042" s="1" t="s">
        <v>29</v>
      </c>
      <c r="D1042" s="1" t="s">
        <v>13</v>
      </c>
      <c r="E1042" s="2">
        <v>2.40002E-5</v>
      </c>
      <c r="F1042" s="2">
        <v>4.6E-5</v>
      </c>
      <c r="G1042" s="2">
        <v>3.04001E-5</v>
      </c>
      <c r="H1042" s="1">
        <v>0.0241657655</v>
      </c>
      <c r="I1042" s="1">
        <v>0.0209838673</v>
      </c>
      <c r="J1042" s="1">
        <v>0.01942127926</v>
      </c>
      <c r="K1042" s="1">
        <v>0.02024730644</v>
      </c>
      <c r="L1042" s="1">
        <v>0.020066691288</v>
      </c>
      <c r="M1042" s="1">
        <v>0.020230502957</v>
      </c>
      <c r="N1042" s="1">
        <v>0.018812553035</v>
      </c>
      <c r="O1042" s="1">
        <v>0.0195929379999999</v>
      </c>
      <c r="P1042" s="1">
        <v>0.01974394</v>
      </c>
      <c r="Q1042" s="1">
        <v>0.02005548</v>
      </c>
      <c r="R1042" s="1">
        <v>0.020671134</v>
      </c>
      <c r="S1042" s="1">
        <v>0.021312497</v>
      </c>
    </row>
    <row r="1043" ht="14.25" hidden="1" customHeight="1">
      <c r="A1043" s="1" t="s">
        <v>5</v>
      </c>
      <c r="B1043" s="1" t="s">
        <v>61</v>
      </c>
      <c r="C1043" s="1" t="s">
        <v>29</v>
      </c>
      <c r="D1043" s="1" t="s">
        <v>14</v>
      </c>
      <c r="E1043" s="1">
        <v>0.0305464</v>
      </c>
      <c r="F1043" s="1">
        <v>0.0586441</v>
      </c>
      <c r="G1043" s="1">
        <v>0.0387262</v>
      </c>
      <c r="H1043" s="1">
        <v>0.03140608</v>
      </c>
      <c r="I1043" s="1">
        <v>0.0678434099999999</v>
      </c>
      <c r="J1043" s="1">
        <v>0.036816633</v>
      </c>
      <c r="K1043" s="1">
        <v>0.041745629</v>
      </c>
      <c r="L1043" s="1">
        <v>0.032248945</v>
      </c>
      <c r="M1043" s="1">
        <v>0.017295677</v>
      </c>
      <c r="N1043" s="1">
        <v>0.01320854</v>
      </c>
      <c r="O1043" s="1">
        <v>0.01028038</v>
      </c>
      <c r="P1043" s="1">
        <v>0.011960349</v>
      </c>
      <c r="Q1043" s="1">
        <v>0.013690115</v>
      </c>
      <c r="R1043" s="1">
        <v>0.01545296</v>
      </c>
      <c r="S1043" s="1">
        <v>0.0169559419999999</v>
      </c>
    </row>
    <row r="1044" ht="14.25" hidden="1" customHeight="1">
      <c r="A1044" s="1" t="s">
        <v>5</v>
      </c>
      <c r="B1044" s="1" t="s">
        <v>61</v>
      </c>
      <c r="C1044" s="1" t="s">
        <v>31</v>
      </c>
      <c r="D1044" s="1" t="s">
        <v>11</v>
      </c>
      <c r="E1044" s="1">
        <v>0.00357707</v>
      </c>
      <c r="F1044" s="1">
        <v>0.00419113</v>
      </c>
      <c r="G1044" s="1">
        <v>0.00445448</v>
      </c>
      <c r="H1044" s="1">
        <v>0.0</v>
      </c>
      <c r="I1044" s="1">
        <v>0.0</v>
      </c>
      <c r="J1044" s="1">
        <v>0.0</v>
      </c>
      <c r="K1044" s="1">
        <v>0.0</v>
      </c>
      <c r="L1044" s="1">
        <v>0.0</v>
      </c>
      <c r="M1044" s="1">
        <v>0.0</v>
      </c>
      <c r="N1044" s="1">
        <v>0.0</v>
      </c>
      <c r="O1044" s="1">
        <v>0.0</v>
      </c>
      <c r="P1044" s="1">
        <v>0.0</v>
      </c>
      <c r="Q1044" s="1">
        <v>0.0</v>
      </c>
      <c r="R1044" s="1">
        <v>0.0</v>
      </c>
      <c r="S1044" s="1">
        <v>0.0</v>
      </c>
    </row>
    <row r="1045" ht="14.25" hidden="1" customHeight="1">
      <c r="A1045" s="1" t="s">
        <v>5</v>
      </c>
      <c r="B1045" s="1" t="s">
        <v>62</v>
      </c>
      <c r="C1045" s="1" t="s">
        <v>7</v>
      </c>
      <c r="D1045" s="1" t="s">
        <v>8</v>
      </c>
      <c r="E1045" s="1">
        <v>0.0018415</v>
      </c>
      <c r="F1045" s="1">
        <v>0.00234494</v>
      </c>
      <c r="G1045" s="1">
        <v>0.00250948</v>
      </c>
      <c r="H1045" s="2">
        <v>7.95781E-4</v>
      </c>
      <c r="I1045" s="1">
        <v>0.00117544</v>
      </c>
      <c r="J1045" s="2">
        <v>2.61541E-4</v>
      </c>
      <c r="K1045" s="2">
        <v>1.33323E-4</v>
      </c>
      <c r="L1045" s="2">
        <v>1.1215E-4</v>
      </c>
      <c r="M1045" s="2">
        <v>7.94923E-5</v>
      </c>
      <c r="N1045" s="2">
        <v>4.51539E-5</v>
      </c>
      <c r="O1045" s="1">
        <v>0.0</v>
      </c>
      <c r="P1045" s="1">
        <v>0.0</v>
      </c>
      <c r="Q1045" s="1">
        <v>0.0</v>
      </c>
      <c r="R1045" s="1">
        <v>0.0</v>
      </c>
      <c r="S1045" s="1">
        <v>0.0</v>
      </c>
    </row>
    <row r="1046" ht="14.25" hidden="1" customHeight="1">
      <c r="A1046" s="1" t="s">
        <v>5</v>
      </c>
      <c r="B1046" s="1" t="s">
        <v>62</v>
      </c>
      <c r="C1046" s="1" t="s">
        <v>9</v>
      </c>
      <c r="D1046" s="1" t="s">
        <v>8</v>
      </c>
      <c r="E1046" s="2">
        <v>7.03086E-4</v>
      </c>
      <c r="F1046" s="2">
        <v>6.1671E-4</v>
      </c>
      <c r="G1046" s="2">
        <v>9.06992E-4</v>
      </c>
      <c r="H1046" s="1">
        <v>0.00135083</v>
      </c>
      <c r="I1046" s="2">
        <v>2.07726E-5</v>
      </c>
      <c r="J1046" s="1">
        <v>0.0</v>
      </c>
      <c r="K1046" s="1">
        <v>0.0</v>
      </c>
      <c r="L1046" s="1">
        <v>0.0</v>
      </c>
      <c r="M1046" s="1">
        <v>0.0</v>
      </c>
      <c r="N1046" s="1">
        <v>0.0</v>
      </c>
      <c r="O1046" s="1">
        <v>0.0</v>
      </c>
      <c r="P1046" s="1">
        <v>0.0</v>
      </c>
      <c r="Q1046" s="1">
        <v>0.0</v>
      </c>
      <c r="R1046" s="1">
        <v>0.0</v>
      </c>
      <c r="S1046" s="1">
        <v>0.0</v>
      </c>
    </row>
    <row r="1047" ht="14.25" hidden="1" customHeight="1">
      <c r="A1047" s="1" t="s">
        <v>5</v>
      </c>
      <c r="B1047" s="1" t="s">
        <v>62</v>
      </c>
      <c r="C1047" s="1" t="s">
        <v>9</v>
      </c>
      <c r="D1047" s="1" t="s">
        <v>10</v>
      </c>
      <c r="E1047" s="1">
        <v>0.0</v>
      </c>
      <c r="F1047" s="1">
        <v>0.0</v>
      </c>
      <c r="G1047" s="2">
        <v>1.35017E-4</v>
      </c>
      <c r="H1047" s="1">
        <v>0.0</v>
      </c>
      <c r="I1047" s="2">
        <v>7.91147E-5</v>
      </c>
      <c r="J1047" s="2">
        <v>3.39531E-4</v>
      </c>
      <c r="K1047" s="1">
        <v>0.0</v>
      </c>
      <c r="L1047" s="1">
        <v>0.0</v>
      </c>
      <c r="M1047" s="1">
        <v>0.0</v>
      </c>
      <c r="N1047" s="1">
        <v>0.0</v>
      </c>
      <c r="O1047" s="1">
        <v>0.0</v>
      </c>
      <c r="P1047" s="1">
        <v>0.0</v>
      </c>
      <c r="Q1047" s="1">
        <v>0.0</v>
      </c>
      <c r="R1047" s="1">
        <v>0.0</v>
      </c>
      <c r="S1047" s="1">
        <v>0.0</v>
      </c>
    </row>
    <row r="1048" ht="14.25" hidden="1" customHeight="1">
      <c r="A1048" s="1" t="s">
        <v>5</v>
      </c>
      <c r="B1048" s="1" t="s">
        <v>62</v>
      </c>
      <c r="C1048" s="1" t="s">
        <v>9</v>
      </c>
      <c r="D1048" s="1" t="s">
        <v>11</v>
      </c>
      <c r="E1048" s="1">
        <v>0.0</v>
      </c>
      <c r="F1048" s="1">
        <v>0.0</v>
      </c>
      <c r="G1048" s="2">
        <v>1.35019E-4</v>
      </c>
      <c r="H1048" s="1">
        <v>0.0</v>
      </c>
      <c r="I1048" s="1">
        <v>0.0</v>
      </c>
      <c r="J1048" s="1">
        <v>0.0</v>
      </c>
      <c r="K1048" s="1">
        <v>0.0</v>
      </c>
      <c r="L1048" s="1">
        <v>0.0</v>
      </c>
      <c r="M1048" s="1">
        <v>0.0</v>
      </c>
      <c r="N1048" s="1">
        <v>0.0</v>
      </c>
      <c r="O1048" s="1">
        <v>0.0</v>
      </c>
      <c r="P1048" s="1">
        <v>0.0</v>
      </c>
      <c r="Q1048" s="1">
        <v>0.0</v>
      </c>
      <c r="R1048" s="1">
        <v>0.0</v>
      </c>
      <c r="S1048" s="1">
        <v>0.0</v>
      </c>
    </row>
    <row r="1049" ht="14.25" hidden="1" customHeight="1">
      <c r="A1049" s="1" t="s">
        <v>5</v>
      </c>
      <c r="B1049" s="1" t="s">
        <v>62</v>
      </c>
      <c r="C1049" s="1" t="s">
        <v>9</v>
      </c>
      <c r="D1049" s="1" t="s">
        <v>12</v>
      </c>
      <c r="E1049" s="1">
        <v>0.0</v>
      </c>
      <c r="F1049" s="1">
        <v>0.0</v>
      </c>
      <c r="G1049" s="2">
        <v>1.33975E-5</v>
      </c>
      <c r="H1049" s="1">
        <v>0.0</v>
      </c>
      <c r="I1049" s="1">
        <v>0.0</v>
      </c>
      <c r="J1049" s="1">
        <v>0.0</v>
      </c>
      <c r="K1049" s="1">
        <v>0.0</v>
      </c>
      <c r="L1049" s="1">
        <v>0.0</v>
      </c>
      <c r="M1049" s="1">
        <v>0.0</v>
      </c>
      <c r="N1049" s="1">
        <v>0.0</v>
      </c>
      <c r="O1049" s="1">
        <v>0.0</v>
      </c>
      <c r="P1049" s="1">
        <v>0.0</v>
      </c>
      <c r="Q1049" s="1">
        <v>0.0</v>
      </c>
      <c r="R1049" s="1">
        <v>0.0</v>
      </c>
      <c r="S1049" s="1">
        <v>0.0</v>
      </c>
    </row>
    <row r="1050" ht="14.25" hidden="1" customHeight="1">
      <c r="A1050" s="1" t="s">
        <v>5</v>
      </c>
      <c r="B1050" s="1" t="s">
        <v>62</v>
      </c>
      <c r="C1050" s="1" t="s">
        <v>9</v>
      </c>
      <c r="D1050" s="1" t="s">
        <v>13</v>
      </c>
      <c r="E1050" s="1">
        <v>0.0</v>
      </c>
      <c r="F1050" s="1">
        <v>0.0</v>
      </c>
      <c r="G1050" s="1">
        <v>0.0</v>
      </c>
      <c r="H1050" s="2">
        <v>1.26702E-4</v>
      </c>
      <c r="I1050" s="1">
        <v>0.0</v>
      </c>
      <c r="J1050" s="1">
        <v>0.0</v>
      </c>
      <c r="K1050" s="1">
        <v>0.0</v>
      </c>
      <c r="L1050" s="1">
        <v>0.0</v>
      </c>
      <c r="M1050" s="1">
        <v>0.0</v>
      </c>
      <c r="N1050" s="1">
        <v>0.0</v>
      </c>
      <c r="O1050" s="1">
        <v>0.0</v>
      </c>
      <c r="P1050" s="1">
        <v>0.0</v>
      </c>
      <c r="Q1050" s="1">
        <v>0.0</v>
      </c>
      <c r="R1050" s="1">
        <v>0.0</v>
      </c>
      <c r="S1050" s="1">
        <v>0.0</v>
      </c>
    </row>
    <row r="1051" ht="14.25" hidden="1" customHeight="1">
      <c r="A1051" s="1" t="s">
        <v>5</v>
      </c>
      <c r="B1051" s="1" t="s">
        <v>62</v>
      </c>
      <c r="C1051" s="1" t="s">
        <v>9</v>
      </c>
      <c r="D1051" s="1" t="s">
        <v>14</v>
      </c>
      <c r="E1051" s="1">
        <v>0.0</v>
      </c>
      <c r="F1051" s="1">
        <v>0.0</v>
      </c>
      <c r="G1051" s="1">
        <v>0.0</v>
      </c>
      <c r="H1051" s="2">
        <v>4.88851E-5</v>
      </c>
      <c r="I1051" s="1">
        <v>0.0</v>
      </c>
      <c r="J1051" s="1">
        <v>0.0</v>
      </c>
      <c r="K1051" s="1">
        <v>0.0</v>
      </c>
      <c r="L1051" s="1">
        <v>0.0</v>
      </c>
      <c r="M1051" s="1">
        <v>0.0</v>
      </c>
      <c r="N1051" s="1">
        <v>0.0</v>
      </c>
      <c r="O1051" s="1">
        <v>0.0</v>
      </c>
      <c r="P1051" s="1">
        <v>0.0</v>
      </c>
      <c r="Q1051" s="1">
        <v>0.0</v>
      </c>
      <c r="R1051" s="1">
        <v>0.0</v>
      </c>
      <c r="S1051" s="1">
        <v>0.0</v>
      </c>
    </row>
    <row r="1052" ht="14.25" hidden="1" customHeight="1">
      <c r="A1052" s="1" t="s">
        <v>5</v>
      </c>
      <c r="B1052" s="1" t="s">
        <v>62</v>
      </c>
      <c r="C1052" s="1" t="s">
        <v>15</v>
      </c>
      <c r="D1052" s="1" t="s">
        <v>16</v>
      </c>
      <c r="E1052" s="1">
        <v>0.0</v>
      </c>
      <c r="F1052" s="1">
        <v>0.0</v>
      </c>
      <c r="G1052" s="2">
        <v>2.80879E-5</v>
      </c>
      <c r="H1052" s="2">
        <v>2.16807E-5</v>
      </c>
      <c r="I1052" s="2">
        <v>4.71994E-5</v>
      </c>
      <c r="J1052" s="2">
        <v>9.4456E-5</v>
      </c>
      <c r="K1052" s="2">
        <v>1.536551E-4</v>
      </c>
      <c r="L1052" s="2">
        <v>2.1656319E-4</v>
      </c>
      <c r="M1052" s="2">
        <v>2.8045426E-4</v>
      </c>
      <c r="N1052" s="2">
        <v>3.3706826E-4</v>
      </c>
      <c r="O1052" s="2">
        <v>3.8800308E-4</v>
      </c>
      <c r="P1052" s="2">
        <v>4.3658907E-4</v>
      </c>
      <c r="Q1052" s="2">
        <v>4.853531E-4</v>
      </c>
      <c r="R1052" s="2">
        <v>5.330767E-4</v>
      </c>
      <c r="S1052" s="2">
        <v>5.802259E-4</v>
      </c>
    </row>
    <row r="1053" ht="14.25" hidden="1" customHeight="1">
      <c r="A1053" s="1" t="s">
        <v>5</v>
      </c>
      <c r="B1053" s="1" t="s">
        <v>62</v>
      </c>
      <c r="C1053" s="1" t="s">
        <v>15</v>
      </c>
      <c r="D1053" s="1" t="s">
        <v>13</v>
      </c>
      <c r="E1053" s="1">
        <v>0.0</v>
      </c>
      <c r="F1053" s="1">
        <v>0.0</v>
      </c>
      <c r="G1053" s="2">
        <v>2.00055E-6</v>
      </c>
      <c r="H1053" s="2">
        <v>1.5442E-6</v>
      </c>
      <c r="I1053" s="2">
        <v>1.29601E-6</v>
      </c>
      <c r="J1053" s="2">
        <v>1.00027E-6</v>
      </c>
      <c r="K1053" s="2">
        <v>7.04539E-7</v>
      </c>
      <c r="L1053" s="2">
        <v>4.5635E-7</v>
      </c>
      <c r="M1053" s="1">
        <v>0.0</v>
      </c>
      <c r="N1053" s="1">
        <v>0.0</v>
      </c>
      <c r="O1053" s="1">
        <v>0.0</v>
      </c>
      <c r="P1053" s="1">
        <v>0.0</v>
      </c>
      <c r="Q1053" s="1">
        <v>0.0</v>
      </c>
      <c r="R1053" s="1">
        <v>0.0</v>
      </c>
      <c r="S1053" s="1">
        <v>0.0</v>
      </c>
    </row>
    <row r="1054" ht="14.25" customHeight="1">
      <c r="A1054" s="1" t="s">
        <v>5</v>
      </c>
      <c r="B1054" s="1" t="s">
        <v>62</v>
      </c>
      <c r="C1054" s="1" t="s">
        <v>15</v>
      </c>
      <c r="D1054" s="1" t="s">
        <v>14</v>
      </c>
      <c r="E1054" s="1">
        <v>0.0</v>
      </c>
      <c r="F1054" s="1">
        <v>0.0</v>
      </c>
      <c r="G1054" s="2">
        <v>2.00005E-6</v>
      </c>
      <c r="H1054" s="2">
        <v>1.54381E-6</v>
      </c>
      <c r="I1054" s="2">
        <v>2.115297E-6</v>
      </c>
      <c r="J1054" s="2">
        <v>1.60714693E-4</v>
      </c>
      <c r="K1054" s="2">
        <v>3.60003247E-4</v>
      </c>
      <c r="L1054" s="2">
        <v>5.80289044999999E-4</v>
      </c>
      <c r="M1054" s="2">
        <v>7.58516434E-4</v>
      </c>
      <c r="N1054" s="2">
        <v>8.55050744999999E-4</v>
      </c>
      <c r="O1054" s="2">
        <v>8.992979E-4</v>
      </c>
      <c r="P1054" s="2">
        <v>9.042649E-4</v>
      </c>
      <c r="Q1054" s="2">
        <v>9.06239099999999E-4</v>
      </c>
      <c r="R1054" s="2">
        <v>9.081885E-4</v>
      </c>
      <c r="S1054" s="2">
        <v>9.12403299999999E-4</v>
      </c>
    </row>
    <row r="1055" ht="14.25" hidden="1" customHeight="1">
      <c r="A1055" s="1" t="s">
        <v>5</v>
      </c>
      <c r="B1055" s="1" t="s">
        <v>62</v>
      </c>
      <c r="C1055" s="1" t="s">
        <v>17</v>
      </c>
      <c r="D1055" s="1" t="s">
        <v>16</v>
      </c>
      <c r="E1055" s="2">
        <v>9.44743E-6</v>
      </c>
      <c r="F1055" s="2">
        <v>2.96226E-5</v>
      </c>
      <c r="G1055" s="2">
        <v>4.41809E-5</v>
      </c>
      <c r="H1055" s="2">
        <v>7.20194E-5</v>
      </c>
      <c r="I1055" s="2">
        <v>6.24287599999999E-5</v>
      </c>
      <c r="J1055" s="2">
        <v>6.316171E-5</v>
      </c>
      <c r="K1055" s="2">
        <v>5.9493369E-5</v>
      </c>
      <c r="L1055" s="2">
        <v>5.7412338E-5</v>
      </c>
      <c r="M1055" s="2">
        <v>5.8953386E-5</v>
      </c>
      <c r="N1055" s="2">
        <v>6.3539728E-5</v>
      </c>
      <c r="O1055" s="2">
        <v>7.25233299999999E-5</v>
      </c>
      <c r="P1055" s="2">
        <v>8.249361E-5</v>
      </c>
      <c r="Q1055" s="2">
        <v>9.213396E-5</v>
      </c>
      <c r="R1055" s="2">
        <v>1.0210299E-4</v>
      </c>
      <c r="S1055" s="2">
        <v>1.1173669E-4</v>
      </c>
    </row>
    <row r="1056" ht="14.25" hidden="1" customHeight="1">
      <c r="A1056" s="1" t="s">
        <v>5</v>
      </c>
      <c r="B1056" s="1" t="s">
        <v>62</v>
      </c>
      <c r="C1056" s="1" t="s">
        <v>17</v>
      </c>
      <c r="D1056" s="1" t="s">
        <v>18</v>
      </c>
      <c r="E1056" s="2">
        <v>4.0E-5</v>
      </c>
      <c r="F1056" s="2">
        <v>1.245E-4</v>
      </c>
      <c r="G1056" s="2">
        <v>1.85808E-4</v>
      </c>
      <c r="H1056" s="2">
        <v>1.54887E-4</v>
      </c>
      <c r="I1056" s="2">
        <v>1.05081E-4</v>
      </c>
      <c r="J1056" s="2">
        <v>1.570135E-4</v>
      </c>
      <c r="K1056" s="2">
        <v>1.846897E-4</v>
      </c>
      <c r="L1056" s="2">
        <v>2.164613E-4</v>
      </c>
      <c r="M1056" s="2">
        <v>2.45961399999999E-4</v>
      </c>
      <c r="N1056" s="2">
        <v>2.771281E-4</v>
      </c>
      <c r="O1056" s="2">
        <v>3.04452559999999E-4</v>
      </c>
      <c r="P1056" s="2">
        <v>3.298802E-4</v>
      </c>
      <c r="Q1056" s="2">
        <v>3.523869E-4</v>
      </c>
      <c r="R1056" s="2">
        <v>3.7499702E-4</v>
      </c>
      <c r="S1056" s="2">
        <v>3.9417896E-4</v>
      </c>
    </row>
    <row r="1057" ht="14.25" hidden="1" customHeight="1">
      <c r="A1057" s="1" t="s">
        <v>5</v>
      </c>
      <c r="B1057" s="1" t="s">
        <v>62</v>
      </c>
      <c r="C1057" s="1" t="s">
        <v>17</v>
      </c>
      <c r="D1057" s="1" t="s">
        <v>19</v>
      </c>
      <c r="E1057" s="2">
        <v>1.70986E-5</v>
      </c>
      <c r="F1057" s="2">
        <v>5.32974E-5</v>
      </c>
      <c r="G1057" s="2">
        <v>7.96009E-5</v>
      </c>
      <c r="H1057" s="2">
        <v>9.15701E-5</v>
      </c>
      <c r="I1057" s="2">
        <v>6.11472E-5</v>
      </c>
      <c r="J1057" s="2">
        <v>1.35480899999999E-4</v>
      </c>
      <c r="K1057" s="2">
        <v>1.67807999999999E-4</v>
      </c>
      <c r="L1057" s="2">
        <v>2.041604E-4</v>
      </c>
      <c r="M1057" s="2">
        <v>2.392715E-4</v>
      </c>
      <c r="N1057" s="2">
        <v>2.76134E-4</v>
      </c>
      <c r="O1057" s="2">
        <v>3.14953299999999E-4</v>
      </c>
      <c r="P1057" s="2">
        <v>3.541503E-4</v>
      </c>
      <c r="Q1057" s="2">
        <v>3.932461E-4</v>
      </c>
      <c r="R1057" s="2">
        <v>4.318528E-4</v>
      </c>
      <c r="S1057" s="2">
        <v>4.692062E-4</v>
      </c>
    </row>
    <row r="1058" ht="14.25" hidden="1" customHeight="1">
      <c r="A1058" s="1" t="s">
        <v>5</v>
      </c>
      <c r="B1058" s="1" t="s">
        <v>62</v>
      </c>
      <c r="C1058" s="1" t="s">
        <v>17</v>
      </c>
      <c r="D1058" s="1" t="s">
        <v>8</v>
      </c>
      <c r="E1058" s="2">
        <v>7.59876E-6</v>
      </c>
      <c r="F1058" s="2">
        <v>2.37004E-5</v>
      </c>
      <c r="G1058" s="2">
        <v>3.53997E-5</v>
      </c>
      <c r="H1058" s="2">
        <v>1.565287E-4</v>
      </c>
      <c r="I1058" s="2">
        <v>1.1250624207E-4</v>
      </c>
      <c r="J1058" s="1">
        <v>0.001727573957225</v>
      </c>
      <c r="K1058" s="1">
        <v>0.002334673671035</v>
      </c>
      <c r="L1058" s="1">
        <v>0.002947289314844</v>
      </c>
      <c r="M1058" s="1">
        <v>0.003562257</v>
      </c>
      <c r="N1058" s="1">
        <v>0.004152301</v>
      </c>
      <c r="O1058" s="1">
        <v>0.00476056</v>
      </c>
      <c r="P1058" s="1">
        <v>0.005329403</v>
      </c>
      <c r="Q1058" s="1">
        <v>0.00588320099999999</v>
      </c>
      <c r="R1058" s="1">
        <v>0.00642052</v>
      </c>
      <c r="S1058" s="1">
        <v>0.006933404</v>
      </c>
    </row>
    <row r="1059" ht="14.25" hidden="1" customHeight="1">
      <c r="A1059" s="1" t="s">
        <v>5</v>
      </c>
      <c r="B1059" s="1" t="s">
        <v>62</v>
      </c>
      <c r="C1059" s="1" t="s">
        <v>17</v>
      </c>
      <c r="D1059" s="1" t="s">
        <v>20</v>
      </c>
      <c r="E1059" s="2">
        <v>5.78947E-6</v>
      </c>
      <c r="F1059" s="2">
        <v>1.78947E-5</v>
      </c>
      <c r="G1059" s="2">
        <v>2.63158E-5</v>
      </c>
      <c r="H1059" s="2">
        <v>3.14597E-5</v>
      </c>
      <c r="I1059" s="2">
        <v>3.499086E-5</v>
      </c>
      <c r="J1059" s="2">
        <v>4.772651E-5</v>
      </c>
      <c r="K1059" s="2">
        <v>5.990735E-5</v>
      </c>
      <c r="L1059" s="2">
        <v>7.10373E-5</v>
      </c>
      <c r="M1059" s="2">
        <v>8.25645E-5</v>
      </c>
      <c r="N1059" s="2">
        <v>9.47494999999999E-5</v>
      </c>
      <c r="O1059" s="2">
        <v>1.07401699999999E-4</v>
      </c>
      <c r="P1059" s="2">
        <v>1.199606E-4</v>
      </c>
      <c r="Q1059" s="2">
        <v>1.323375E-4</v>
      </c>
      <c r="R1059" s="2">
        <v>1.444117E-4</v>
      </c>
      <c r="S1059" s="2">
        <v>1.558893E-4</v>
      </c>
    </row>
    <row r="1060" ht="14.25" hidden="1" customHeight="1">
      <c r="A1060" s="1" t="s">
        <v>5</v>
      </c>
      <c r="B1060" s="1" t="s">
        <v>62</v>
      </c>
      <c r="C1060" s="1" t="s">
        <v>21</v>
      </c>
      <c r="D1060" s="1" t="s">
        <v>10</v>
      </c>
      <c r="E1060" s="2">
        <v>8.66334E-5</v>
      </c>
      <c r="F1060" s="2">
        <v>2.69319E-4</v>
      </c>
      <c r="G1060" s="2">
        <v>1.85623E-4</v>
      </c>
      <c r="H1060" s="2">
        <v>2.26476E-4</v>
      </c>
      <c r="I1060" s="2">
        <v>1.980226E-4</v>
      </c>
      <c r="J1060" s="2">
        <v>1.32686165E-4</v>
      </c>
      <c r="K1060" s="2">
        <v>2.89659695E-4</v>
      </c>
      <c r="L1060" s="2">
        <v>3.102176709E-4</v>
      </c>
      <c r="M1060" s="2">
        <v>3.330314521E-4</v>
      </c>
      <c r="N1060" s="2">
        <v>3.465762E-4</v>
      </c>
      <c r="O1060" s="2">
        <v>3.365949E-4</v>
      </c>
      <c r="P1060" s="2">
        <v>3.181721E-4</v>
      </c>
      <c r="Q1060" s="2">
        <v>2.998727E-4</v>
      </c>
      <c r="R1060" s="2">
        <v>2.805905E-4</v>
      </c>
      <c r="S1060" s="2">
        <v>2.657893E-4</v>
      </c>
    </row>
    <row r="1061" ht="14.25" hidden="1" customHeight="1">
      <c r="A1061" s="1" t="s">
        <v>5</v>
      </c>
      <c r="B1061" s="1" t="s">
        <v>62</v>
      </c>
      <c r="C1061" s="1" t="s">
        <v>21</v>
      </c>
      <c r="D1061" s="1" t="s">
        <v>11</v>
      </c>
      <c r="E1061" s="2">
        <v>8.69944E-6</v>
      </c>
      <c r="F1061" s="2">
        <v>2.68963E-5</v>
      </c>
      <c r="G1061" s="2">
        <v>1.86026E-5</v>
      </c>
      <c r="H1061" s="2">
        <v>2.516998E-4</v>
      </c>
      <c r="I1061" s="2">
        <v>2.98414E-4</v>
      </c>
      <c r="J1061" s="2">
        <v>2.791038E-4</v>
      </c>
      <c r="K1061" s="2">
        <v>2.375934E-4</v>
      </c>
      <c r="L1061" s="2">
        <v>1.926011E-4</v>
      </c>
      <c r="M1061" s="2">
        <v>1.859418E-4</v>
      </c>
      <c r="N1061" s="2">
        <v>1.59483499999999E-4</v>
      </c>
      <c r="O1061" s="2">
        <v>1.4278E-4</v>
      </c>
      <c r="P1061" s="2">
        <v>1.285014E-4</v>
      </c>
      <c r="Q1061" s="2">
        <v>1.163302E-4</v>
      </c>
      <c r="R1061" s="2">
        <v>1.067015E-4</v>
      </c>
      <c r="S1061" s="2">
        <v>1.017348E-4</v>
      </c>
    </row>
    <row r="1062" ht="14.25" hidden="1" customHeight="1">
      <c r="A1062" s="1" t="s">
        <v>5</v>
      </c>
      <c r="B1062" s="1" t="s">
        <v>62</v>
      </c>
      <c r="C1062" s="1" t="s">
        <v>21</v>
      </c>
      <c r="D1062" s="1" t="s">
        <v>22</v>
      </c>
      <c r="E1062" s="2">
        <v>8.7E-6</v>
      </c>
      <c r="F1062" s="2">
        <v>2.69E-5</v>
      </c>
      <c r="G1062" s="2">
        <v>1.86E-5</v>
      </c>
      <c r="H1062" s="2">
        <v>2.57732E-5</v>
      </c>
      <c r="I1062" s="2">
        <v>2.670473E-5</v>
      </c>
      <c r="J1062" s="2">
        <v>3.12819E-5</v>
      </c>
      <c r="K1062" s="2">
        <v>2.36494E-5</v>
      </c>
      <c r="L1062" s="2">
        <v>2.073359E-5</v>
      </c>
      <c r="M1062" s="2">
        <v>1.713329E-5</v>
      </c>
      <c r="N1062" s="2">
        <v>1.632294E-5</v>
      </c>
      <c r="O1062" s="2">
        <v>1.56079E-5</v>
      </c>
      <c r="P1062" s="2">
        <v>1.458332E-5</v>
      </c>
      <c r="Q1062" s="2">
        <v>1.367988E-5</v>
      </c>
      <c r="R1062" s="2">
        <v>1.284769E-5</v>
      </c>
      <c r="S1062" s="2">
        <v>1.223631E-5</v>
      </c>
    </row>
    <row r="1063" ht="14.25" hidden="1" customHeight="1">
      <c r="A1063" s="1" t="s">
        <v>5</v>
      </c>
      <c r="B1063" s="1" t="s">
        <v>62</v>
      </c>
      <c r="C1063" s="1" t="s">
        <v>21</v>
      </c>
      <c r="D1063" s="1" t="s">
        <v>23</v>
      </c>
      <c r="E1063" s="2">
        <v>8.70313E-6</v>
      </c>
      <c r="F1063" s="2">
        <v>2.691928E-5</v>
      </c>
      <c r="G1063" s="2">
        <v>1.860101E-5</v>
      </c>
      <c r="H1063" s="2">
        <v>8.178265E-5</v>
      </c>
      <c r="I1063" s="2">
        <v>1.100786E-4</v>
      </c>
      <c r="J1063" s="2">
        <v>1.9650349E-4</v>
      </c>
      <c r="K1063" s="2">
        <v>1.692985E-4</v>
      </c>
      <c r="L1063" s="2">
        <v>1.590706E-4</v>
      </c>
      <c r="M1063" s="2">
        <v>1.361943E-4</v>
      </c>
      <c r="N1063" s="2">
        <v>1.267752E-4</v>
      </c>
      <c r="O1063" s="2">
        <v>1.230336E-4</v>
      </c>
      <c r="P1063" s="2">
        <v>1.180365E-4</v>
      </c>
      <c r="Q1063" s="2">
        <v>1.161013E-4</v>
      </c>
      <c r="R1063" s="2">
        <v>1.12126799999999E-4</v>
      </c>
      <c r="S1063" s="2">
        <v>1.08752899999999E-4</v>
      </c>
    </row>
    <row r="1064" ht="14.25" hidden="1" customHeight="1">
      <c r="A1064" s="1" t="s">
        <v>5</v>
      </c>
      <c r="B1064" s="1" t="s">
        <v>62</v>
      </c>
      <c r="C1064" s="1" t="s">
        <v>21</v>
      </c>
      <c r="D1064" s="1" t="s">
        <v>24</v>
      </c>
      <c r="E1064" s="2">
        <v>4.84986E-5</v>
      </c>
      <c r="F1064" s="2">
        <v>1.50895E-4</v>
      </c>
      <c r="G1064" s="2">
        <v>1.040045E-4</v>
      </c>
      <c r="H1064" s="2">
        <v>1.8956054E-4</v>
      </c>
      <c r="I1064" s="2">
        <v>1.380007E-4</v>
      </c>
      <c r="J1064" s="2">
        <v>1.01523899999999E-4</v>
      </c>
      <c r="K1064" s="2">
        <v>8.69379E-5</v>
      </c>
      <c r="L1064" s="2">
        <v>7.63645E-5</v>
      </c>
      <c r="M1064" s="2">
        <v>7.06133E-5</v>
      </c>
      <c r="N1064" s="2">
        <v>6.6519E-5</v>
      </c>
      <c r="O1064" s="2">
        <v>6.34987E-5</v>
      </c>
      <c r="P1064" s="2">
        <v>6.00159999999999E-5</v>
      </c>
      <c r="Q1064" s="2">
        <v>5.66172E-5</v>
      </c>
      <c r="R1064" s="2">
        <v>5.309227E-5</v>
      </c>
      <c r="S1064" s="2">
        <v>5.05498199999999E-5</v>
      </c>
    </row>
    <row r="1065" ht="14.25" hidden="1" customHeight="1">
      <c r="A1065" s="1" t="s">
        <v>5</v>
      </c>
      <c r="B1065" s="1" t="s">
        <v>62</v>
      </c>
      <c r="C1065" s="1" t="s">
        <v>21</v>
      </c>
      <c r="D1065" s="1" t="s">
        <v>12</v>
      </c>
      <c r="E1065" s="2">
        <v>9.0E-7</v>
      </c>
      <c r="F1065" s="2">
        <v>2.7E-6</v>
      </c>
      <c r="G1065" s="2">
        <v>1.88557E-6</v>
      </c>
      <c r="H1065" s="2">
        <v>5.06564E-6</v>
      </c>
      <c r="I1065" s="2">
        <v>5.93844E-6</v>
      </c>
      <c r="J1065" s="2">
        <v>6.5915E-6</v>
      </c>
      <c r="K1065" s="2">
        <v>4.98403E-6</v>
      </c>
      <c r="L1065" s="2">
        <v>4.36968E-6</v>
      </c>
      <c r="M1065" s="2">
        <v>3.61093E-6</v>
      </c>
      <c r="N1065" s="2">
        <v>3.44015E-6</v>
      </c>
      <c r="O1065" s="2">
        <v>3.28946E-6</v>
      </c>
      <c r="P1065" s="2">
        <v>3.07352E-6</v>
      </c>
      <c r="Q1065" s="2">
        <v>2.88311E-6</v>
      </c>
      <c r="R1065" s="2">
        <v>2.70773E-6</v>
      </c>
      <c r="S1065" s="2">
        <v>2.57887E-6</v>
      </c>
    </row>
    <row r="1066" ht="14.25" hidden="1" customHeight="1">
      <c r="A1066" s="1" t="s">
        <v>5</v>
      </c>
      <c r="B1066" s="1" t="s">
        <v>62</v>
      </c>
      <c r="C1066" s="1" t="s">
        <v>21</v>
      </c>
      <c r="D1066" s="1" t="s">
        <v>13</v>
      </c>
      <c r="E1066" s="2">
        <v>8.73892E-5</v>
      </c>
      <c r="F1066" s="2">
        <v>2.72056E-4</v>
      </c>
      <c r="G1066" s="2">
        <v>3.41793E-4</v>
      </c>
      <c r="H1066" s="2">
        <v>3.87291E-4</v>
      </c>
      <c r="I1066" s="2">
        <v>5.18377E-4</v>
      </c>
      <c r="J1066" s="2">
        <v>8.911244E-4</v>
      </c>
      <c r="K1066" s="1">
        <v>0.00127455799999999</v>
      </c>
      <c r="L1066" s="1">
        <v>0.0017025429</v>
      </c>
      <c r="M1066" s="1">
        <v>0.002005898</v>
      </c>
      <c r="N1066" s="1">
        <v>0.002278845</v>
      </c>
      <c r="O1066" s="1">
        <v>0.0024774</v>
      </c>
      <c r="P1066" s="1">
        <v>0.00265318499999999</v>
      </c>
      <c r="Q1066" s="1">
        <v>0.002792144</v>
      </c>
      <c r="R1066" s="1">
        <v>0.002912071</v>
      </c>
      <c r="S1066" s="1">
        <v>0.002987558</v>
      </c>
    </row>
    <row r="1067" ht="14.25" hidden="1" customHeight="1">
      <c r="A1067" s="1" t="s">
        <v>5</v>
      </c>
      <c r="B1067" s="1" t="s">
        <v>62</v>
      </c>
      <c r="C1067" s="1" t="s">
        <v>21</v>
      </c>
      <c r="D1067" s="1" t="s">
        <v>14</v>
      </c>
      <c r="E1067" s="2">
        <v>8.69991E-6</v>
      </c>
      <c r="F1067" s="2">
        <v>2.71979E-5</v>
      </c>
      <c r="G1067" s="2">
        <v>3.42008E-5</v>
      </c>
      <c r="H1067" s="2">
        <v>1.912065E-4</v>
      </c>
      <c r="I1067" s="2">
        <v>2.04540999999999E-4</v>
      </c>
      <c r="J1067" s="2">
        <v>1.94750299999999E-4</v>
      </c>
      <c r="K1067" s="2">
        <v>2.035804E-4</v>
      </c>
      <c r="L1067" s="2">
        <v>2.155049E-4</v>
      </c>
      <c r="M1067" s="2">
        <v>2.298549E-4</v>
      </c>
      <c r="N1067" s="2">
        <v>2.200403E-4</v>
      </c>
      <c r="O1067" s="2">
        <v>2.23783E-4</v>
      </c>
      <c r="P1067" s="2">
        <v>2.427698E-4</v>
      </c>
      <c r="Q1067" s="2">
        <v>2.500187E-4</v>
      </c>
      <c r="R1067" s="2">
        <v>2.5626E-4</v>
      </c>
      <c r="S1067" s="2">
        <v>2.589499E-4</v>
      </c>
    </row>
    <row r="1068" ht="14.25" hidden="1" customHeight="1">
      <c r="A1068" s="1" t="s">
        <v>5</v>
      </c>
      <c r="B1068" s="1" t="s">
        <v>62</v>
      </c>
      <c r="C1068" s="1" t="s">
        <v>21</v>
      </c>
      <c r="D1068" s="1" t="s">
        <v>25</v>
      </c>
      <c r="E1068" s="2">
        <v>8.7E-6</v>
      </c>
      <c r="F1068" s="2">
        <v>2.72E-5</v>
      </c>
      <c r="G1068" s="2">
        <v>3.42E-5</v>
      </c>
      <c r="H1068" s="2">
        <v>5.40193E-5</v>
      </c>
      <c r="I1068" s="2">
        <v>6.58127E-5</v>
      </c>
      <c r="J1068" s="2">
        <v>7.49884E-5</v>
      </c>
      <c r="K1068" s="2">
        <v>7.68997E-5</v>
      </c>
      <c r="L1068" s="2">
        <v>7.91130999999999E-5</v>
      </c>
      <c r="M1068" s="2">
        <v>7.39363E-5</v>
      </c>
      <c r="N1068" s="2">
        <v>7.59047E-5</v>
      </c>
      <c r="O1068" s="2">
        <v>7.82585E-5</v>
      </c>
      <c r="P1068" s="2">
        <v>8.23262999999999E-5</v>
      </c>
      <c r="Q1068" s="2">
        <v>8.63849E-5</v>
      </c>
      <c r="R1068" s="2">
        <v>9.0589E-5</v>
      </c>
      <c r="S1068" s="2">
        <v>9.34707E-5</v>
      </c>
    </row>
    <row r="1069" ht="14.25" hidden="1" customHeight="1">
      <c r="A1069" s="1" t="s">
        <v>5</v>
      </c>
      <c r="B1069" s="1" t="s">
        <v>62</v>
      </c>
      <c r="C1069" s="1" t="s">
        <v>21</v>
      </c>
      <c r="D1069" s="1" t="s">
        <v>26</v>
      </c>
      <c r="E1069" s="2">
        <v>8.70313E-6</v>
      </c>
      <c r="F1069" s="2">
        <v>2.72149299999999E-5</v>
      </c>
      <c r="G1069" s="2">
        <v>3.419304E-5</v>
      </c>
      <c r="H1069" s="2">
        <v>1.7542588E-4</v>
      </c>
      <c r="I1069" s="2">
        <v>2.662435E-4</v>
      </c>
      <c r="J1069" s="2">
        <v>5.19373E-4</v>
      </c>
      <c r="K1069" s="2">
        <v>6.194516E-4</v>
      </c>
      <c r="L1069" s="2">
        <v>7.094045E-4</v>
      </c>
      <c r="M1069" s="2">
        <v>7.81071E-4</v>
      </c>
      <c r="N1069" s="2">
        <v>9.18835999999999E-4</v>
      </c>
      <c r="O1069" s="1">
        <v>0.001048413</v>
      </c>
      <c r="P1069" s="1">
        <v>0.001199185</v>
      </c>
      <c r="Q1069" s="1">
        <v>0.001333041</v>
      </c>
      <c r="R1069" s="1">
        <v>0.001457758</v>
      </c>
      <c r="S1069" s="1">
        <v>0.001549357</v>
      </c>
    </row>
    <row r="1070" ht="14.25" hidden="1" customHeight="1">
      <c r="A1070" s="1" t="s">
        <v>5</v>
      </c>
      <c r="B1070" s="1" t="s">
        <v>62</v>
      </c>
      <c r="C1070" s="1" t="s">
        <v>21</v>
      </c>
      <c r="D1070" s="1" t="s">
        <v>27</v>
      </c>
      <c r="E1070" s="2">
        <v>4.199616E-5</v>
      </c>
      <c r="F1070" s="2">
        <v>1.306025E-4</v>
      </c>
      <c r="G1070" s="2">
        <v>1.63998599999999E-4</v>
      </c>
      <c r="H1070" s="2">
        <v>4.49092E-4</v>
      </c>
      <c r="I1070" s="2">
        <v>5.211975E-4</v>
      </c>
      <c r="J1070" s="2">
        <v>6.87215699999999E-4</v>
      </c>
      <c r="K1070" s="2">
        <v>7.41200399999999E-4</v>
      </c>
      <c r="L1070" s="2">
        <v>8.129386E-4</v>
      </c>
      <c r="M1070" s="2">
        <v>8.346287E-4</v>
      </c>
      <c r="N1070" s="2">
        <v>8.54842E-4</v>
      </c>
      <c r="O1070" s="2">
        <v>8.69613E-4</v>
      </c>
      <c r="P1070" s="2">
        <v>9.19334E-4</v>
      </c>
      <c r="Q1070" s="2">
        <v>9.61874E-4</v>
      </c>
      <c r="R1070" s="1">
        <v>0.001000767</v>
      </c>
      <c r="S1070" s="1">
        <v>0.001026208</v>
      </c>
    </row>
    <row r="1071" ht="14.25" hidden="1" customHeight="1">
      <c r="A1071" s="1" t="s">
        <v>5</v>
      </c>
      <c r="B1071" s="1" t="s">
        <v>62</v>
      </c>
      <c r="C1071" s="1" t="s">
        <v>21</v>
      </c>
      <c r="D1071" s="1" t="s">
        <v>28</v>
      </c>
      <c r="E1071" s="2">
        <v>9.0E-7</v>
      </c>
      <c r="F1071" s="2">
        <v>2.7E-6</v>
      </c>
      <c r="G1071" s="2">
        <v>3.4E-6</v>
      </c>
      <c r="H1071" s="2">
        <v>4.09771E-6</v>
      </c>
      <c r="I1071" s="2">
        <v>5.46443E-6</v>
      </c>
      <c r="J1071" s="2">
        <v>5.96444E-6</v>
      </c>
      <c r="K1071" s="2">
        <v>6.11646E-6</v>
      </c>
      <c r="L1071" s="2">
        <v>6.29252E-6</v>
      </c>
      <c r="M1071" s="2">
        <v>5.88076E-6</v>
      </c>
      <c r="N1071" s="2">
        <v>6.03732E-6</v>
      </c>
      <c r="O1071" s="2">
        <v>6.22454E-6</v>
      </c>
      <c r="P1071" s="2">
        <v>6.54808E-6</v>
      </c>
      <c r="Q1071" s="2">
        <v>6.8709E-6</v>
      </c>
      <c r="R1071" s="2">
        <v>7.20528E-6</v>
      </c>
      <c r="S1071" s="2">
        <v>7.43448E-6</v>
      </c>
    </row>
    <row r="1072" ht="14.25" hidden="1" customHeight="1">
      <c r="A1072" s="1" t="s">
        <v>5</v>
      </c>
      <c r="B1072" s="1" t="s">
        <v>62</v>
      </c>
      <c r="C1072" s="1" t="s">
        <v>29</v>
      </c>
      <c r="D1072" s="1" t="s">
        <v>16</v>
      </c>
      <c r="E1072" s="2">
        <v>3.18229E-6</v>
      </c>
      <c r="F1072" s="2">
        <v>6.00459E-6</v>
      </c>
      <c r="G1072" s="2">
        <v>3.0087E-5</v>
      </c>
      <c r="H1072" s="2">
        <v>2.606593E-5</v>
      </c>
      <c r="I1072" s="2">
        <v>3.25231199999999E-5</v>
      </c>
      <c r="J1072" s="2">
        <v>3.205129E-5</v>
      </c>
      <c r="K1072" s="2">
        <v>3.19000799999999E-5</v>
      </c>
      <c r="L1072" s="2">
        <v>3.1960655E-5</v>
      </c>
      <c r="M1072" s="2">
        <v>2.93725929999999E-5</v>
      </c>
      <c r="N1072" s="2">
        <v>3.25595E-5</v>
      </c>
      <c r="O1072" s="2">
        <v>3.67547259999999E-5</v>
      </c>
      <c r="P1072" s="2">
        <v>4.2844629E-5</v>
      </c>
      <c r="Q1072" s="2">
        <v>4.968884E-5</v>
      </c>
      <c r="R1072" s="2">
        <v>5.708667E-5</v>
      </c>
      <c r="S1072" s="2">
        <v>6.417093E-5</v>
      </c>
    </row>
    <row r="1073" ht="14.25" hidden="1" customHeight="1">
      <c r="A1073" s="1" t="s">
        <v>5</v>
      </c>
      <c r="B1073" s="1" t="s">
        <v>62</v>
      </c>
      <c r="C1073" s="1" t="s">
        <v>29</v>
      </c>
      <c r="D1073" s="1" t="s">
        <v>8</v>
      </c>
      <c r="E1073" s="2">
        <v>6.29897E-6</v>
      </c>
      <c r="F1073" s="2">
        <v>1.21002E-5</v>
      </c>
      <c r="G1073" s="2">
        <v>6.01994E-5</v>
      </c>
      <c r="H1073" s="2">
        <v>4.64909431E-5</v>
      </c>
      <c r="I1073" s="2">
        <v>2.731434161E-4</v>
      </c>
      <c r="J1073" s="2">
        <v>2.63051788E-4</v>
      </c>
      <c r="K1073" s="2">
        <v>2.344055715E-4</v>
      </c>
      <c r="L1073" s="2">
        <v>1.9048115506E-4</v>
      </c>
      <c r="M1073" s="2">
        <v>1.38092926989999E-4</v>
      </c>
      <c r="N1073" s="2">
        <v>1.16194949999999E-4</v>
      </c>
      <c r="O1073" s="2">
        <v>9.501234E-5</v>
      </c>
      <c r="P1073" s="2">
        <v>1.0236369E-4</v>
      </c>
      <c r="Q1073" s="2">
        <v>1.1166985E-4</v>
      </c>
      <c r="R1073" s="2">
        <v>1.20946199999999E-4</v>
      </c>
      <c r="S1073" s="2">
        <v>1.2926112E-4</v>
      </c>
    </row>
    <row r="1074" ht="14.25" hidden="1" customHeight="1">
      <c r="A1074" s="1" t="s">
        <v>5</v>
      </c>
      <c r="B1074" s="1" t="s">
        <v>62</v>
      </c>
      <c r="C1074" s="1" t="s">
        <v>29</v>
      </c>
      <c r="D1074" s="1" t="s">
        <v>10</v>
      </c>
      <c r="E1074" s="2">
        <v>2.14083E-5</v>
      </c>
      <c r="F1074" s="2">
        <v>4.10877E-5</v>
      </c>
      <c r="G1074" s="2">
        <v>7.79098E-5</v>
      </c>
      <c r="H1074" s="2">
        <v>3.492566E-4</v>
      </c>
      <c r="I1074" s="2">
        <v>3.0735766E-4</v>
      </c>
      <c r="J1074" s="2">
        <v>2.521170263E-4</v>
      </c>
      <c r="K1074" s="2">
        <v>1.8366876591E-4</v>
      </c>
      <c r="L1074" s="2">
        <v>1.1160734361E-4</v>
      </c>
      <c r="M1074" s="2">
        <v>5.042208815E-5</v>
      </c>
      <c r="N1074" s="2">
        <v>1.078095069E-5</v>
      </c>
      <c r="O1074" s="2">
        <v>8.609790396E-6</v>
      </c>
      <c r="P1074" s="2">
        <v>6.95340999999999E-6</v>
      </c>
      <c r="Q1074" s="2">
        <v>5.281969E-6</v>
      </c>
      <c r="R1074" s="2">
        <v>4.427E-6</v>
      </c>
      <c r="S1074" s="2">
        <v>3.867987E-6</v>
      </c>
    </row>
    <row r="1075" ht="14.25" hidden="1" customHeight="1">
      <c r="A1075" s="1" t="s">
        <v>5</v>
      </c>
      <c r="B1075" s="1" t="s">
        <v>62</v>
      </c>
      <c r="C1075" s="1" t="s">
        <v>29</v>
      </c>
      <c r="D1075" s="1" t="s">
        <v>11</v>
      </c>
      <c r="E1075" s="2">
        <v>1.71189E-4</v>
      </c>
      <c r="F1075" s="2">
        <v>3.28755E-4</v>
      </c>
      <c r="G1075" s="2">
        <v>6.23286E-4</v>
      </c>
      <c r="H1075" s="2">
        <v>4.8698885E-4</v>
      </c>
      <c r="I1075" s="2">
        <v>4.887964E-4</v>
      </c>
      <c r="J1075" s="2">
        <v>4.7816869E-4</v>
      </c>
      <c r="K1075" s="2">
        <v>4.4611692E-4</v>
      </c>
      <c r="L1075" s="2">
        <v>4.1020065E-4</v>
      </c>
      <c r="M1075" s="2">
        <v>3.03553846E-4</v>
      </c>
      <c r="N1075" s="2">
        <v>3.100151E-4</v>
      </c>
      <c r="O1075" s="2">
        <v>3.064819E-4</v>
      </c>
      <c r="P1075" s="2">
        <v>2.916372E-4</v>
      </c>
      <c r="Q1075" s="2">
        <v>2.780029E-4</v>
      </c>
      <c r="R1075" s="2">
        <v>2.634509E-4</v>
      </c>
      <c r="S1075" s="2">
        <v>2.515886E-4</v>
      </c>
    </row>
    <row r="1076" ht="14.25" hidden="1" customHeight="1">
      <c r="A1076" s="1" t="s">
        <v>5</v>
      </c>
      <c r="B1076" s="1" t="s">
        <v>62</v>
      </c>
      <c r="C1076" s="1" t="s">
        <v>29</v>
      </c>
      <c r="D1076" s="1" t="s">
        <v>13</v>
      </c>
      <c r="E1076" s="2">
        <v>2.31971E-5</v>
      </c>
      <c r="F1076" s="2">
        <v>4.46092E-5</v>
      </c>
      <c r="G1076" s="2">
        <v>6.08166E-5</v>
      </c>
      <c r="H1076" s="2">
        <v>7.689256E-4</v>
      </c>
      <c r="I1076" s="2">
        <v>9.860716E-4</v>
      </c>
      <c r="J1076" s="2">
        <v>9.770973E-4</v>
      </c>
      <c r="K1076" s="2">
        <v>9.33781E-4</v>
      </c>
      <c r="L1076" s="2">
        <v>8.42451E-4</v>
      </c>
      <c r="M1076" s="2">
        <v>7.24575499999999E-4</v>
      </c>
      <c r="N1076" s="2">
        <v>5.990777E-4</v>
      </c>
      <c r="O1076" s="2">
        <v>5.390499E-4</v>
      </c>
      <c r="P1076" s="2">
        <v>5.045526E-4</v>
      </c>
      <c r="Q1076" s="2">
        <v>4.799828E-4</v>
      </c>
      <c r="R1076" s="2">
        <v>4.658678E-4</v>
      </c>
      <c r="S1076" s="2">
        <v>4.557317E-4</v>
      </c>
    </row>
    <row r="1077" ht="14.25" hidden="1" customHeight="1">
      <c r="A1077" s="1" t="s">
        <v>5</v>
      </c>
      <c r="B1077" s="1" t="s">
        <v>62</v>
      </c>
      <c r="C1077" s="1" t="s">
        <v>29</v>
      </c>
      <c r="D1077" s="1" t="s">
        <v>14</v>
      </c>
      <c r="E1077" s="2">
        <v>7.43592E-4</v>
      </c>
      <c r="F1077" s="1">
        <v>0.00142739</v>
      </c>
      <c r="G1077" s="1">
        <v>0.00194505</v>
      </c>
      <c r="H1077" s="1">
        <v>0.00178836</v>
      </c>
      <c r="I1077" s="1">
        <v>0.002166587</v>
      </c>
      <c r="J1077" s="1">
        <v>0.002280322</v>
      </c>
      <c r="K1077" s="1">
        <v>0.00230201</v>
      </c>
      <c r="L1077" s="1">
        <v>0.0023174486</v>
      </c>
      <c r="M1077" s="1">
        <v>0.0020737722</v>
      </c>
      <c r="N1077" s="1">
        <v>0.0021493878</v>
      </c>
      <c r="O1077" s="1">
        <v>0.0022238699</v>
      </c>
      <c r="P1077" s="1">
        <v>0.0023382761</v>
      </c>
      <c r="Q1077" s="1">
        <v>0.0024597087</v>
      </c>
      <c r="R1077" s="1">
        <v>0.0025909543</v>
      </c>
      <c r="S1077" s="1">
        <v>0.0026934164</v>
      </c>
    </row>
    <row r="1078" ht="14.25" hidden="1" customHeight="1">
      <c r="A1078" s="1" t="s">
        <v>5</v>
      </c>
      <c r="B1078" s="1" t="s">
        <v>62</v>
      </c>
      <c r="C1078" s="1" t="s">
        <v>31</v>
      </c>
      <c r="D1078" s="1" t="s">
        <v>11</v>
      </c>
      <c r="E1078" s="2">
        <v>8.22447E-4</v>
      </c>
      <c r="F1078" s="2">
        <v>9.63567E-4</v>
      </c>
      <c r="G1078" s="1">
        <v>0.00102444</v>
      </c>
      <c r="H1078" s="1">
        <v>0.0</v>
      </c>
      <c r="I1078" s="1">
        <v>0.0</v>
      </c>
      <c r="J1078" s="1">
        <v>0.0</v>
      </c>
      <c r="K1078" s="1">
        <v>0.0</v>
      </c>
      <c r="L1078" s="1">
        <v>0.0</v>
      </c>
      <c r="M1078" s="1">
        <v>0.0</v>
      </c>
      <c r="N1078" s="1">
        <v>0.0</v>
      </c>
      <c r="O1078" s="1">
        <v>0.0</v>
      </c>
      <c r="P1078" s="1">
        <v>0.0</v>
      </c>
      <c r="Q1078" s="1">
        <v>0.0</v>
      </c>
      <c r="R1078" s="1">
        <v>0.0</v>
      </c>
      <c r="S1078" s="1">
        <v>0.0</v>
      </c>
    </row>
    <row r="1079" ht="14.25" hidden="1" customHeight="1">
      <c r="A1079" s="1" t="s">
        <v>5</v>
      </c>
      <c r="B1079" s="1" t="s">
        <v>63</v>
      </c>
      <c r="C1079" s="1" t="s">
        <v>9</v>
      </c>
      <c r="D1079" s="1" t="s">
        <v>8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0.00284544</v>
      </c>
      <c r="J1079" s="2">
        <v>4.67314E-10</v>
      </c>
      <c r="K1079" s="1">
        <v>0.0</v>
      </c>
      <c r="L1079" s="1">
        <v>0.0</v>
      </c>
      <c r="M1079" s="1">
        <v>0.0</v>
      </c>
      <c r="N1079" s="1">
        <v>0.0</v>
      </c>
      <c r="O1079" s="1">
        <v>0.0</v>
      </c>
      <c r="P1079" s="1">
        <v>0.0</v>
      </c>
      <c r="Q1079" s="1">
        <v>0.0</v>
      </c>
      <c r="R1079" s="1">
        <v>0.0</v>
      </c>
      <c r="S1079" s="1">
        <v>0.0</v>
      </c>
    </row>
    <row r="1080" ht="14.25" hidden="1" customHeight="1">
      <c r="A1080" s="1" t="s">
        <v>5</v>
      </c>
      <c r="B1080" s="1" t="s">
        <v>63</v>
      </c>
      <c r="C1080" s="1" t="s">
        <v>9</v>
      </c>
      <c r="D1080" s="1" t="s">
        <v>10</v>
      </c>
      <c r="E1080" s="2">
        <v>5.9998E-7</v>
      </c>
      <c r="F1080" s="2">
        <v>6.00007E-7</v>
      </c>
      <c r="G1080" s="2">
        <v>4.01503E-4</v>
      </c>
      <c r="H1080" s="2">
        <v>1.2405E-8</v>
      </c>
      <c r="I1080" s="2">
        <v>7.21689E-4</v>
      </c>
      <c r="J1080" s="1">
        <v>0.00956375</v>
      </c>
      <c r="K1080" s="1">
        <v>0.0</v>
      </c>
      <c r="L1080" s="1">
        <v>0.0</v>
      </c>
      <c r="M1080" s="1">
        <v>0.0</v>
      </c>
      <c r="N1080" s="1">
        <v>0.0</v>
      </c>
      <c r="O1080" s="1">
        <v>0.0</v>
      </c>
      <c r="P1080" s="1">
        <v>0.0</v>
      </c>
      <c r="Q1080" s="1">
        <v>0.0</v>
      </c>
      <c r="R1080" s="1">
        <v>0.0</v>
      </c>
      <c r="S1080" s="1">
        <v>0.0</v>
      </c>
    </row>
    <row r="1081" ht="14.25" hidden="1" customHeight="1">
      <c r="A1081" s="1" t="s">
        <v>5</v>
      </c>
      <c r="B1081" s="1" t="s">
        <v>63</v>
      </c>
      <c r="C1081" s="1" t="s">
        <v>9</v>
      </c>
      <c r="D1081" s="1" t="s">
        <v>11</v>
      </c>
      <c r="E1081" s="2">
        <v>5.99578E-7</v>
      </c>
      <c r="F1081" s="2">
        <v>5.99853E-7</v>
      </c>
      <c r="G1081" s="2">
        <v>4.01506E-4</v>
      </c>
      <c r="H1081" s="2">
        <v>6.44757E-7</v>
      </c>
      <c r="I1081" s="2">
        <v>3.55377E-9</v>
      </c>
      <c r="J1081" s="2">
        <v>2.07028E-8</v>
      </c>
      <c r="K1081" s="1">
        <v>0.0</v>
      </c>
      <c r="L1081" s="1">
        <v>0.0</v>
      </c>
      <c r="M1081" s="1">
        <v>0.0</v>
      </c>
      <c r="N1081" s="1">
        <v>0.0</v>
      </c>
      <c r="O1081" s="1">
        <v>0.0</v>
      </c>
      <c r="P1081" s="1">
        <v>0.0</v>
      </c>
      <c r="Q1081" s="1">
        <v>0.0</v>
      </c>
      <c r="R1081" s="1">
        <v>0.0</v>
      </c>
      <c r="S1081" s="1">
        <v>0.0</v>
      </c>
    </row>
    <row r="1082" ht="14.25" hidden="1" customHeight="1">
      <c r="A1082" s="1" t="s">
        <v>5</v>
      </c>
      <c r="B1082" s="1" t="s">
        <v>63</v>
      </c>
      <c r="C1082" s="1" t="s">
        <v>9</v>
      </c>
      <c r="D1082" s="1" t="s">
        <v>12</v>
      </c>
      <c r="E1082" s="2">
        <v>9.79955E-8</v>
      </c>
      <c r="F1082" s="2">
        <v>9.93426E-8</v>
      </c>
      <c r="G1082" s="2">
        <v>4.0023E-5</v>
      </c>
      <c r="H1082" s="2">
        <v>1.66813E-7</v>
      </c>
      <c r="I1082" s="2">
        <v>6.23679E-9</v>
      </c>
      <c r="J1082" s="2">
        <v>1.15421E-9</v>
      </c>
      <c r="K1082" s="1">
        <v>0.0</v>
      </c>
      <c r="L1082" s="1">
        <v>0.0</v>
      </c>
      <c r="M1082" s="1">
        <v>0.0</v>
      </c>
      <c r="N1082" s="1">
        <v>0.0</v>
      </c>
      <c r="O1082" s="1">
        <v>0.0</v>
      </c>
      <c r="P1082" s="1">
        <v>0.0</v>
      </c>
      <c r="Q1082" s="1">
        <v>0.0</v>
      </c>
      <c r="R1082" s="1">
        <v>0.0</v>
      </c>
      <c r="S1082" s="1">
        <v>0.0</v>
      </c>
    </row>
    <row r="1083" ht="14.25" hidden="1" customHeight="1">
      <c r="A1083" s="1" t="s">
        <v>5</v>
      </c>
      <c r="B1083" s="1" t="s">
        <v>63</v>
      </c>
      <c r="C1083" s="1" t="s">
        <v>9</v>
      </c>
      <c r="D1083" s="1" t="s">
        <v>13</v>
      </c>
      <c r="E1083" s="1">
        <v>0.0</v>
      </c>
      <c r="F1083" s="1">
        <v>0.0</v>
      </c>
      <c r="G1083" s="1">
        <v>0.0</v>
      </c>
      <c r="H1083" s="1">
        <v>0.00216337</v>
      </c>
      <c r="I1083" s="1">
        <v>0.0</v>
      </c>
      <c r="J1083" s="1">
        <v>0.0</v>
      </c>
      <c r="K1083" s="1">
        <v>0.0</v>
      </c>
      <c r="L1083" s="1">
        <v>0.0</v>
      </c>
      <c r="M1083" s="1">
        <v>0.0</v>
      </c>
      <c r="N1083" s="1">
        <v>0.0</v>
      </c>
      <c r="O1083" s="1">
        <v>0.0</v>
      </c>
      <c r="P1083" s="1">
        <v>0.0</v>
      </c>
      <c r="Q1083" s="1">
        <v>0.0</v>
      </c>
      <c r="R1083" s="1">
        <v>0.0</v>
      </c>
      <c r="S1083" s="1">
        <v>0.0</v>
      </c>
    </row>
    <row r="1084" ht="14.25" hidden="1" customHeight="1">
      <c r="A1084" s="1" t="s">
        <v>5</v>
      </c>
      <c r="B1084" s="1" t="s">
        <v>63</v>
      </c>
      <c r="C1084" s="1" t="s">
        <v>9</v>
      </c>
      <c r="D1084" s="1" t="s">
        <v>14</v>
      </c>
      <c r="E1084" s="1">
        <v>0.0</v>
      </c>
      <c r="F1084" s="1">
        <v>0.0</v>
      </c>
      <c r="G1084" s="1">
        <v>0.0</v>
      </c>
      <c r="H1084" s="2">
        <v>3.38458E-5</v>
      </c>
      <c r="I1084" s="1">
        <v>0.0</v>
      </c>
      <c r="J1084" s="1">
        <v>0.0</v>
      </c>
      <c r="K1084" s="1">
        <v>0.0</v>
      </c>
      <c r="L1084" s="1">
        <v>0.0</v>
      </c>
      <c r="M1084" s="1">
        <v>0.0</v>
      </c>
      <c r="N1084" s="1">
        <v>0.0</v>
      </c>
      <c r="O1084" s="1">
        <v>0.0</v>
      </c>
      <c r="P1084" s="1">
        <v>0.0</v>
      </c>
      <c r="Q1084" s="1">
        <v>0.0</v>
      </c>
      <c r="R1084" s="1">
        <v>0.0</v>
      </c>
      <c r="S1084" s="1">
        <v>0.0</v>
      </c>
    </row>
    <row r="1085" ht="14.25" hidden="1" customHeight="1">
      <c r="A1085" s="1" t="s">
        <v>5</v>
      </c>
      <c r="B1085" s="1" t="s">
        <v>63</v>
      </c>
      <c r="C1085" s="1" t="s">
        <v>15</v>
      </c>
      <c r="D1085" s="1" t="s">
        <v>16</v>
      </c>
      <c r="E1085" s="2">
        <v>7.00002E-7</v>
      </c>
      <c r="F1085" s="2">
        <v>1.09999E-6</v>
      </c>
      <c r="G1085" s="1">
        <v>0.0</v>
      </c>
      <c r="H1085" s="1">
        <v>0.0</v>
      </c>
      <c r="I1085" s="2">
        <v>7.73838E-4</v>
      </c>
      <c r="J1085" s="1">
        <v>0.006830462</v>
      </c>
      <c r="K1085" s="1">
        <v>0.012427805</v>
      </c>
      <c r="L1085" s="1">
        <v>0.019055019</v>
      </c>
      <c r="M1085" s="1">
        <v>0.027002013</v>
      </c>
      <c r="N1085" s="1">
        <v>0.034592385</v>
      </c>
      <c r="O1085" s="1">
        <v>0.042033078</v>
      </c>
      <c r="P1085" s="1">
        <v>0.049525942</v>
      </c>
      <c r="Q1085" s="1">
        <v>0.05683097</v>
      </c>
      <c r="R1085" s="1">
        <v>0.06380718</v>
      </c>
      <c r="S1085" s="1">
        <v>0.07038254</v>
      </c>
    </row>
    <row r="1086" ht="14.25" hidden="1" customHeight="1">
      <c r="A1086" s="1" t="s">
        <v>5</v>
      </c>
      <c r="B1086" s="1" t="s">
        <v>63</v>
      </c>
      <c r="C1086" s="1" t="s">
        <v>15</v>
      </c>
      <c r="D1086" s="1" t="s">
        <v>13</v>
      </c>
      <c r="E1086" s="2">
        <v>7.99976E-7</v>
      </c>
      <c r="F1086" s="2">
        <v>1.19999E-6</v>
      </c>
      <c r="G1086" s="1">
        <v>0.0</v>
      </c>
      <c r="H1086" s="2">
        <v>1.23113E-9</v>
      </c>
      <c r="I1086" s="2">
        <v>2.321948E-8</v>
      </c>
      <c r="J1086" s="2">
        <v>2.42647247E-7</v>
      </c>
      <c r="K1086" s="2">
        <v>6.31922363E-7</v>
      </c>
      <c r="L1086" s="2">
        <v>1.013717278E-6</v>
      </c>
      <c r="M1086" s="2">
        <v>1.318039801E-6</v>
      </c>
      <c r="N1086" s="2">
        <v>1.56934865E-6</v>
      </c>
      <c r="O1086" s="2">
        <v>1.6957592E-6</v>
      </c>
      <c r="P1086" s="2">
        <v>1.7251579E-6</v>
      </c>
      <c r="Q1086" s="2">
        <v>1.7353756E-6</v>
      </c>
      <c r="R1086" s="2">
        <v>1.7303732E-6</v>
      </c>
      <c r="S1086" s="2">
        <v>1.7303823E-6</v>
      </c>
    </row>
    <row r="1087" ht="14.25" customHeight="1">
      <c r="A1087" s="1" t="s">
        <v>5</v>
      </c>
      <c r="B1087" s="1" t="s">
        <v>63</v>
      </c>
      <c r="C1087" s="1" t="s">
        <v>15</v>
      </c>
      <c r="D1087" s="1" t="s">
        <v>14</v>
      </c>
      <c r="E1087" s="2">
        <v>7.99505E-7</v>
      </c>
      <c r="F1087" s="2">
        <v>1.19967E-6</v>
      </c>
      <c r="G1087" s="1">
        <v>0.0</v>
      </c>
      <c r="H1087" s="2">
        <v>1.81243E-6</v>
      </c>
      <c r="I1087" s="2">
        <v>4.571793E-5</v>
      </c>
      <c r="J1087" s="1">
        <v>0.00339516471999999</v>
      </c>
      <c r="K1087" s="1">
        <v>0.008643027015</v>
      </c>
      <c r="L1087" s="1">
        <v>0.0130203901149999</v>
      </c>
      <c r="M1087" s="1">
        <v>0.0170925320989999</v>
      </c>
      <c r="N1087" s="1">
        <v>0.02030523084</v>
      </c>
      <c r="O1087" s="1">
        <v>0.023456887</v>
      </c>
      <c r="P1087" s="1">
        <v>0.02612962</v>
      </c>
      <c r="Q1087" s="1">
        <v>0.028870383</v>
      </c>
      <c r="R1087" s="1">
        <v>0.031390082</v>
      </c>
      <c r="S1087" s="1">
        <v>0.033626636</v>
      </c>
    </row>
    <row r="1088" ht="14.25" hidden="1" customHeight="1">
      <c r="A1088" s="1" t="s">
        <v>5</v>
      </c>
      <c r="B1088" s="1" t="s">
        <v>63</v>
      </c>
      <c r="C1088" s="1" t="s">
        <v>17</v>
      </c>
      <c r="D1088" s="1" t="s">
        <v>16</v>
      </c>
      <c r="E1088" s="2">
        <v>1.06E-5</v>
      </c>
      <c r="F1088" s="2">
        <v>3.29996E-5</v>
      </c>
      <c r="G1088" s="2">
        <v>1.20597E-4</v>
      </c>
      <c r="H1088" s="2">
        <v>4.16945E-4</v>
      </c>
      <c r="I1088" s="2">
        <v>3.6332338E-4</v>
      </c>
      <c r="J1088" s="2">
        <v>4.12886959999999E-4</v>
      </c>
      <c r="K1088" s="2">
        <v>3.6620244E-4</v>
      </c>
      <c r="L1088" s="2">
        <v>3.2545574E-4</v>
      </c>
      <c r="M1088" s="2">
        <v>3.1820573E-4</v>
      </c>
      <c r="N1088" s="2">
        <v>3.35841311E-4</v>
      </c>
      <c r="O1088" s="2">
        <v>4.05430399999999E-4</v>
      </c>
      <c r="P1088" s="2">
        <v>4.91322069999999E-4</v>
      </c>
      <c r="Q1088" s="2">
        <v>5.80318209999999E-4</v>
      </c>
      <c r="R1088" s="2">
        <v>6.71325499999999E-4</v>
      </c>
      <c r="S1088" s="2">
        <v>7.606606E-4</v>
      </c>
    </row>
    <row r="1089" ht="14.25" hidden="1" customHeight="1">
      <c r="A1089" s="1" t="s">
        <v>5</v>
      </c>
      <c r="B1089" s="1" t="s">
        <v>63</v>
      </c>
      <c r="C1089" s="1" t="s">
        <v>17</v>
      </c>
      <c r="D1089" s="1" t="s">
        <v>18</v>
      </c>
      <c r="E1089" s="2">
        <v>4.835E-4</v>
      </c>
      <c r="F1089" s="1">
        <v>0.00150419</v>
      </c>
      <c r="G1089" s="1">
        <v>0.00550112</v>
      </c>
      <c r="H1089" s="1">
        <v>0.00738672</v>
      </c>
      <c r="I1089" s="1">
        <v>0.006996262</v>
      </c>
      <c r="J1089" s="1">
        <v>0.017200817</v>
      </c>
      <c r="K1089" s="1">
        <v>0.0235792207</v>
      </c>
      <c r="L1089" s="1">
        <v>0.0306596249</v>
      </c>
      <c r="M1089" s="1">
        <v>0.0380162619</v>
      </c>
      <c r="N1089" s="1">
        <v>0.0453404373</v>
      </c>
      <c r="O1089" s="1">
        <v>0.05233453</v>
      </c>
      <c r="P1089" s="1">
        <v>0.05899405</v>
      </c>
      <c r="Q1089" s="1">
        <v>0.06523521</v>
      </c>
      <c r="R1089" s="1">
        <v>0.07078896</v>
      </c>
      <c r="S1089" s="1">
        <v>0.07542441</v>
      </c>
    </row>
    <row r="1090" ht="14.25" hidden="1" customHeight="1">
      <c r="A1090" s="1" t="s">
        <v>5</v>
      </c>
      <c r="B1090" s="1" t="s">
        <v>63</v>
      </c>
      <c r="C1090" s="1" t="s">
        <v>17</v>
      </c>
      <c r="D1090" s="1" t="s">
        <v>19</v>
      </c>
      <c r="E1090" s="2">
        <v>2.20499E-4</v>
      </c>
      <c r="F1090" s="2">
        <v>6.86102E-4</v>
      </c>
      <c r="G1090" s="1">
        <v>0.0025093</v>
      </c>
      <c r="H1090" s="1">
        <v>0.00326211</v>
      </c>
      <c r="I1090" s="1">
        <v>0.001430792</v>
      </c>
      <c r="J1090" s="1">
        <v>0.006443367</v>
      </c>
      <c r="K1090" s="1">
        <v>0.008618558</v>
      </c>
      <c r="L1090" s="1">
        <v>0.01114674</v>
      </c>
      <c r="M1090" s="1">
        <v>0.01384457</v>
      </c>
      <c r="N1090" s="1">
        <v>0.01673761</v>
      </c>
      <c r="O1090" s="1">
        <v>0.0197789</v>
      </c>
      <c r="P1090" s="1">
        <v>0.02287737</v>
      </c>
      <c r="Q1090" s="1">
        <v>0.0259297</v>
      </c>
      <c r="R1090" s="1">
        <v>0.0288357</v>
      </c>
      <c r="S1090" s="1">
        <v>0.03151118</v>
      </c>
    </row>
    <row r="1091" ht="14.25" hidden="1" customHeight="1">
      <c r="A1091" s="1" t="s">
        <v>5</v>
      </c>
      <c r="B1091" s="1" t="s">
        <v>63</v>
      </c>
      <c r="C1091" s="1" t="s">
        <v>17</v>
      </c>
      <c r="D1091" s="1" t="s">
        <v>8</v>
      </c>
      <c r="E1091" s="2">
        <v>9.7663E-5</v>
      </c>
      <c r="F1091" s="2">
        <v>3.03477E-4</v>
      </c>
      <c r="G1091" s="1">
        <v>0.00110994</v>
      </c>
      <c r="H1091" s="1">
        <v>0.001456488</v>
      </c>
      <c r="I1091" s="1">
        <v>0.001027615</v>
      </c>
      <c r="J1091" s="1">
        <v>0.003078274</v>
      </c>
      <c r="K1091" s="1">
        <v>0.00410547899999999</v>
      </c>
      <c r="L1091" s="1">
        <v>0.00528999999999999</v>
      </c>
      <c r="M1091" s="1">
        <v>0.006556086</v>
      </c>
      <c r="N1091" s="1">
        <v>0.007873649</v>
      </c>
      <c r="O1091" s="1">
        <v>0.009253285</v>
      </c>
      <c r="P1091" s="1">
        <v>0.010644413</v>
      </c>
      <c r="Q1091" s="1">
        <v>0.0119947299999999</v>
      </c>
      <c r="R1091" s="1">
        <v>0.01325871</v>
      </c>
      <c r="S1091" s="1">
        <v>0.01440256</v>
      </c>
    </row>
    <row r="1092" ht="14.25" hidden="1" customHeight="1">
      <c r="A1092" s="1" t="s">
        <v>5</v>
      </c>
      <c r="B1092" s="1" t="s">
        <v>63</v>
      </c>
      <c r="C1092" s="1" t="s">
        <v>17</v>
      </c>
      <c r="D1092" s="1" t="s">
        <v>20</v>
      </c>
      <c r="E1092" s="2">
        <v>7.42105E-5</v>
      </c>
      <c r="F1092" s="2">
        <v>2.31053E-4</v>
      </c>
      <c r="G1092" s="2">
        <v>8.44737E-4</v>
      </c>
      <c r="H1092" s="1">
        <v>0.001132204</v>
      </c>
      <c r="I1092" s="2">
        <v>9.37826E-4</v>
      </c>
      <c r="J1092" s="1">
        <v>0.002312717</v>
      </c>
      <c r="K1092" s="1">
        <v>0.003119518</v>
      </c>
      <c r="L1092" s="1">
        <v>0.003951333</v>
      </c>
      <c r="M1092" s="1">
        <v>0.004864007</v>
      </c>
      <c r="N1092" s="1">
        <v>0.005847638</v>
      </c>
      <c r="O1092" s="1">
        <v>0.00686819</v>
      </c>
      <c r="P1092" s="1">
        <v>0.00789043</v>
      </c>
      <c r="Q1092" s="1">
        <v>0.00888551</v>
      </c>
      <c r="R1092" s="1">
        <v>0.00981914999999999</v>
      </c>
      <c r="S1092" s="1">
        <v>0.01066065</v>
      </c>
    </row>
    <row r="1093" ht="14.25" hidden="1" customHeight="1">
      <c r="A1093" s="1" t="s">
        <v>5</v>
      </c>
      <c r="B1093" s="1" t="s">
        <v>63</v>
      </c>
      <c r="C1093" s="1" t="s">
        <v>21</v>
      </c>
      <c r="D1093" s="1" t="s">
        <v>10</v>
      </c>
      <c r="E1093" s="1">
        <v>0.00166194</v>
      </c>
      <c r="F1093" s="1">
        <v>0.00517026</v>
      </c>
      <c r="G1093" s="1">
        <v>0.00410453</v>
      </c>
      <c r="H1093" s="1">
        <v>0.00476179</v>
      </c>
      <c r="I1093" s="1">
        <v>0.00489421</v>
      </c>
      <c r="J1093" s="1">
        <v>0.00326232245999999</v>
      </c>
      <c r="K1093" s="1">
        <v>0.00661752047</v>
      </c>
      <c r="L1093" s="1">
        <v>0.00679179513</v>
      </c>
      <c r="M1093" s="1">
        <v>0.00698967455</v>
      </c>
      <c r="N1093" s="1">
        <v>0.00685385</v>
      </c>
      <c r="O1093" s="1">
        <v>0.00648065</v>
      </c>
      <c r="P1093" s="1">
        <v>0.00632696399999999</v>
      </c>
      <c r="Q1093" s="1">
        <v>0.006084225</v>
      </c>
      <c r="R1093" s="1">
        <v>0.005898499</v>
      </c>
      <c r="S1093" s="1">
        <v>0.005842976</v>
      </c>
    </row>
    <row r="1094" ht="14.25" hidden="1" customHeight="1">
      <c r="A1094" s="1" t="s">
        <v>5</v>
      </c>
      <c r="B1094" s="1" t="s">
        <v>63</v>
      </c>
      <c r="C1094" s="1" t="s">
        <v>21</v>
      </c>
      <c r="D1094" s="1" t="s">
        <v>11</v>
      </c>
      <c r="E1094" s="2">
        <v>1.07924E-5</v>
      </c>
      <c r="F1094" s="2">
        <v>3.35918E-5</v>
      </c>
      <c r="G1094" s="2">
        <v>2.67004E-5</v>
      </c>
      <c r="H1094" s="2">
        <v>4.04034699999999E-4</v>
      </c>
      <c r="I1094" s="2">
        <v>6.25668999999999E-4</v>
      </c>
      <c r="J1094" s="2">
        <v>8.20161E-4</v>
      </c>
      <c r="K1094" s="2">
        <v>8.11589E-4</v>
      </c>
      <c r="L1094" s="2">
        <v>7.32579E-4</v>
      </c>
      <c r="M1094" s="2">
        <v>7.85222E-4</v>
      </c>
      <c r="N1094" s="2">
        <v>6.19212E-4</v>
      </c>
      <c r="O1094" s="2">
        <v>4.76638E-4</v>
      </c>
      <c r="P1094" s="2">
        <v>4.31438E-4</v>
      </c>
      <c r="Q1094" s="2">
        <v>4.01399E-4</v>
      </c>
      <c r="R1094" s="2">
        <v>3.82807E-4</v>
      </c>
      <c r="S1094" s="2">
        <v>3.83221E-4</v>
      </c>
    </row>
    <row r="1095" ht="14.25" hidden="1" customHeight="1">
      <c r="A1095" s="1" t="s">
        <v>5</v>
      </c>
      <c r="B1095" s="1" t="s">
        <v>63</v>
      </c>
      <c r="C1095" s="1" t="s">
        <v>21</v>
      </c>
      <c r="D1095" s="1" t="s">
        <v>22</v>
      </c>
      <c r="E1095" s="2">
        <v>1.079E-4</v>
      </c>
      <c r="F1095" s="2">
        <v>3.357E-4</v>
      </c>
      <c r="G1095" s="2">
        <v>2.665E-4</v>
      </c>
      <c r="H1095" s="2">
        <v>2.81077E-4</v>
      </c>
      <c r="I1095" s="2">
        <v>2.343895E-4</v>
      </c>
      <c r="J1095" s="2">
        <v>5.81684E-4</v>
      </c>
      <c r="K1095" s="2">
        <v>2.77429E-4</v>
      </c>
      <c r="L1095" s="2">
        <v>2.51839E-4</v>
      </c>
      <c r="M1095" s="2">
        <v>2.142397E-4</v>
      </c>
      <c r="N1095" s="2">
        <v>2.06645E-4</v>
      </c>
      <c r="O1095" s="2">
        <v>1.942514E-4</v>
      </c>
      <c r="P1095" s="2">
        <v>1.88248E-4</v>
      </c>
      <c r="Q1095" s="2">
        <v>1.804296E-4</v>
      </c>
      <c r="R1095" s="2">
        <v>1.761193E-4</v>
      </c>
      <c r="S1095" s="2">
        <v>1.743892E-4</v>
      </c>
    </row>
    <row r="1096" ht="14.25" hidden="1" customHeight="1">
      <c r="A1096" s="1" t="s">
        <v>5</v>
      </c>
      <c r="B1096" s="1" t="s">
        <v>63</v>
      </c>
      <c r="C1096" s="1" t="s">
        <v>21</v>
      </c>
      <c r="D1096" s="1" t="s">
        <v>23</v>
      </c>
      <c r="E1096" s="2">
        <v>8.63025E-5</v>
      </c>
      <c r="F1096" s="2">
        <v>2.685911E-4</v>
      </c>
      <c r="G1096" s="2">
        <v>2.131772E-4</v>
      </c>
      <c r="H1096" s="2">
        <v>2.238918E-4</v>
      </c>
      <c r="I1096" s="2">
        <v>2.686321E-4</v>
      </c>
      <c r="J1096" s="2">
        <v>9.389353E-4</v>
      </c>
      <c r="K1096" s="2">
        <v>4.507831E-4</v>
      </c>
      <c r="L1096" s="2">
        <v>4.68471E-4</v>
      </c>
      <c r="M1096" s="2">
        <v>4.64660199999999E-4</v>
      </c>
      <c r="N1096" s="2">
        <v>4.625556E-4</v>
      </c>
      <c r="O1096" s="2">
        <v>4.33567099999999E-4</v>
      </c>
      <c r="P1096" s="2">
        <v>4.599796E-4</v>
      </c>
      <c r="Q1096" s="2">
        <v>4.74388899999999E-4</v>
      </c>
      <c r="R1096" s="2">
        <v>5.123134E-4</v>
      </c>
      <c r="S1096" s="2">
        <v>5.94497E-4</v>
      </c>
    </row>
    <row r="1097" ht="14.25" hidden="1" customHeight="1">
      <c r="A1097" s="1" t="s">
        <v>5</v>
      </c>
      <c r="B1097" s="1" t="s">
        <v>63</v>
      </c>
      <c r="C1097" s="1" t="s">
        <v>21</v>
      </c>
      <c r="D1097" s="1" t="s">
        <v>24</v>
      </c>
      <c r="E1097" s="2">
        <v>7.76999E-4</v>
      </c>
      <c r="F1097" s="1">
        <v>0.0024173</v>
      </c>
      <c r="G1097" s="1">
        <v>0.001919001</v>
      </c>
      <c r="H1097" s="1">
        <v>0.002540629</v>
      </c>
      <c r="I1097" s="1">
        <v>0.002099454</v>
      </c>
      <c r="J1097" s="1">
        <v>0.002375326</v>
      </c>
      <c r="K1097" s="1">
        <v>0.001920882</v>
      </c>
      <c r="L1097" s="1">
        <v>0.001776718</v>
      </c>
      <c r="M1097" s="1">
        <v>0.001718638</v>
      </c>
      <c r="N1097" s="1">
        <v>0.001616288</v>
      </c>
      <c r="O1097" s="1">
        <v>0.001495601</v>
      </c>
      <c r="P1097" s="1">
        <v>0.001463181</v>
      </c>
      <c r="Q1097" s="1">
        <v>0.00140696</v>
      </c>
      <c r="R1097" s="1">
        <v>0.001368041</v>
      </c>
      <c r="S1097" s="1">
        <v>0.00136213699999999</v>
      </c>
    </row>
    <row r="1098" ht="14.25" hidden="1" customHeight="1">
      <c r="A1098" s="1" t="s">
        <v>5</v>
      </c>
      <c r="B1098" s="1" t="s">
        <v>63</v>
      </c>
      <c r="C1098" s="1" t="s">
        <v>21</v>
      </c>
      <c r="D1098" s="1" t="s">
        <v>12</v>
      </c>
      <c r="E1098" s="2">
        <v>1.07795E-6</v>
      </c>
      <c r="F1098" s="2">
        <v>3.37765E-6</v>
      </c>
      <c r="G1098" s="2">
        <v>2.69482E-6</v>
      </c>
      <c r="H1098" s="2">
        <v>8.99862E-6</v>
      </c>
      <c r="I1098" s="2">
        <v>9.02499E-6</v>
      </c>
      <c r="J1098" s="2">
        <v>2.05534E-5</v>
      </c>
      <c r="K1098" s="2">
        <v>9.7397E-6</v>
      </c>
      <c r="L1098" s="2">
        <v>8.84655E-6</v>
      </c>
      <c r="M1098" s="2">
        <v>7.52733E-6</v>
      </c>
      <c r="N1098" s="2">
        <v>7.26099E-6</v>
      </c>
      <c r="O1098" s="2">
        <v>6.82538E-6</v>
      </c>
      <c r="P1098" s="2">
        <v>6.61491E-6</v>
      </c>
      <c r="Q1098" s="2">
        <v>6.34029E-6</v>
      </c>
      <c r="R1098" s="2">
        <v>6.18893E-6</v>
      </c>
      <c r="S1098" s="2">
        <v>6.12814E-6</v>
      </c>
    </row>
    <row r="1099" ht="14.25" hidden="1" customHeight="1">
      <c r="A1099" s="1" t="s">
        <v>5</v>
      </c>
      <c r="B1099" s="1" t="s">
        <v>63</v>
      </c>
      <c r="C1099" s="1" t="s">
        <v>21</v>
      </c>
      <c r="D1099" s="1" t="s">
        <v>13</v>
      </c>
      <c r="E1099" s="1">
        <v>0.00177605</v>
      </c>
      <c r="F1099" s="1">
        <v>0.00552537</v>
      </c>
      <c r="G1099" s="1">
        <v>0.00678734</v>
      </c>
      <c r="H1099" s="1">
        <v>0.00760941999999999</v>
      </c>
      <c r="I1099" s="1">
        <v>0.00733522</v>
      </c>
      <c r="J1099" s="1">
        <v>0.0155083799999999</v>
      </c>
      <c r="K1099" s="1">
        <v>0.022275331</v>
      </c>
      <c r="L1099" s="1">
        <v>0.030654403</v>
      </c>
      <c r="M1099" s="1">
        <v>0.0390750599999999</v>
      </c>
      <c r="N1099" s="1">
        <v>0.04838846</v>
      </c>
      <c r="O1099" s="1">
        <v>0.05730517</v>
      </c>
      <c r="P1099" s="1">
        <v>0.06525801</v>
      </c>
      <c r="Q1099" s="1">
        <v>0.07286073</v>
      </c>
      <c r="R1099" s="1">
        <v>0.07953372</v>
      </c>
      <c r="S1099" s="1">
        <v>0.08507016</v>
      </c>
    </row>
    <row r="1100" ht="14.25" hidden="1" customHeight="1">
      <c r="A1100" s="1" t="s">
        <v>5</v>
      </c>
      <c r="B1100" s="1" t="s">
        <v>63</v>
      </c>
      <c r="C1100" s="1" t="s">
        <v>21</v>
      </c>
      <c r="D1100" s="1" t="s">
        <v>14</v>
      </c>
      <c r="E1100" s="2">
        <v>1.06934E-5</v>
      </c>
      <c r="F1100" s="2">
        <v>3.32909E-5</v>
      </c>
      <c r="G1100" s="2">
        <v>4.09003E-5</v>
      </c>
      <c r="H1100" s="1">
        <v>0.0019437885</v>
      </c>
      <c r="I1100" s="1">
        <v>0.003458326</v>
      </c>
      <c r="J1100" s="1">
        <v>0.0031183</v>
      </c>
      <c r="K1100" s="1">
        <v>0.001407555</v>
      </c>
      <c r="L1100" s="2">
        <v>7.03029E-4</v>
      </c>
      <c r="M1100" s="2">
        <v>7.24074E-4</v>
      </c>
      <c r="N1100" s="2">
        <v>7.90345E-4</v>
      </c>
      <c r="O1100" s="2">
        <v>9.04967E-4</v>
      </c>
      <c r="P1100" s="1">
        <v>0.001054413</v>
      </c>
      <c r="Q1100" s="1">
        <v>0.001148047</v>
      </c>
      <c r="R1100" s="1">
        <v>0.001212034</v>
      </c>
      <c r="S1100" s="1">
        <v>0.001264006</v>
      </c>
    </row>
    <row r="1101" ht="14.25" hidden="1" customHeight="1">
      <c r="A1101" s="1" t="s">
        <v>5</v>
      </c>
      <c r="B1101" s="1" t="s">
        <v>63</v>
      </c>
      <c r="C1101" s="1" t="s">
        <v>21</v>
      </c>
      <c r="D1101" s="1" t="s">
        <v>25</v>
      </c>
      <c r="E1101" s="2">
        <v>3.21E-4</v>
      </c>
      <c r="F1101" s="2">
        <v>9.986E-4</v>
      </c>
      <c r="G1101" s="1">
        <v>0.0012266</v>
      </c>
      <c r="H1101" s="1">
        <v>0.001349276</v>
      </c>
      <c r="I1101" s="1">
        <v>0.00168893999999999</v>
      </c>
      <c r="J1101" s="1">
        <v>0.002345837</v>
      </c>
      <c r="K1101" s="1">
        <v>0.002156786</v>
      </c>
      <c r="L1101" s="1">
        <v>0.002218151</v>
      </c>
      <c r="M1101" s="1">
        <v>0.00214844499999999</v>
      </c>
      <c r="N1101" s="1">
        <v>0.002426282</v>
      </c>
      <c r="O1101" s="1">
        <v>0.002741446</v>
      </c>
      <c r="P1101" s="1">
        <v>0.00309148999999999</v>
      </c>
      <c r="Q1101" s="1">
        <v>0.00347289</v>
      </c>
      <c r="R1101" s="1">
        <v>0.00381994</v>
      </c>
      <c r="S1101" s="1">
        <v>0.00408577</v>
      </c>
    </row>
    <row r="1102" ht="14.25" hidden="1" customHeight="1">
      <c r="A1102" s="1" t="s">
        <v>5</v>
      </c>
      <c r="B1102" s="1" t="s">
        <v>63</v>
      </c>
      <c r="C1102" s="1" t="s">
        <v>21</v>
      </c>
      <c r="D1102" s="1" t="s">
        <v>26</v>
      </c>
      <c r="E1102" s="2">
        <v>1.712E-4</v>
      </c>
      <c r="F1102" s="2">
        <v>5.32594E-4</v>
      </c>
      <c r="G1102" s="2">
        <v>6.54219E-4</v>
      </c>
      <c r="H1102" s="2">
        <v>7.982899E-4</v>
      </c>
      <c r="I1102" s="1">
        <v>0.0010376209</v>
      </c>
      <c r="J1102" s="1">
        <v>0.0025111605</v>
      </c>
      <c r="K1102" s="1">
        <v>0.002311784</v>
      </c>
      <c r="L1102" s="1">
        <v>0.002815015</v>
      </c>
      <c r="M1102" s="1">
        <v>0.00337057399999999</v>
      </c>
      <c r="N1102" s="1">
        <v>0.004664371</v>
      </c>
      <c r="O1102" s="1">
        <v>0.0062854</v>
      </c>
      <c r="P1102" s="1">
        <v>0.00825474</v>
      </c>
      <c r="Q1102" s="1">
        <v>0.01059939</v>
      </c>
      <c r="R1102" s="1">
        <v>0.01306478</v>
      </c>
      <c r="S1102" s="1">
        <v>0.01540589</v>
      </c>
    </row>
    <row r="1103" ht="14.25" hidden="1" customHeight="1">
      <c r="A1103" s="1" t="s">
        <v>5</v>
      </c>
      <c r="B1103" s="1" t="s">
        <v>63</v>
      </c>
      <c r="C1103" s="1" t="s">
        <v>21</v>
      </c>
      <c r="D1103" s="1" t="s">
        <v>27</v>
      </c>
      <c r="E1103" s="2">
        <v>7.31901E-4</v>
      </c>
      <c r="F1103" s="1">
        <v>0.0022767</v>
      </c>
      <c r="G1103" s="1">
        <v>0.0027967</v>
      </c>
      <c r="H1103" s="1">
        <v>0.004866791</v>
      </c>
      <c r="I1103" s="1">
        <v>0.005493425</v>
      </c>
      <c r="J1103" s="1">
        <v>0.0102674599999999</v>
      </c>
      <c r="K1103" s="1">
        <v>0.01152044</v>
      </c>
      <c r="L1103" s="1">
        <v>0.013452433</v>
      </c>
      <c r="M1103" s="1">
        <v>0.0152408599999999</v>
      </c>
      <c r="N1103" s="1">
        <v>0.01717347</v>
      </c>
      <c r="O1103" s="1">
        <v>0.0190294</v>
      </c>
      <c r="P1103" s="1">
        <v>0.021342</v>
      </c>
      <c r="Q1103" s="1">
        <v>0.023726</v>
      </c>
      <c r="R1103" s="1">
        <v>0.02582405</v>
      </c>
      <c r="S1103" s="1">
        <v>0.02761687</v>
      </c>
    </row>
    <row r="1104" ht="14.25" hidden="1" customHeight="1">
      <c r="A1104" s="1" t="s">
        <v>5</v>
      </c>
      <c r="B1104" s="1" t="s">
        <v>63</v>
      </c>
      <c r="C1104" s="1" t="s">
        <v>21</v>
      </c>
      <c r="D1104" s="1" t="s">
        <v>28</v>
      </c>
      <c r="E1104" s="2">
        <v>1.1E-6</v>
      </c>
      <c r="F1104" s="2">
        <v>3.3E-6</v>
      </c>
      <c r="G1104" s="2">
        <v>4.1E-6</v>
      </c>
      <c r="H1104" s="2">
        <v>4.35443E-6</v>
      </c>
      <c r="I1104" s="2">
        <v>4.86418E-6</v>
      </c>
      <c r="J1104" s="2">
        <v>6.43818E-6</v>
      </c>
      <c r="K1104" s="2">
        <v>5.98903E-6</v>
      </c>
      <c r="L1104" s="2">
        <v>6.02073E-6</v>
      </c>
      <c r="M1104" s="2">
        <v>5.76799E-6</v>
      </c>
      <c r="N1104" s="2">
        <v>6.48929E-6</v>
      </c>
      <c r="O1104" s="2">
        <v>7.32618E-6</v>
      </c>
      <c r="P1104" s="2">
        <v>8.26023E-6</v>
      </c>
      <c r="Q1104" s="2">
        <v>9.27905E-6</v>
      </c>
      <c r="R1104" s="2">
        <v>1.02063E-5</v>
      </c>
      <c r="S1104" s="2">
        <v>1.09165E-5</v>
      </c>
    </row>
    <row r="1105" ht="14.25" hidden="1" customHeight="1">
      <c r="A1105" s="1" t="s">
        <v>5</v>
      </c>
      <c r="B1105" s="1" t="s">
        <v>63</v>
      </c>
      <c r="C1105" s="1" t="s">
        <v>29</v>
      </c>
      <c r="D1105" s="1" t="s">
        <v>16</v>
      </c>
      <c r="E1105" s="1">
        <v>0.00188891</v>
      </c>
      <c r="F1105" s="1">
        <v>0.00362636</v>
      </c>
      <c r="G1105" s="1">
        <v>0.00468547</v>
      </c>
      <c r="H1105" s="1">
        <v>0.00585364</v>
      </c>
      <c r="I1105" s="1">
        <v>0.005799143</v>
      </c>
      <c r="J1105" s="1">
        <v>0.006753354</v>
      </c>
      <c r="K1105" s="1">
        <v>0.006654398</v>
      </c>
      <c r="L1105" s="1">
        <v>0.00641723699999999</v>
      </c>
      <c r="M1105" s="1">
        <v>0.005685199</v>
      </c>
      <c r="N1105" s="1">
        <v>0.005705938</v>
      </c>
      <c r="O1105" s="1">
        <v>0.006027556</v>
      </c>
      <c r="P1105" s="1">
        <v>0.00647816</v>
      </c>
      <c r="Q1105" s="1">
        <v>0.007060153</v>
      </c>
      <c r="R1105" s="1">
        <v>0.00768457099999999</v>
      </c>
      <c r="S1105" s="1">
        <v>0.008220548</v>
      </c>
    </row>
    <row r="1106" ht="14.25" hidden="1" customHeight="1">
      <c r="A1106" s="1" t="s">
        <v>5</v>
      </c>
      <c r="B1106" s="1" t="s">
        <v>63</v>
      </c>
      <c r="C1106" s="1" t="s">
        <v>29</v>
      </c>
      <c r="D1106" s="1" t="s">
        <v>8</v>
      </c>
      <c r="E1106" s="2">
        <v>4.72305E-5</v>
      </c>
      <c r="F1106" s="2">
        <v>9.06931E-5</v>
      </c>
      <c r="G1106" s="2">
        <v>1.17104E-4</v>
      </c>
      <c r="H1106" s="2">
        <v>9.04800996999999E-5</v>
      </c>
      <c r="I1106" s="2">
        <v>8.76895178999999E-5</v>
      </c>
      <c r="J1106" s="2">
        <v>1.135656377E-4</v>
      </c>
      <c r="K1106" s="2">
        <v>1.312400199E-4</v>
      </c>
      <c r="L1106" s="2">
        <v>1.488572721E-4</v>
      </c>
      <c r="M1106" s="2">
        <v>1.48861021899999E-4</v>
      </c>
      <c r="N1106" s="2">
        <v>1.7499479E-4</v>
      </c>
      <c r="O1106" s="2">
        <v>1.9585054E-4</v>
      </c>
      <c r="P1106" s="2">
        <v>2.13611499999999E-4</v>
      </c>
      <c r="Q1106" s="2">
        <v>2.32772699999999E-4</v>
      </c>
      <c r="R1106" s="2">
        <v>2.51201699999999E-4</v>
      </c>
      <c r="S1106" s="2">
        <v>2.664289E-4</v>
      </c>
    </row>
    <row r="1107" ht="14.25" hidden="1" customHeight="1">
      <c r="A1107" s="1" t="s">
        <v>5</v>
      </c>
      <c r="B1107" s="1" t="s">
        <v>63</v>
      </c>
      <c r="C1107" s="1" t="s">
        <v>29</v>
      </c>
      <c r="D1107" s="1" t="s">
        <v>10</v>
      </c>
      <c r="E1107" s="2">
        <v>2.20993E-5</v>
      </c>
      <c r="F1107" s="2">
        <v>4.25005E-5</v>
      </c>
      <c r="G1107" s="2">
        <v>3.31303E-4</v>
      </c>
      <c r="H1107" s="2">
        <v>7.45831E-4</v>
      </c>
      <c r="I1107" s="2">
        <v>6.463655E-4</v>
      </c>
      <c r="J1107" s="2">
        <v>5.2375403654E-4</v>
      </c>
      <c r="K1107" s="2">
        <v>3.7393937747E-4</v>
      </c>
      <c r="L1107" s="2">
        <v>2.26073397699999E-4</v>
      </c>
      <c r="M1107" s="2">
        <v>7.699384827E-5</v>
      </c>
      <c r="N1107" s="2">
        <v>1.049127084E-5</v>
      </c>
      <c r="O1107" s="2">
        <v>8.100839076E-6</v>
      </c>
      <c r="P1107" s="2">
        <v>6.489655E-6</v>
      </c>
      <c r="Q1107" s="2">
        <v>4.888964E-6</v>
      </c>
      <c r="R1107" s="2">
        <v>4.197833E-6</v>
      </c>
      <c r="S1107" s="2">
        <v>3.82618299999999E-6</v>
      </c>
    </row>
    <row r="1108" ht="14.25" hidden="1" customHeight="1">
      <c r="A1108" s="1" t="s">
        <v>5</v>
      </c>
      <c r="B1108" s="1" t="s">
        <v>63</v>
      </c>
      <c r="C1108" s="1" t="s">
        <v>29</v>
      </c>
      <c r="D1108" s="1" t="s">
        <v>11</v>
      </c>
      <c r="E1108" s="2">
        <v>2.91995E-4</v>
      </c>
      <c r="F1108" s="2">
        <v>5.60863E-4</v>
      </c>
      <c r="G1108" s="1">
        <v>0.00437376</v>
      </c>
      <c r="H1108" s="1">
        <v>0.003376927471</v>
      </c>
      <c r="I1108" s="1">
        <v>0.002866452207</v>
      </c>
      <c r="J1108" s="1">
        <v>0.00227017022</v>
      </c>
      <c r="K1108" s="1">
        <v>0.001888327036</v>
      </c>
      <c r="L1108" s="1">
        <v>0.00161910715099999</v>
      </c>
      <c r="M1108" s="2">
        <v>9.63771043999999E-4</v>
      </c>
      <c r="N1108" s="1">
        <v>0.0011020911</v>
      </c>
      <c r="O1108" s="1">
        <v>0.00116034404</v>
      </c>
      <c r="P1108" s="1">
        <v>0.0011546711</v>
      </c>
      <c r="Q1108" s="1">
        <v>0.0011171278</v>
      </c>
      <c r="R1108" s="1">
        <v>0.0010919101</v>
      </c>
      <c r="S1108" s="1">
        <v>0.0010881556</v>
      </c>
    </row>
    <row r="1109" ht="14.25" hidden="1" customHeight="1">
      <c r="A1109" s="1" t="s">
        <v>5</v>
      </c>
      <c r="B1109" s="1" t="s">
        <v>63</v>
      </c>
      <c r="C1109" s="1" t="s">
        <v>29</v>
      </c>
      <c r="D1109" s="1" t="s">
        <v>13</v>
      </c>
      <c r="E1109" s="2">
        <v>2.31993E-5</v>
      </c>
      <c r="F1109" s="2">
        <v>4.44998E-5</v>
      </c>
      <c r="G1109" s="2">
        <v>4.80696E-4</v>
      </c>
      <c r="H1109" s="1">
        <v>0.010444143</v>
      </c>
      <c r="I1109" s="1">
        <v>0.012228408</v>
      </c>
      <c r="J1109" s="1">
        <v>0.012379428</v>
      </c>
      <c r="K1109" s="1">
        <v>0.012951328</v>
      </c>
      <c r="L1109" s="1">
        <v>0.012950273</v>
      </c>
      <c r="M1109" s="1">
        <v>0.012668028</v>
      </c>
      <c r="N1109" s="1">
        <v>0.011975348</v>
      </c>
      <c r="O1109" s="1">
        <v>0.012075633</v>
      </c>
      <c r="P1109" s="1">
        <v>0.012238582</v>
      </c>
      <c r="Q1109" s="1">
        <v>0.012589466</v>
      </c>
      <c r="R1109" s="1">
        <v>0.013063002</v>
      </c>
      <c r="S1109" s="1">
        <v>0.013501001</v>
      </c>
    </row>
    <row r="1110" ht="14.25" hidden="1" customHeight="1">
      <c r="A1110" s="1" t="s">
        <v>5</v>
      </c>
      <c r="B1110" s="1" t="s">
        <v>63</v>
      </c>
      <c r="C1110" s="1" t="s">
        <v>29</v>
      </c>
      <c r="D1110" s="1" t="s">
        <v>14</v>
      </c>
      <c r="E1110" s="2">
        <v>6.24813E-4</v>
      </c>
      <c r="F1110" s="1">
        <v>0.00120007</v>
      </c>
      <c r="G1110" s="1">
        <v>0.0129793</v>
      </c>
      <c r="H1110" s="1">
        <v>0.0100808653</v>
      </c>
      <c r="I1110" s="1">
        <v>0.0094195739</v>
      </c>
      <c r="J1110" s="1">
        <v>0.0080651867</v>
      </c>
      <c r="K1110" s="1">
        <v>0.0068436587</v>
      </c>
      <c r="L1110" s="1">
        <v>0.0056824226</v>
      </c>
      <c r="M1110" s="1">
        <v>0.00319554842</v>
      </c>
      <c r="N1110" s="1">
        <v>0.00365343899999999</v>
      </c>
      <c r="O1110" s="1">
        <v>0.00430545309999999</v>
      </c>
      <c r="P1110" s="1">
        <v>0.005137323</v>
      </c>
      <c r="Q1110" s="1">
        <v>0.006013852</v>
      </c>
      <c r="R1110" s="1">
        <v>0.006888426</v>
      </c>
      <c r="S1110" s="1">
        <v>0.007642797</v>
      </c>
    </row>
    <row r="1111" ht="14.25" hidden="1" customHeight="1">
      <c r="A1111" s="1" t="s">
        <v>5</v>
      </c>
      <c r="B1111" s="1" t="s">
        <v>64</v>
      </c>
      <c r="C1111" s="1" t="s">
        <v>7</v>
      </c>
      <c r="D1111" s="1" t="s">
        <v>8</v>
      </c>
      <c r="E1111" s="1">
        <v>0.00271614</v>
      </c>
      <c r="F1111" s="1">
        <v>0.00345794</v>
      </c>
      <c r="G1111" s="1">
        <v>0.00370102</v>
      </c>
      <c r="H1111" s="2">
        <v>6.31292E-4</v>
      </c>
      <c r="I1111" s="1">
        <v>0.0</v>
      </c>
      <c r="J1111" s="2">
        <v>4.95078E-5</v>
      </c>
      <c r="K1111" s="2">
        <v>3.07018E-5</v>
      </c>
      <c r="L1111" s="2">
        <v>2.64235E-5</v>
      </c>
      <c r="M1111" s="2">
        <v>1.77044E-5</v>
      </c>
      <c r="N1111" s="2">
        <v>1.01168E-5</v>
      </c>
      <c r="O1111" s="1">
        <v>0.0</v>
      </c>
      <c r="P1111" s="1">
        <v>0.0</v>
      </c>
      <c r="Q1111" s="1">
        <v>0.0</v>
      </c>
      <c r="R1111" s="1">
        <v>0.0</v>
      </c>
      <c r="S1111" s="1">
        <v>0.0</v>
      </c>
    </row>
    <row r="1112" ht="14.25" hidden="1" customHeight="1">
      <c r="A1112" s="1" t="s">
        <v>5</v>
      </c>
      <c r="B1112" s="1" t="s">
        <v>64</v>
      </c>
      <c r="C1112" s="1" t="s">
        <v>9</v>
      </c>
      <c r="D1112" s="1" t="s">
        <v>8</v>
      </c>
      <c r="E1112" s="2">
        <v>2.99004E-4</v>
      </c>
      <c r="F1112" s="2">
        <v>2.62196E-4</v>
      </c>
      <c r="G1112" s="2">
        <v>3.85633E-4</v>
      </c>
      <c r="H1112" s="2">
        <v>2.02352E-4</v>
      </c>
      <c r="I1112" s="1">
        <v>0.0</v>
      </c>
      <c r="J1112" s="1">
        <v>0.0</v>
      </c>
      <c r="K1112" s="1">
        <v>0.0</v>
      </c>
      <c r="L1112" s="1">
        <v>0.0</v>
      </c>
      <c r="M1112" s="1">
        <v>0.0</v>
      </c>
      <c r="N1112" s="1">
        <v>0.0</v>
      </c>
      <c r="O1112" s="1">
        <v>0.0</v>
      </c>
      <c r="P1112" s="1">
        <v>0.0</v>
      </c>
      <c r="Q1112" s="1">
        <v>0.0</v>
      </c>
      <c r="R1112" s="1">
        <v>0.0</v>
      </c>
      <c r="S1112" s="1">
        <v>0.0</v>
      </c>
    </row>
    <row r="1113" ht="14.25" hidden="1" customHeight="1">
      <c r="A1113" s="1" t="s">
        <v>5</v>
      </c>
      <c r="B1113" s="1" t="s">
        <v>64</v>
      </c>
      <c r="C1113" s="1" t="s">
        <v>9</v>
      </c>
      <c r="D1113" s="1" t="s">
        <v>10</v>
      </c>
      <c r="E1113" s="1">
        <v>0.0</v>
      </c>
      <c r="F1113" s="1">
        <v>0.0</v>
      </c>
      <c r="G1113" s="2">
        <v>9.10063E-6</v>
      </c>
      <c r="H1113" s="1">
        <v>0.0</v>
      </c>
      <c r="I1113" s="1">
        <v>0.0</v>
      </c>
      <c r="J1113" s="1">
        <v>0.00158214</v>
      </c>
      <c r="K1113" s="1">
        <v>0.0</v>
      </c>
      <c r="L1113" s="1">
        <v>0.0</v>
      </c>
      <c r="M1113" s="1">
        <v>0.0</v>
      </c>
      <c r="N1113" s="1">
        <v>0.0</v>
      </c>
      <c r="O1113" s="1">
        <v>0.0</v>
      </c>
      <c r="P1113" s="1">
        <v>0.0</v>
      </c>
      <c r="Q1113" s="1">
        <v>0.0</v>
      </c>
      <c r="R1113" s="1">
        <v>0.0</v>
      </c>
      <c r="S1113" s="1">
        <v>0.0</v>
      </c>
    </row>
    <row r="1114" ht="14.25" hidden="1" customHeight="1">
      <c r="A1114" s="1" t="s">
        <v>5</v>
      </c>
      <c r="B1114" s="1" t="s">
        <v>64</v>
      </c>
      <c r="C1114" s="1" t="s">
        <v>9</v>
      </c>
      <c r="D1114" s="1" t="s">
        <v>11</v>
      </c>
      <c r="E1114" s="1">
        <v>0.0</v>
      </c>
      <c r="F1114" s="1">
        <v>0.0</v>
      </c>
      <c r="G1114" s="2">
        <v>9.09997E-6</v>
      </c>
      <c r="H1114" s="1">
        <v>0.0</v>
      </c>
      <c r="I1114" s="1">
        <v>0.0</v>
      </c>
      <c r="J1114" s="1">
        <v>0.0</v>
      </c>
      <c r="K1114" s="1">
        <v>0.0</v>
      </c>
      <c r="L1114" s="1">
        <v>0.0</v>
      </c>
      <c r="M1114" s="1">
        <v>0.0</v>
      </c>
      <c r="N1114" s="1">
        <v>0.0</v>
      </c>
      <c r="O1114" s="1">
        <v>0.0</v>
      </c>
      <c r="P1114" s="1">
        <v>0.0</v>
      </c>
      <c r="Q1114" s="1">
        <v>0.0</v>
      </c>
      <c r="R1114" s="1">
        <v>0.0</v>
      </c>
      <c r="S1114" s="1">
        <v>0.0</v>
      </c>
    </row>
    <row r="1115" ht="14.25" hidden="1" customHeight="1">
      <c r="A1115" s="1" t="s">
        <v>5</v>
      </c>
      <c r="B1115" s="1" t="s">
        <v>64</v>
      </c>
      <c r="C1115" s="1" t="s">
        <v>9</v>
      </c>
      <c r="D1115" s="1" t="s">
        <v>12</v>
      </c>
      <c r="E1115" s="1">
        <v>0.0</v>
      </c>
      <c r="F1115" s="1">
        <v>0.0</v>
      </c>
      <c r="G1115" s="2">
        <v>9.09303E-6</v>
      </c>
      <c r="H1115" s="1">
        <v>0.0</v>
      </c>
      <c r="I1115" s="1">
        <v>0.0</v>
      </c>
      <c r="J1115" s="1">
        <v>0.0</v>
      </c>
      <c r="K1115" s="1">
        <v>0.0</v>
      </c>
      <c r="L1115" s="1">
        <v>0.0</v>
      </c>
      <c r="M1115" s="1">
        <v>0.0</v>
      </c>
      <c r="N1115" s="1">
        <v>0.0</v>
      </c>
      <c r="O1115" s="1">
        <v>0.0</v>
      </c>
      <c r="P1115" s="1">
        <v>0.0</v>
      </c>
      <c r="Q1115" s="1">
        <v>0.0</v>
      </c>
      <c r="R1115" s="1">
        <v>0.0</v>
      </c>
      <c r="S1115" s="1">
        <v>0.0</v>
      </c>
    </row>
    <row r="1116" ht="14.25" hidden="1" customHeight="1">
      <c r="A1116" s="1" t="s">
        <v>5</v>
      </c>
      <c r="B1116" s="1" t="s">
        <v>64</v>
      </c>
      <c r="C1116" s="1" t="s">
        <v>9</v>
      </c>
      <c r="D1116" s="1" t="s">
        <v>13</v>
      </c>
      <c r="E1116" s="1">
        <v>0.0</v>
      </c>
      <c r="F1116" s="1">
        <v>0.0</v>
      </c>
      <c r="G1116" s="1">
        <v>0.0</v>
      </c>
      <c r="H1116" s="2">
        <v>6.5097E-5</v>
      </c>
      <c r="I1116" s="1">
        <v>0.0</v>
      </c>
      <c r="J1116" s="1">
        <v>0.0</v>
      </c>
      <c r="K1116" s="1">
        <v>0.0</v>
      </c>
      <c r="L1116" s="1">
        <v>0.0</v>
      </c>
      <c r="M1116" s="1">
        <v>0.0</v>
      </c>
      <c r="N1116" s="1">
        <v>0.0</v>
      </c>
      <c r="O1116" s="1">
        <v>0.0</v>
      </c>
      <c r="P1116" s="1">
        <v>0.0</v>
      </c>
      <c r="Q1116" s="1">
        <v>0.0</v>
      </c>
      <c r="R1116" s="1">
        <v>0.0</v>
      </c>
      <c r="S1116" s="1">
        <v>0.0</v>
      </c>
    </row>
    <row r="1117" ht="14.25" hidden="1" customHeight="1">
      <c r="A1117" s="1" t="s">
        <v>5</v>
      </c>
      <c r="B1117" s="1" t="s">
        <v>64</v>
      </c>
      <c r="C1117" s="1" t="s">
        <v>9</v>
      </c>
      <c r="D1117" s="1" t="s">
        <v>14</v>
      </c>
      <c r="E1117" s="1">
        <v>0.0</v>
      </c>
      <c r="F1117" s="1">
        <v>0.0</v>
      </c>
      <c r="G1117" s="1">
        <v>0.0</v>
      </c>
      <c r="H1117" s="2">
        <v>4.6206E-5</v>
      </c>
      <c r="I1117" s="1">
        <v>0.0</v>
      </c>
      <c r="J1117" s="1">
        <v>0.0</v>
      </c>
      <c r="K1117" s="1">
        <v>0.0</v>
      </c>
      <c r="L1117" s="1">
        <v>0.0</v>
      </c>
      <c r="M1117" s="1">
        <v>0.0</v>
      </c>
      <c r="N1117" s="1">
        <v>0.0</v>
      </c>
      <c r="O1117" s="1">
        <v>0.0</v>
      </c>
      <c r="P1117" s="1">
        <v>0.0</v>
      </c>
      <c r="Q1117" s="1">
        <v>0.0</v>
      </c>
      <c r="R1117" s="1">
        <v>0.0</v>
      </c>
      <c r="S1117" s="1">
        <v>0.0</v>
      </c>
    </row>
    <row r="1118" ht="14.25" hidden="1" customHeight="1">
      <c r="A1118" s="1" t="s">
        <v>5</v>
      </c>
      <c r="B1118" s="1" t="s">
        <v>64</v>
      </c>
      <c r="C1118" s="1" t="s">
        <v>15</v>
      </c>
      <c r="D1118" s="1" t="s">
        <v>16</v>
      </c>
      <c r="E1118" s="1">
        <v>0.0</v>
      </c>
      <c r="F1118" s="1">
        <v>0.0</v>
      </c>
      <c r="G1118" s="1">
        <v>0.0</v>
      </c>
      <c r="H1118" s="1">
        <v>0.0</v>
      </c>
      <c r="I1118" s="1">
        <v>0.0</v>
      </c>
      <c r="J1118" s="1">
        <v>0.00134145</v>
      </c>
      <c r="K1118" s="1">
        <v>0.00248999</v>
      </c>
      <c r="L1118" s="1">
        <v>0.003804958</v>
      </c>
      <c r="M1118" s="1">
        <v>0.00538526299999999</v>
      </c>
      <c r="N1118" s="1">
        <v>0.00674816399999999</v>
      </c>
      <c r="O1118" s="1">
        <v>0.008013952</v>
      </c>
      <c r="P1118" s="1">
        <v>0.00928671</v>
      </c>
      <c r="Q1118" s="1">
        <v>0.010546821</v>
      </c>
      <c r="R1118" s="1">
        <v>0.0117863209999999</v>
      </c>
      <c r="S1118" s="1">
        <v>0.0130328699999999</v>
      </c>
    </row>
    <row r="1119" ht="14.25" customHeight="1">
      <c r="A1119" s="1" t="s">
        <v>5</v>
      </c>
      <c r="B1119" s="1" t="s">
        <v>64</v>
      </c>
      <c r="C1119" s="1" t="s">
        <v>15</v>
      </c>
      <c r="D1119" s="1" t="s">
        <v>14</v>
      </c>
      <c r="E1119" s="1">
        <v>0.0</v>
      </c>
      <c r="F1119" s="1">
        <v>0.0</v>
      </c>
      <c r="G1119" s="1">
        <v>0.0</v>
      </c>
      <c r="H1119" s="1">
        <v>0.0</v>
      </c>
      <c r="I1119" s="2">
        <v>6.25561E-8</v>
      </c>
      <c r="J1119" s="2">
        <v>2.295323174E-4</v>
      </c>
      <c r="K1119" s="2">
        <v>5.74206022E-4</v>
      </c>
      <c r="L1119" s="2">
        <v>9.208502781E-4</v>
      </c>
      <c r="M1119" s="1">
        <v>0.0012606805342</v>
      </c>
      <c r="N1119" s="1">
        <v>0.00147194463871999</v>
      </c>
      <c r="O1119" s="1">
        <v>0.00161218849999999</v>
      </c>
      <c r="P1119" s="1">
        <v>0.0016919206</v>
      </c>
      <c r="Q1119" s="1">
        <v>0.00178484</v>
      </c>
      <c r="R1119" s="1">
        <v>0.0018804094</v>
      </c>
      <c r="S1119" s="1">
        <v>0.00199839679999999</v>
      </c>
    </row>
    <row r="1120" ht="14.25" hidden="1" customHeight="1">
      <c r="A1120" s="1" t="s">
        <v>5</v>
      </c>
      <c r="B1120" s="1" t="s">
        <v>64</v>
      </c>
      <c r="C1120" s="1" t="s">
        <v>17</v>
      </c>
      <c r="D1120" s="1" t="s">
        <v>16</v>
      </c>
      <c r="E1120" s="2">
        <v>1.05998E-5</v>
      </c>
      <c r="F1120" s="2">
        <v>3.31011E-5</v>
      </c>
      <c r="G1120" s="2">
        <v>4.98004E-5</v>
      </c>
      <c r="H1120" s="2">
        <v>1.803102E-4</v>
      </c>
      <c r="I1120" s="2">
        <v>1.343564E-4</v>
      </c>
      <c r="J1120" s="2">
        <v>3.021184E-4</v>
      </c>
      <c r="K1120" s="2">
        <v>3.532174E-4</v>
      </c>
      <c r="L1120" s="2">
        <v>3.9707511E-4</v>
      </c>
      <c r="M1120" s="2">
        <v>4.678934E-4</v>
      </c>
      <c r="N1120" s="2">
        <v>5.38424E-4</v>
      </c>
      <c r="O1120" s="2">
        <v>6.39229899999999E-4</v>
      </c>
      <c r="P1120" s="2">
        <v>7.571367E-4</v>
      </c>
      <c r="Q1120" s="2">
        <v>8.701014E-4</v>
      </c>
      <c r="R1120" s="2">
        <v>9.847733E-4</v>
      </c>
      <c r="S1120" s="1">
        <v>0.0010929301</v>
      </c>
    </row>
    <row r="1121" ht="14.25" hidden="1" customHeight="1">
      <c r="A1121" s="1" t="s">
        <v>5</v>
      </c>
      <c r="B1121" s="1" t="s">
        <v>64</v>
      </c>
      <c r="C1121" s="1" t="s">
        <v>17</v>
      </c>
      <c r="D1121" s="1" t="s">
        <v>18</v>
      </c>
      <c r="E1121" s="2">
        <v>4.74192E-4</v>
      </c>
      <c r="F1121" s="1">
        <v>0.00147512</v>
      </c>
      <c r="G1121" s="1">
        <v>0.00222288</v>
      </c>
      <c r="H1121" s="1">
        <v>0.00194965</v>
      </c>
      <c r="I1121" s="2">
        <v>5.36817E-4</v>
      </c>
      <c r="J1121" s="1">
        <v>0.00323947</v>
      </c>
      <c r="K1121" s="1">
        <v>0.004170595</v>
      </c>
      <c r="L1121" s="1">
        <v>0.005156679</v>
      </c>
      <c r="M1121" s="1">
        <v>0.00612951</v>
      </c>
      <c r="N1121" s="1">
        <v>0.007099763</v>
      </c>
      <c r="O1121" s="1">
        <v>0.008004678</v>
      </c>
      <c r="P1121" s="1">
        <v>0.008854226</v>
      </c>
      <c r="Q1121" s="1">
        <v>0.009664218</v>
      </c>
      <c r="R1121" s="1">
        <v>0.01043352</v>
      </c>
      <c r="S1121" s="1">
        <v>0.0111196319999999</v>
      </c>
    </row>
    <row r="1122" ht="14.25" hidden="1" customHeight="1">
      <c r="A1122" s="1" t="s">
        <v>5</v>
      </c>
      <c r="B1122" s="1" t="s">
        <v>64</v>
      </c>
      <c r="C1122" s="1" t="s">
        <v>17</v>
      </c>
      <c r="D1122" s="1" t="s">
        <v>19</v>
      </c>
      <c r="E1122" s="2">
        <v>2.14802E-4</v>
      </c>
      <c r="F1122" s="2">
        <v>6.68099E-4</v>
      </c>
      <c r="G1122" s="1">
        <v>0.0010068</v>
      </c>
      <c r="H1122" s="1">
        <v>0.00122986</v>
      </c>
      <c r="I1122" s="2">
        <v>3.33845E-4</v>
      </c>
      <c r="J1122" s="1">
        <v>0.00189834</v>
      </c>
      <c r="K1122" s="1">
        <v>0.002439323</v>
      </c>
      <c r="L1122" s="1">
        <v>0.003050982</v>
      </c>
      <c r="M1122" s="1">
        <v>0.00367363599999999</v>
      </c>
      <c r="N1122" s="1">
        <v>0.004330356</v>
      </c>
      <c r="O1122" s="1">
        <v>0.005018341</v>
      </c>
      <c r="P1122" s="1">
        <v>0.005722567</v>
      </c>
      <c r="Q1122" s="1">
        <v>0.006431897</v>
      </c>
      <c r="R1122" s="1">
        <v>0.007133843</v>
      </c>
      <c r="S1122" s="1">
        <v>0.007820598</v>
      </c>
    </row>
    <row r="1123" ht="14.25" hidden="1" customHeight="1">
      <c r="A1123" s="1" t="s">
        <v>5</v>
      </c>
      <c r="B1123" s="1" t="s">
        <v>64</v>
      </c>
      <c r="C1123" s="1" t="s">
        <v>17</v>
      </c>
      <c r="D1123" s="1" t="s">
        <v>8</v>
      </c>
      <c r="E1123" s="2">
        <v>9.57013E-5</v>
      </c>
      <c r="F1123" s="2">
        <v>2.97695E-4</v>
      </c>
      <c r="G1123" s="2">
        <v>4.48639E-4</v>
      </c>
      <c r="H1123" s="1">
        <v>0.001247223</v>
      </c>
      <c r="I1123" s="2">
        <v>7.97156999999999E-4</v>
      </c>
      <c r="J1123" s="1">
        <v>0.003302122</v>
      </c>
      <c r="K1123" s="1">
        <v>0.004355788</v>
      </c>
      <c r="L1123" s="1">
        <v>0.00548915</v>
      </c>
      <c r="M1123" s="1">
        <v>0.006620954</v>
      </c>
      <c r="N1123" s="1">
        <v>0.007762833</v>
      </c>
      <c r="O1123" s="1">
        <v>0.008952212</v>
      </c>
      <c r="P1123" s="1">
        <v>0.010149714</v>
      </c>
      <c r="Q1123" s="1">
        <v>0.01133839</v>
      </c>
      <c r="R1123" s="1">
        <v>0.01249654</v>
      </c>
      <c r="S1123" s="1">
        <v>0.01361464</v>
      </c>
    </row>
    <row r="1124" ht="14.25" hidden="1" customHeight="1">
      <c r="A1124" s="1" t="s">
        <v>5</v>
      </c>
      <c r="B1124" s="1" t="s">
        <v>64</v>
      </c>
      <c r="C1124" s="1" t="s">
        <v>17</v>
      </c>
      <c r="D1124" s="1" t="s">
        <v>20</v>
      </c>
      <c r="E1124" s="2">
        <v>7.21053E-5</v>
      </c>
      <c r="F1124" s="2">
        <v>2.24737E-4</v>
      </c>
      <c r="G1124" s="2">
        <v>3.38947E-4</v>
      </c>
      <c r="H1124" s="2">
        <v>4.2863E-4</v>
      </c>
      <c r="I1124" s="2">
        <v>2.36324E-4</v>
      </c>
      <c r="J1124" s="2">
        <v>6.804492E-4</v>
      </c>
      <c r="K1124" s="2">
        <v>8.85835E-4</v>
      </c>
      <c r="L1124" s="1">
        <v>0.001082261</v>
      </c>
      <c r="M1124" s="1">
        <v>0.001290594</v>
      </c>
      <c r="N1124" s="1">
        <v>0.001512803</v>
      </c>
      <c r="O1124" s="1">
        <v>0.001742918</v>
      </c>
      <c r="P1124" s="1">
        <v>0.001973822</v>
      </c>
      <c r="Q1124" s="1">
        <v>0.002204119</v>
      </c>
      <c r="R1124" s="1">
        <v>0.002429363</v>
      </c>
      <c r="S1124" s="1">
        <v>0.002645912</v>
      </c>
    </row>
    <row r="1125" ht="14.25" hidden="1" customHeight="1">
      <c r="A1125" s="1" t="s">
        <v>5</v>
      </c>
      <c r="B1125" s="1" t="s">
        <v>64</v>
      </c>
      <c r="C1125" s="1" t="s">
        <v>21</v>
      </c>
      <c r="D1125" s="1" t="s">
        <v>10</v>
      </c>
      <c r="E1125" s="2">
        <v>1.16052E-4</v>
      </c>
      <c r="F1125" s="2">
        <v>3.60631E-4</v>
      </c>
      <c r="G1125" s="2">
        <v>7.2015E-4</v>
      </c>
      <c r="H1125" s="2">
        <v>6.48039E-4</v>
      </c>
      <c r="I1125" s="2">
        <v>4.72112E-4</v>
      </c>
      <c r="J1125" s="2">
        <v>3.2856627E-4</v>
      </c>
      <c r="K1125" s="1">
        <v>0.00104396746</v>
      </c>
      <c r="L1125" s="1">
        <v>0.001275358067</v>
      </c>
      <c r="M1125" s="1">
        <v>0.001418151239</v>
      </c>
      <c r="N1125" s="1">
        <v>0.00153086599999999</v>
      </c>
      <c r="O1125" s="1">
        <v>0.001532342</v>
      </c>
      <c r="P1125" s="1">
        <v>0.001543753</v>
      </c>
      <c r="Q1125" s="1">
        <v>0.001542836</v>
      </c>
      <c r="R1125" s="1">
        <v>0.001529575</v>
      </c>
      <c r="S1125" s="1">
        <v>0.00150640799999999</v>
      </c>
    </row>
    <row r="1126" ht="14.25" hidden="1" customHeight="1">
      <c r="A1126" s="1" t="s">
        <v>5</v>
      </c>
      <c r="B1126" s="1" t="s">
        <v>64</v>
      </c>
      <c r="C1126" s="1" t="s">
        <v>21</v>
      </c>
      <c r="D1126" s="1" t="s">
        <v>11</v>
      </c>
      <c r="E1126" s="2">
        <v>9.69994E-6</v>
      </c>
      <c r="F1126" s="2">
        <v>3.01E-5</v>
      </c>
      <c r="G1126" s="2">
        <v>5.99998E-5</v>
      </c>
      <c r="H1126" s="2">
        <v>2.070957E-4</v>
      </c>
      <c r="I1126" s="2">
        <v>7.880220779E-5</v>
      </c>
      <c r="J1126" s="1">
        <v>0.00993171231107999</v>
      </c>
      <c r="K1126" s="1">
        <v>0.01103329</v>
      </c>
      <c r="L1126" s="1">
        <v>0.0109239</v>
      </c>
      <c r="M1126" s="1">
        <v>0.01106768</v>
      </c>
      <c r="N1126" s="1">
        <v>0.01132508</v>
      </c>
      <c r="O1126" s="1">
        <v>0.01151425</v>
      </c>
      <c r="P1126" s="1">
        <v>0.0115341</v>
      </c>
      <c r="Q1126" s="1">
        <v>0.0114461299999999</v>
      </c>
      <c r="R1126" s="1">
        <v>0.01132346</v>
      </c>
      <c r="S1126" s="1">
        <v>0.01113046</v>
      </c>
    </row>
    <row r="1127" ht="14.25" hidden="1" customHeight="1">
      <c r="A1127" s="1" t="s">
        <v>5</v>
      </c>
      <c r="B1127" s="1" t="s">
        <v>64</v>
      </c>
      <c r="C1127" s="1" t="s">
        <v>21</v>
      </c>
      <c r="D1127" s="1" t="s">
        <v>22</v>
      </c>
      <c r="E1127" s="2">
        <v>9.7E-6</v>
      </c>
      <c r="F1127" s="2">
        <v>3.01E-5</v>
      </c>
      <c r="G1127" s="2">
        <v>6.0E-5</v>
      </c>
      <c r="H1127" s="2">
        <v>6.79307E-5</v>
      </c>
      <c r="I1127" s="2">
        <v>6.85732E-5</v>
      </c>
      <c r="J1127" s="2">
        <v>2.210013E-4</v>
      </c>
      <c r="K1127" s="2">
        <v>2.38586E-4</v>
      </c>
      <c r="L1127" s="2">
        <v>2.539687E-4</v>
      </c>
      <c r="M1127" s="2">
        <v>2.61784E-4</v>
      </c>
      <c r="N1127" s="2">
        <v>2.743985E-4</v>
      </c>
      <c r="O1127" s="2">
        <v>2.82166E-4</v>
      </c>
      <c r="P1127" s="2">
        <v>2.85717E-4</v>
      </c>
      <c r="Q1127" s="2">
        <v>2.87449E-4</v>
      </c>
      <c r="R1127" s="2">
        <v>2.87764E-4</v>
      </c>
      <c r="S1127" s="2">
        <v>2.86331E-4</v>
      </c>
    </row>
    <row r="1128" ht="14.25" hidden="1" customHeight="1">
      <c r="A1128" s="1" t="s">
        <v>5</v>
      </c>
      <c r="B1128" s="1" t="s">
        <v>64</v>
      </c>
      <c r="C1128" s="1" t="s">
        <v>21</v>
      </c>
      <c r="D1128" s="1" t="s">
        <v>23</v>
      </c>
      <c r="E1128" s="2">
        <v>9.71547E-6</v>
      </c>
      <c r="F1128" s="2">
        <v>3.010659E-5</v>
      </c>
      <c r="G1128" s="2">
        <v>5.99786999999999E-5</v>
      </c>
      <c r="H1128" s="2">
        <v>9.672428E-5</v>
      </c>
      <c r="I1128" s="2">
        <v>1.713244E-4</v>
      </c>
      <c r="J1128" s="2">
        <v>5.783472E-4</v>
      </c>
      <c r="K1128" s="2">
        <v>7.142708E-4</v>
      </c>
      <c r="L1128" s="2">
        <v>8.71917299999999E-4</v>
      </c>
      <c r="M1128" s="1">
        <v>0.001019429</v>
      </c>
      <c r="N1128" s="1">
        <v>0.001126935</v>
      </c>
      <c r="O1128" s="1">
        <v>0.001194904</v>
      </c>
      <c r="P1128" s="1">
        <v>0.001310529</v>
      </c>
      <c r="Q1128" s="1">
        <v>0.00141362</v>
      </c>
      <c r="R1128" s="1">
        <v>0.001503524</v>
      </c>
      <c r="S1128" s="1">
        <v>0.001576534</v>
      </c>
    </row>
    <row r="1129" ht="14.25" hidden="1" customHeight="1">
      <c r="A1129" s="1" t="s">
        <v>5</v>
      </c>
      <c r="B1129" s="1" t="s">
        <v>64</v>
      </c>
      <c r="C1129" s="1" t="s">
        <v>21</v>
      </c>
      <c r="D1129" s="1" t="s">
        <v>24</v>
      </c>
      <c r="E1129" s="2">
        <v>1.411014E-4</v>
      </c>
      <c r="F1129" s="2">
        <v>4.389013E-4</v>
      </c>
      <c r="G1129" s="2">
        <v>8.76101E-4</v>
      </c>
      <c r="H1129" s="1">
        <v>0.0012509441</v>
      </c>
      <c r="I1129" s="1">
        <v>0.001014216</v>
      </c>
      <c r="J1129" s="1">
        <v>0.001110807</v>
      </c>
      <c r="K1129" s="1">
        <v>0.001010479</v>
      </c>
      <c r="L1129" s="2">
        <v>9.91233E-4</v>
      </c>
      <c r="M1129" s="2">
        <v>9.55198E-4</v>
      </c>
      <c r="N1129" s="2">
        <v>9.41531999999999E-4</v>
      </c>
      <c r="O1129" s="2">
        <v>9.19233E-4</v>
      </c>
      <c r="P1129" s="2">
        <v>9.26228E-4</v>
      </c>
      <c r="Q1129" s="2">
        <v>9.2543E-4</v>
      </c>
      <c r="R1129" s="2">
        <v>9.19289E-4</v>
      </c>
      <c r="S1129" s="2">
        <v>9.07748E-4</v>
      </c>
    </row>
    <row r="1130" ht="14.25" hidden="1" customHeight="1">
      <c r="A1130" s="1" t="s">
        <v>5</v>
      </c>
      <c r="B1130" s="1" t="s">
        <v>64</v>
      </c>
      <c r="C1130" s="1" t="s">
        <v>21</v>
      </c>
      <c r="D1130" s="1" t="s">
        <v>12</v>
      </c>
      <c r="E1130" s="2">
        <v>9.7E-6</v>
      </c>
      <c r="F1130" s="2">
        <v>3.01E-5</v>
      </c>
      <c r="G1130" s="2">
        <v>5.99541E-5</v>
      </c>
      <c r="H1130" s="2">
        <v>6.0098E-5</v>
      </c>
      <c r="I1130" s="2">
        <v>7.7886E-5</v>
      </c>
      <c r="J1130" s="2">
        <v>1.93815E-4</v>
      </c>
      <c r="K1130" s="2">
        <v>2.03472E-4</v>
      </c>
      <c r="L1130" s="2">
        <v>2.12781E-4</v>
      </c>
      <c r="M1130" s="2">
        <v>2.17663E-4</v>
      </c>
      <c r="N1130" s="2">
        <v>2.27631E-4</v>
      </c>
      <c r="O1130" s="2">
        <v>2.33803E-4</v>
      </c>
      <c r="P1130" s="2">
        <v>2.36427E-4</v>
      </c>
      <c r="Q1130" s="2">
        <v>2.37721E-4</v>
      </c>
      <c r="R1130" s="2">
        <v>2.37922E-4</v>
      </c>
      <c r="S1130" s="2">
        <v>2.36715E-4</v>
      </c>
    </row>
    <row r="1131" ht="14.25" hidden="1" customHeight="1">
      <c r="A1131" s="1" t="s">
        <v>5</v>
      </c>
      <c r="B1131" s="1" t="s">
        <v>64</v>
      </c>
      <c r="C1131" s="1" t="s">
        <v>21</v>
      </c>
      <c r="D1131" s="1" t="s">
        <v>13</v>
      </c>
      <c r="E1131" s="2">
        <v>1.63123E-4</v>
      </c>
      <c r="F1131" s="2">
        <v>5.07349E-4</v>
      </c>
      <c r="G1131" s="1">
        <v>0.00150476</v>
      </c>
      <c r="H1131" s="1">
        <v>0.001124545</v>
      </c>
      <c r="I1131" s="1">
        <v>0.001005693</v>
      </c>
      <c r="J1131" s="1">
        <v>0.0017013511</v>
      </c>
      <c r="K1131" s="1">
        <v>0.0024750077</v>
      </c>
      <c r="L1131" s="1">
        <v>0.0035341864</v>
      </c>
      <c r="M1131" s="1">
        <v>0.004834545</v>
      </c>
      <c r="N1131" s="1">
        <v>0.006341272</v>
      </c>
      <c r="O1131" s="1">
        <v>0.007758087</v>
      </c>
      <c r="P1131" s="1">
        <v>0.009029726</v>
      </c>
      <c r="Q1131" s="1">
        <v>0.010196323</v>
      </c>
      <c r="R1131" s="1">
        <v>0.0112616</v>
      </c>
      <c r="S1131" s="1">
        <v>0.01226206</v>
      </c>
    </row>
    <row r="1132" ht="14.25" hidden="1" customHeight="1">
      <c r="A1132" s="1" t="s">
        <v>5</v>
      </c>
      <c r="B1132" s="1" t="s">
        <v>64</v>
      </c>
      <c r="C1132" s="1" t="s">
        <v>21</v>
      </c>
      <c r="D1132" s="1" t="s">
        <v>14</v>
      </c>
      <c r="E1132" s="2">
        <v>1.02E-5</v>
      </c>
      <c r="F1132" s="2">
        <v>3.17061E-5</v>
      </c>
      <c r="G1132" s="2">
        <v>9.4003E-5</v>
      </c>
      <c r="H1132" s="2">
        <v>6.874181E-4</v>
      </c>
      <c r="I1132" s="1">
        <v>0.001636509</v>
      </c>
      <c r="J1132" s="1">
        <v>0.001657064</v>
      </c>
      <c r="K1132" s="1">
        <v>0.001529308</v>
      </c>
      <c r="L1132" s="1">
        <v>0.001438811</v>
      </c>
      <c r="M1132" s="1">
        <v>0.001600678</v>
      </c>
      <c r="N1132" s="1">
        <v>0.001674146</v>
      </c>
      <c r="O1132" s="1">
        <v>0.001810583</v>
      </c>
      <c r="P1132" s="1">
        <v>0.001978841</v>
      </c>
      <c r="Q1132" s="1">
        <v>0.00209929</v>
      </c>
      <c r="R1132" s="1">
        <v>0.002207041</v>
      </c>
      <c r="S1132" s="1">
        <v>0.002302138</v>
      </c>
    </row>
    <row r="1133" ht="14.25" hidden="1" customHeight="1">
      <c r="A1133" s="1" t="s">
        <v>5</v>
      </c>
      <c r="B1133" s="1" t="s">
        <v>64</v>
      </c>
      <c r="C1133" s="1" t="s">
        <v>21</v>
      </c>
      <c r="D1133" s="1" t="s">
        <v>25</v>
      </c>
      <c r="E1133" s="2">
        <v>1.02E-5</v>
      </c>
      <c r="F1133" s="2">
        <v>3.17E-5</v>
      </c>
      <c r="G1133" s="2">
        <v>9.4E-5</v>
      </c>
      <c r="H1133" s="2">
        <v>1.202424E-4</v>
      </c>
      <c r="I1133" s="2">
        <v>1.430923E-4</v>
      </c>
      <c r="J1133" s="2">
        <v>1.862462E-4</v>
      </c>
      <c r="K1133" s="2">
        <v>2.028257E-4</v>
      </c>
      <c r="L1133" s="2">
        <v>2.208097E-4</v>
      </c>
      <c r="M1133" s="2">
        <v>2.33777E-4</v>
      </c>
      <c r="N1133" s="2">
        <v>2.627792E-4</v>
      </c>
      <c r="O1133" s="2">
        <v>2.93166E-4</v>
      </c>
      <c r="P1133" s="2">
        <v>3.22675E-4</v>
      </c>
      <c r="Q1133" s="2">
        <v>3.55633E-4</v>
      </c>
      <c r="R1133" s="2">
        <v>3.8883E-4</v>
      </c>
      <c r="S1133" s="2">
        <v>4.19714E-4</v>
      </c>
    </row>
    <row r="1134" ht="14.25" hidden="1" customHeight="1">
      <c r="A1134" s="1" t="s">
        <v>5</v>
      </c>
      <c r="B1134" s="1" t="s">
        <v>64</v>
      </c>
      <c r="C1134" s="1" t="s">
        <v>21</v>
      </c>
      <c r="D1134" s="1" t="s">
        <v>26</v>
      </c>
      <c r="E1134" s="2">
        <v>2.03911399999999E-5</v>
      </c>
      <c r="F1134" s="2">
        <v>6.34047E-5</v>
      </c>
      <c r="G1134" s="2">
        <v>1.881038E-4</v>
      </c>
      <c r="H1134" s="2">
        <v>3.238914E-4</v>
      </c>
      <c r="I1134" s="2">
        <v>4.877576E-4</v>
      </c>
      <c r="J1134" s="2">
        <v>9.023909E-4</v>
      </c>
      <c r="K1134" s="1">
        <v>0.001131818</v>
      </c>
      <c r="L1134" s="1">
        <v>0.001388437</v>
      </c>
      <c r="M1134" s="1">
        <v>0.00166496899999999</v>
      </c>
      <c r="N1134" s="1">
        <v>0.002192343</v>
      </c>
      <c r="O1134" s="1">
        <v>0.002797972</v>
      </c>
      <c r="P1134" s="1">
        <v>0.003415276</v>
      </c>
      <c r="Q1134" s="1">
        <v>0.004118135</v>
      </c>
      <c r="R1134" s="1">
        <v>0.004884533</v>
      </c>
      <c r="S1134" s="1">
        <v>0.005670039</v>
      </c>
    </row>
    <row r="1135" ht="14.25" hidden="1" customHeight="1">
      <c r="A1135" s="1" t="s">
        <v>5</v>
      </c>
      <c r="B1135" s="1" t="s">
        <v>64</v>
      </c>
      <c r="C1135" s="1" t="s">
        <v>21</v>
      </c>
      <c r="D1135" s="1" t="s">
        <v>27</v>
      </c>
      <c r="E1135" s="2">
        <v>1.365987E-4</v>
      </c>
      <c r="F1135" s="2">
        <v>4.250001E-4</v>
      </c>
      <c r="G1135" s="1">
        <v>0.001260302</v>
      </c>
      <c r="H1135" s="1">
        <v>0.002261163</v>
      </c>
      <c r="I1135" s="1">
        <v>0.002191776</v>
      </c>
      <c r="J1135" s="1">
        <v>0.0038440576</v>
      </c>
      <c r="K1135" s="1">
        <v>0.004378537</v>
      </c>
      <c r="L1135" s="1">
        <v>0.004989289</v>
      </c>
      <c r="M1135" s="1">
        <v>0.005720536</v>
      </c>
      <c r="N1135" s="1">
        <v>0.00643083</v>
      </c>
      <c r="O1135" s="1">
        <v>0.007105361</v>
      </c>
      <c r="P1135" s="1">
        <v>0.007898466</v>
      </c>
      <c r="Q1135" s="1">
        <v>0.00871947</v>
      </c>
      <c r="R1135" s="1">
        <v>0.00949911</v>
      </c>
      <c r="S1135" s="1">
        <v>0.01024932</v>
      </c>
    </row>
    <row r="1136" ht="14.25" hidden="1" customHeight="1">
      <c r="A1136" s="1" t="s">
        <v>5</v>
      </c>
      <c r="B1136" s="1" t="s">
        <v>64</v>
      </c>
      <c r="C1136" s="1" t="s">
        <v>21</v>
      </c>
      <c r="D1136" s="1" t="s">
        <v>28</v>
      </c>
      <c r="E1136" s="2">
        <v>1.02E-5</v>
      </c>
      <c r="F1136" s="2">
        <v>3.17E-5</v>
      </c>
      <c r="G1136" s="2">
        <v>9.4E-5</v>
      </c>
      <c r="H1136" s="2">
        <v>9.87523E-5</v>
      </c>
      <c r="I1136" s="2">
        <v>1.09984E-4</v>
      </c>
      <c r="J1136" s="2">
        <v>1.49258E-4</v>
      </c>
      <c r="K1136" s="2">
        <v>1.62408E-4</v>
      </c>
      <c r="L1136" s="2">
        <v>1.76716E-4</v>
      </c>
      <c r="M1136" s="2">
        <v>1.8704E-4</v>
      </c>
      <c r="N1136" s="2">
        <v>2.10225E-4</v>
      </c>
      <c r="O1136" s="2">
        <v>2.34531E-4</v>
      </c>
      <c r="P1136" s="2">
        <v>2.58137E-4</v>
      </c>
      <c r="Q1136" s="2">
        <v>2.84504E-4</v>
      </c>
      <c r="R1136" s="2">
        <v>3.11062E-4</v>
      </c>
      <c r="S1136" s="2">
        <v>3.35769E-4</v>
      </c>
    </row>
    <row r="1137" ht="14.25" hidden="1" customHeight="1">
      <c r="A1137" s="1" t="s">
        <v>5</v>
      </c>
      <c r="B1137" s="1" t="s">
        <v>64</v>
      </c>
      <c r="C1137" s="1" t="s">
        <v>29</v>
      </c>
      <c r="D1137" s="1" t="s">
        <v>16</v>
      </c>
      <c r="E1137" s="2">
        <v>6.63884E-4</v>
      </c>
      <c r="F1137" s="1">
        <v>0.00127464</v>
      </c>
      <c r="G1137" s="1">
        <v>0.00155311</v>
      </c>
      <c r="H1137" s="1">
        <v>0.001759901</v>
      </c>
      <c r="I1137" s="1">
        <v>0.001289678</v>
      </c>
      <c r="J1137" s="1">
        <v>0.001700151</v>
      </c>
      <c r="K1137" s="1">
        <v>0.001619699</v>
      </c>
      <c r="L1137" s="1">
        <v>0.001522575</v>
      </c>
      <c r="M1137" s="1">
        <v>0.0012713397</v>
      </c>
      <c r="N1137" s="1">
        <v>0.001273624</v>
      </c>
      <c r="O1137" s="1">
        <v>0.0013516549</v>
      </c>
      <c r="P1137" s="1">
        <v>0.001445755</v>
      </c>
      <c r="Q1137" s="1">
        <v>0.0015793265</v>
      </c>
      <c r="R1137" s="1">
        <v>0.0017314658</v>
      </c>
      <c r="S1137" s="1">
        <v>0.0018725154</v>
      </c>
    </row>
    <row r="1138" ht="14.25" hidden="1" customHeight="1">
      <c r="A1138" s="1" t="s">
        <v>5</v>
      </c>
      <c r="B1138" s="1" t="s">
        <v>64</v>
      </c>
      <c r="C1138" s="1" t="s">
        <v>29</v>
      </c>
      <c r="D1138" s="1" t="s">
        <v>8</v>
      </c>
      <c r="E1138" s="2">
        <v>4.43006E-5</v>
      </c>
      <c r="F1138" s="2">
        <v>8.49985E-5</v>
      </c>
      <c r="G1138" s="2">
        <v>1.03509E-4</v>
      </c>
      <c r="H1138" s="2">
        <v>8.00513739999999E-5</v>
      </c>
      <c r="I1138" s="2">
        <v>6.002319E-5</v>
      </c>
      <c r="J1138" s="2">
        <v>9.233146E-5</v>
      </c>
      <c r="K1138" s="2">
        <v>1.03127086999999E-4</v>
      </c>
      <c r="L1138" s="2">
        <v>1.172425142E-4</v>
      </c>
      <c r="M1138" s="2">
        <v>1.152017049E-4</v>
      </c>
      <c r="N1138" s="2">
        <v>1.370527E-4</v>
      </c>
      <c r="O1138" s="2">
        <v>1.54624089999999E-4</v>
      </c>
      <c r="P1138" s="2">
        <v>1.6994526E-4</v>
      </c>
      <c r="Q1138" s="2">
        <v>1.87897199999999E-4</v>
      </c>
      <c r="R1138" s="2">
        <v>2.0635603E-4</v>
      </c>
      <c r="S1138" s="2">
        <v>2.2394536E-4</v>
      </c>
    </row>
    <row r="1139" ht="14.25" hidden="1" customHeight="1">
      <c r="A1139" s="1" t="s">
        <v>5</v>
      </c>
      <c r="B1139" s="1" t="s">
        <v>64</v>
      </c>
      <c r="C1139" s="1" t="s">
        <v>29</v>
      </c>
      <c r="D1139" s="1" t="s">
        <v>10</v>
      </c>
      <c r="E1139" s="2">
        <v>2.241E-5</v>
      </c>
      <c r="F1139" s="2">
        <v>4.29918E-5</v>
      </c>
      <c r="G1139" s="2">
        <v>1.4411E-4</v>
      </c>
      <c r="H1139" s="1">
        <v>0.001100359</v>
      </c>
      <c r="I1139" s="2">
        <v>9.447542E-4</v>
      </c>
      <c r="J1139" s="2">
        <v>7.839552038E-4</v>
      </c>
      <c r="K1139" s="2">
        <v>5.650755162E-4</v>
      </c>
      <c r="L1139" s="2">
        <v>3.37349919599999E-4</v>
      </c>
      <c r="M1139" s="2">
        <v>1.59839471899999E-4</v>
      </c>
      <c r="N1139" s="2">
        <v>2.784573421E-5</v>
      </c>
      <c r="O1139" s="2">
        <v>2.40414076699999E-5</v>
      </c>
      <c r="P1139" s="2">
        <v>1.99775699999999E-5</v>
      </c>
      <c r="Q1139" s="2">
        <v>1.597222E-5</v>
      </c>
      <c r="R1139" s="2">
        <v>1.4148298E-5</v>
      </c>
      <c r="S1139" s="2">
        <v>1.3069032E-5</v>
      </c>
    </row>
    <row r="1140" ht="14.25" hidden="1" customHeight="1">
      <c r="A1140" s="1" t="s">
        <v>5</v>
      </c>
      <c r="B1140" s="1" t="s">
        <v>64</v>
      </c>
      <c r="C1140" s="1" t="s">
        <v>29</v>
      </c>
      <c r="D1140" s="1" t="s">
        <v>11</v>
      </c>
      <c r="E1140" s="2">
        <v>3.18098E-4</v>
      </c>
      <c r="F1140" s="2">
        <v>6.108E-4</v>
      </c>
      <c r="G1140" s="1">
        <v>0.00204689</v>
      </c>
      <c r="H1140" s="1">
        <v>0.00158221285</v>
      </c>
      <c r="I1140" s="1">
        <v>0.00132797746</v>
      </c>
      <c r="J1140" s="1">
        <v>0.00219748418999999</v>
      </c>
      <c r="K1140" s="1">
        <v>0.00271603742</v>
      </c>
      <c r="L1140" s="1">
        <v>0.00356119565799999</v>
      </c>
      <c r="M1140" s="1">
        <v>0.00390109038599999</v>
      </c>
      <c r="N1140" s="1">
        <v>0.004511456</v>
      </c>
      <c r="O1140" s="1">
        <v>0.00489376199999999</v>
      </c>
      <c r="P1140" s="1">
        <v>0.005079945</v>
      </c>
      <c r="Q1140" s="1">
        <v>0.005279429</v>
      </c>
      <c r="R1140" s="1">
        <v>0.00542540899999999</v>
      </c>
      <c r="S1140" s="1">
        <v>0.00556469899999999</v>
      </c>
    </row>
    <row r="1141" ht="14.25" hidden="1" customHeight="1">
      <c r="A1141" s="1" t="s">
        <v>5</v>
      </c>
      <c r="B1141" s="1" t="s">
        <v>64</v>
      </c>
      <c r="C1141" s="1" t="s">
        <v>29</v>
      </c>
      <c r="D1141" s="1" t="s">
        <v>13</v>
      </c>
      <c r="E1141" s="2">
        <v>2.31033E-5</v>
      </c>
      <c r="F1141" s="2">
        <v>4.42955E-5</v>
      </c>
      <c r="G1141" s="2">
        <v>2.32094E-4</v>
      </c>
      <c r="H1141" s="1">
        <v>0.00434075099999999</v>
      </c>
      <c r="I1141" s="1">
        <v>0.004912167</v>
      </c>
      <c r="J1141" s="1">
        <v>0.00553325</v>
      </c>
      <c r="K1141" s="1">
        <v>0.0065231214</v>
      </c>
      <c r="L1141" s="1">
        <v>0.0070906916</v>
      </c>
      <c r="M1141" s="1">
        <v>0.007544347</v>
      </c>
      <c r="N1141" s="1">
        <v>0.007656247</v>
      </c>
      <c r="O1141" s="1">
        <v>0.007947988</v>
      </c>
      <c r="P1141" s="1">
        <v>0.008182777</v>
      </c>
      <c r="Q1141" s="1">
        <v>0.008545387</v>
      </c>
      <c r="R1141" s="1">
        <v>0.00900240999999999</v>
      </c>
      <c r="S1141" s="1">
        <v>0.009475364</v>
      </c>
    </row>
    <row r="1142" ht="14.25" hidden="1" customHeight="1">
      <c r="A1142" s="1" t="s">
        <v>5</v>
      </c>
      <c r="B1142" s="1" t="s">
        <v>64</v>
      </c>
      <c r="C1142" s="1" t="s">
        <v>29</v>
      </c>
      <c r="D1142" s="1" t="s">
        <v>14</v>
      </c>
      <c r="E1142" s="2">
        <v>5.998E-4</v>
      </c>
      <c r="F1142" s="1">
        <v>0.00115182</v>
      </c>
      <c r="G1142" s="1">
        <v>0.00603599</v>
      </c>
      <c r="H1142" s="1">
        <v>0.004888602</v>
      </c>
      <c r="I1142" s="1">
        <v>0.004272197</v>
      </c>
      <c r="J1142" s="1">
        <v>0.00459729499999999</v>
      </c>
      <c r="K1142" s="1">
        <v>0.004992766</v>
      </c>
      <c r="L1142" s="1">
        <v>0.0053960045</v>
      </c>
      <c r="M1142" s="1">
        <v>0.0052399254</v>
      </c>
      <c r="N1142" s="1">
        <v>0.0060282653</v>
      </c>
      <c r="O1142" s="1">
        <v>0.00679900699999999</v>
      </c>
      <c r="P1142" s="1">
        <v>0.007506216</v>
      </c>
      <c r="Q1142" s="1">
        <v>0.008321871</v>
      </c>
      <c r="R1142" s="1">
        <v>0.009200231</v>
      </c>
      <c r="S1142" s="1">
        <v>0.010096042</v>
      </c>
    </row>
    <row r="1143" ht="14.25" hidden="1" customHeight="1">
      <c r="A1143" s="1" t="s">
        <v>5</v>
      </c>
      <c r="B1143" s="1" t="s">
        <v>64</v>
      </c>
      <c r="C1143" s="1" t="s">
        <v>31</v>
      </c>
      <c r="D1143" s="1" t="s">
        <v>11</v>
      </c>
      <c r="E1143" s="1">
        <v>0.0375994</v>
      </c>
      <c r="F1143" s="1">
        <v>0.0440535</v>
      </c>
      <c r="G1143" s="1">
        <v>0.0468226</v>
      </c>
      <c r="H1143" s="1">
        <v>0.0429926</v>
      </c>
      <c r="I1143" s="1">
        <v>0.0705474</v>
      </c>
      <c r="J1143" s="1">
        <v>0.00637208</v>
      </c>
      <c r="K1143" s="1">
        <v>0.00405182</v>
      </c>
      <c r="L1143" s="1">
        <v>0.00431317</v>
      </c>
      <c r="M1143" s="1">
        <v>0.00310177</v>
      </c>
      <c r="N1143" s="1">
        <v>0.00146</v>
      </c>
      <c r="O1143" s="1">
        <v>0.0</v>
      </c>
      <c r="P1143" s="1">
        <v>0.0</v>
      </c>
      <c r="Q1143" s="1">
        <v>0.0</v>
      </c>
      <c r="R1143" s="1">
        <v>0.0</v>
      </c>
      <c r="S1143" s="1">
        <v>0.0</v>
      </c>
    </row>
    <row r="1144" ht="14.25" hidden="1" customHeight="1">
      <c r="A1144" s="1" t="s">
        <v>5</v>
      </c>
      <c r="B1144" s="1" t="s">
        <v>65</v>
      </c>
      <c r="C1144" s="1" t="s">
        <v>7</v>
      </c>
      <c r="D1144" s="1" t="s">
        <v>8</v>
      </c>
      <c r="E1144" s="1">
        <v>0.0229056</v>
      </c>
      <c r="F1144" s="1">
        <v>0.0291615</v>
      </c>
      <c r="G1144" s="1">
        <v>0.0312084</v>
      </c>
      <c r="H1144" s="1">
        <v>0.00449419</v>
      </c>
      <c r="I1144" s="1">
        <v>0.00609456</v>
      </c>
      <c r="J1144" s="2">
        <v>5.61225E-4</v>
      </c>
      <c r="K1144" s="2">
        <v>3.32265E-4</v>
      </c>
      <c r="L1144" s="2">
        <v>2.83731E-4</v>
      </c>
      <c r="M1144" s="2">
        <v>1.94936E-4</v>
      </c>
      <c r="N1144" s="2">
        <v>1.12216E-4</v>
      </c>
      <c r="O1144" s="1">
        <v>0.0</v>
      </c>
      <c r="P1144" s="1">
        <v>0.0</v>
      </c>
      <c r="Q1144" s="1">
        <v>0.0</v>
      </c>
      <c r="R1144" s="1">
        <v>0.0</v>
      </c>
      <c r="S1144" s="1">
        <v>0.0</v>
      </c>
    </row>
    <row r="1145" ht="14.25" hidden="1" customHeight="1">
      <c r="A1145" s="1" t="s">
        <v>5</v>
      </c>
      <c r="B1145" s="1" t="s">
        <v>65</v>
      </c>
      <c r="C1145" s="1" t="s">
        <v>9</v>
      </c>
      <c r="D1145" s="1" t="s">
        <v>8</v>
      </c>
      <c r="E1145" s="1">
        <v>0.0112282</v>
      </c>
      <c r="F1145" s="1">
        <v>0.00984755</v>
      </c>
      <c r="G1145" s="1">
        <v>0.0144837</v>
      </c>
      <c r="H1145" s="1">
        <v>0.00596493</v>
      </c>
      <c r="I1145" s="2">
        <v>2.50147E-4</v>
      </c>
      <c r="J1145" s="2">
        <v>1.14899E-10</v>
      </c>
      <c r="K1145" s="1">
        <v>0.0</v>
      </c>
      <c r="L1145" s="1">
        <v>0.0</v>
      </c>
      <c r="M1145" s="1">
        <v>0.0</v>
      </c>
      <c r="N1145" s="1">
        <v>0.0</v>
      </c>
      <c r="O1145" s="1">
        <v>0.0</v>
      </c>
      <c r="P1145" s="1">
        <v>0.0</v>
      </c>
      <c r="Q1145" s="1">
        <v>0.0</v>
      </c>
      <c r="R1145" s="1">
        <v>0.0</v>
      </c>
      <c r="S1145" s="1">
        <v>0.0</v>
      </c>
    </row>
    <row r="1146" ht="14.25" hidden="1" customHeight="1">
      <c r="A1146" s="1" t="s">
        <v>5</v>
      </c>
      <c r="B1146" s="1" t="s">
        <v>65</v>
      </c>
      <c r="C1146" s="1" t="s">
        <v>9</v>
      </c>
      <c r="D1146" s="1" t="s">
        <v>10</v>
      </c>
      <c r="E1146" s="1">
        <v>0.00199572</v>
      </c>
      <c r="F1146" s="1">
        <v>0.00175032</v>
      </c>
      <c r="G1146" s="1">
        <v>0.0015763</v>
      </c>
      <c r="H1146" s="2">
        <v>3.57861E-6</v>
      </c>
      <c r="I1146" s="1">
        <v>0.00243019</v>
      </c>
      <c r="J1146" s="1">
        <v>0.0469934</v>
      </c>
      <c r="K1146" s="1">
        <v>0.0</v>
      </c>
      <c r="L1146" s="1">
        <v>0.0</v>
      </c>
      <c r="M1146" s="1">
        <v>0.0</v>
      </c>
      <c r="N1146" s="1">
        <v>0.0</v>
      </c>
      <c r="O1146" s="1">
        <v>0.0</v>
      </c>
      <c r="P1146" s="1">
        <v>0.0</v>
      </c>
      <c r="Q1146" s="1">
        <v>0.0</v>
      </c>
      <c r="R1146" s="1">
        <v>0.0</v>
      </c>
      <c r="S1146" s="1">
        <v>0.0</v>
      </c>
    </row>
    <row r="1147" ht="14.25" hidden="1" customHeight="1">
      <c r="A1147" s="1" t="s">
        <v>5</v>
      </c>
      <c r="B1147" s="1" t="s">
        <v>65</v>
      </c>
      <c r="C1147" s="1" t="s">
        <v>9</v>
      </c>
      <c r="D1147" s="1" t="s">
        <v>11</v>
      </c>
      <c r="E1147" s="1">
        <v>0.0019957</v>
      </c>
      <c r="F1147" s="1">
        <v>0.0017503</v>
      </c>
      <c r="G1147" s="1">
        <v>0.0015763</v>
      </c>
      <c r="H1147" s="2">
        <v>1.26374E-4</v>
      </c>
      <c r="I1147" s="1">
        <v>0.0</v>
      </c>
      <c r="J1147" s="2">
        <v>7.56735E-4</v>
      </c>
      <c r="K1147" s="1">
        <v>0.0</v>
      </c>
      <c r="L1147" s="1">
        <v>0.0</v>
      </c>
      <c r="M1147" s="1">
        <v>0.0</v>
      </c>
      <c r="N1147" s="1">
        <v>0.0</v>
      </c>
      <c r="O1147" s="1">
        <v>0.0</v>
      </c>
      <c r="P1147" s="1">
        <v>0.0</v>
      </c>
      <c r="Q1147" s="1">
        <v>0.0</v>
      </c>
      <c r="R1147" s="1">
        <v>0.0</v>
      </c>
      <c r="S1147" s="1">
        <v>0.0</v>
      </c>
    </row>
    <row r="1148" ht="14.25" hidden="1" customHeight="1">
      <c r="A1148" s="1" t="s">
        <v>5</v>
      </c>
      <c r="B1148" s="1" t="s">
        <v>65</v>
      </c>
      <c r="C1148" s="1" t="s">
        <v>9</v>
      </c>
      <c r="D1148" s="1" t="s">
        <v>12</v>
      </c>
      <c r="E1148" s="2">
        <v>1.99557E-4</v>
      </c>
      <c r="F1148" s="2">
        <v>1.75102E-4</v>
      </c>
      <c r="G1148" s="2">
        <v>1.57754E-4</v>
      </c>
      <c r="H1148" s="2">
        <v>1.62447E-4</v>
      </c>
      <c r="I1148" s="2">
        <v>4.93003E-5</v>
      </c>
      <c r="J1148" s="2">
        <v>2.32869E-5</v>
      </c>
      <c r="K1148" s="1">
        <v>0.0</v>
      </c>
      <c r="L1148" s="1">
        <v>0.0</v>
      </c>
      <c r="M1148" s="1">
        <v>0.0</v>
      </c>
      <c r="N1148" s="1">
        <v>0.0</v>
      </c>
      <c r="O1148" s="1">
        <v>0.0</v>
      </c>
      <c r="P1148" s="1">
        <v>0.0</v>
      </c>
      <c r="Q1148" s="1">
        <v>0.0</v>
      </c>
      <c r="R1148" s="1">
        <v>0.0</v>
      </c>
      <c r="S1148" s="1">
        <v>0.0</v>
      </c>
    </row>
    <row r="1149" ht="14.25" hidden="1" customHeight="1">
      <c r="A1149" s="1" t="s">
        <v>5</v>
      </c>
      <c r="B1149" s="1" t="s">
        <v>65</v>
      </c>
      <c r="C1149" s="1" t="s">
        <v>9</v>
      </c>
      <c r="D1149" s="1" t="s">
        <v>13</v>
      </c>
      <c r="E1149" s="1">
        <v>0.0</v>
      </c>
      <c r="F1149" s="1">
        <v>0.0</v>
      </c>
      <c r="G1149" s="1">
        <v>0.0</v>
      </c>
      <c r="H1149" s="1">
        <v>0.00551355</v>
      </c>
      <c r="I1149" s="1">
        <v>0.0</v>
      </c>
      <c r="J1149" s="1">
        <v>0.0</v>
      </c>
      <c r="K1149" s="1">
        <v>0.0</v>
      </c>
      <c r="L1149" s="1">
        <v>0.0</v>
      </c>
      <c r="M1149" s="1">
        <v>0.0</v>
      </c>
      <c r="N1149" s="1">
        <v>0.0</v>
      </c>
      <c r="O1149" s="1">
        <v>0.0</v>
      </c>
      <c r="P1149" s="1">
        <v>0.0</v>
      </c>
      <c r="Q1149" s="1">
        <v>0.0</v>
      </c>
      <c r="R1149" s="1">
        <v>0.0</v>
      </c>
      <c r="S1149" s="1">
        <v>0.0</v>
      </c>
    </row>
    <row r="1150" ht="14.25" hidden="1" customHeight="1">
      <c r="A1150" s="1" t="s">
        <v>5</v>
      </c>
      <c r="B1150" s="1" t="s">
        <v>65</v>
      </c>
      <c r="C1150" s="1" t="s">
        <v>9</v>
      </c>
      <c r="D1150" s="1" t="s">
        <v>14</v>
      </c>
      <c r="E1150" s="1">
        <v>0.0</v>
      </c>
      <c r="F1150" s="1">
        <v>0.0</v>
      </c>
      <c r="G1150" s="1">
        <v>0.0</v>
      </c>
      <c r="H1150" s="2">
        <v>5.35414E-4</v>
      </c>
      <c r="I1150" s="1">
        <v>0.0</v>
      </c>
      <c r="J1150" s="1">
        <v>0.0</v>
      </c>
      <c r="K1150" s="1">
        <v>0.0</v>
      </c>
      <c r="L1150" s="1">
        <v>0.0</v>
      </c>
      <c r="M1150" s="1">
        <v>0.0</v>
      </c>
      <c r="N1150" s="1">
        <v>0.0</v>
      </c>
      <c r="O1150" s="1">
        <v>0.0</v>
      </c>
      <c r="P1150" s="1">
        <v>0.0</v>
      </c>
      <c r="Q1150" s="1">
        <v>0.0</v>
      </c>
      <c r="R1150" s="1">
        <v>0.0</v>
      </c>
      <c r="S1150" s="1">
        <v>0.0</v>
      </c>
    </row>
    <row r="1151" ht="14.25" hidden="1" customHeight="1">
      <c r="A1151" s="1" t="s">
        <v>5</v>
      </c>
      <c r="B1151" s="1" t="s">
        <v>65</v>
      </c>
      <c r="C1151" s="1" t="s">
        <v>15</v>
      </c>
      <c r="D1151" s="1" t="s">
        <v>16</v>
      </c>
      <c r="E1151" s="1">
        <v>0.0</v>
      </c>
      <c r="F1151" s="1">
        <v>0.0</v>
      </c>
      <c r="G1151" s="1">
        <v>0.0</v>
      </c>
      <c r="H1151" s="1">
        <v>0.00232189</v>
      </c>
      <c r="I1151" s="1">
        <v>0.00213786399999999</v>
      </c>
      <c r="J1151" s="1">
        <v>0.008765926</v>
      </c>
      <c r="K1151" s="1">
        <v>0.0152986811</v>
      </c>
      <c r="L1151" s="1">
        <v>0.0233817887999999</v>
      </c>
      <c r="M1151" s="1">
        <v>0.0347218274999999</v>
      </c>
      <c r="N1151" s="1">
        <v>0.0446086177</v>
      </c>
      <c r="O1151" s="1">
        <v>0.055213406</v>
      </c>
      <c r="P1151" s="1">
        <v>0.06636776</v>
      </c>
      <c r="Q1151" s="1">
        <v>0.07805403</v>
      </c>
      <c r="R1151" s="1">
        <v>0.0901645</v>
      </c>
      <c r="S1151" s="1">
        <v>0.10276435</v>
      </c>
    </row>
    <row r="1152" ht="14.25" hidden="1" customHeight="1">
      <c r="A1152" s="1" t="s">
        <v>5</v>
      </c>
      <c r="B1152" s="1" t="s">
        <v>65</v>
      </c>
      <c r="C1152" s="1" t="s">
        <v>15</v>
      </c>
      <c r="D1152" s="1" t="s">
        <v>13</v>
      </c>
      <c r="E1152" s="1">
        <v>0.0</v>
      </c>
      <c r="F1152" s="1">
        <v>0.0</v>
      </c>
      <c r="G1152" s="2">
        <v>5.00001E-7</v>
      </c>
      <c r="H1152" s="2">
        <v>3.85945E-7</v>
      </c>
      <c r="I1152" s="2">
        <v>3.23914E-7</v>
      </c>
      <c r="J1152" s="2">
        <v>2.50001E-7</v>
      </c>
      <c r="K1152" s="2">
        <v>1.76087E-7</v>
      </c>
      <c r="L1152" s="2">
        <v>1.14056E-7</v>
      </c>
      <c r="M1152" s="1">
        <v>0.0</v>
      </c>
      <c r="N1152" s="1">
        <v>0.0</v>
      </c>
      <c r="O1152" s="1">
        <v>0.0</v>
      </c>
      <c r="P1152" s="1">
        <v>0.0</v>
      </c>
      <c r="Q1152" s="1">
        <v>0.0</v>
      </c>
      <c r="R1152" s="1">
        <v>0.0</v>
      </c>
      <c r="S1152" s="1">
        <v>0.0</v>
      </c>
    </row>
    <row r="1153" ht="14.25" customHeight="1">
      <c r="A1153" s="1" t="s">
        <v>5</v>
      </c>
      <c r="B1153" s="1" t="s">
        <v>65</v>
      </c>
      <c r="C1153" s="1" t="s">
        <v>15</v>
      </c>
      <c r="D1153" s="1" t="s">
        <v>14</v>
      </c>
      <c r="E1153" s="1">
        <v>0.0</v>
      </c>
      <c r="F1153" s="1">
        <v>0.0</v>
      </c>
      <c r="G1153" s="2">
        <v>4.99999E-7</v>
      </c>
      <c r="H1153" s="2">
        <v>3.971756E-7</v>
      </c>
      <c r="I1153" s="1">
        <v>0.00217638366621</v>
      </c>
      <c r="J1153" s="1">
        <v>0.01564281808413</v>
      </c>
      <c r="K1153" s="1">
        <v>0.03120579170228</v>
      </c>
      <c r="L1153" s="1">
        <v>0.04373712720443</v>
      </c>
      <c r="M1153" s="1">
        <v>0.05967959547934</v>
      </c>
      <c r="N1153" s="1">
        <v>0.071059188</v>
      </c>
      <c r="O1153" s="1">
        <v>0.08277123</v>
      </c>
      <c r="P1153" s="1">
        <v>0.09345582</v>
      </c>
      <c r="Q1153" s="1">
        <v>0.10546469</v>
      </c>
      <c r="R1153" s="1">
        <v>0.118164479999999</v>
      </c>
      <c r="S1153" s="1">
        <v>0.13164852</v>
      </c>
    </row>
    <row r="1154" ht="14.25" hidden="1" customHeight="1">
      <c r="A1154" s="1" t="s">
        <v>5</v>
      </c>
      <c r="B1154" s="1" t="s">
        <v>65</v>
      </c>
      <c r="C1154" s="1" t="s">
        <v>17</v>
      </c>
      <c r="D1154" s="1" t="s">
        <v>16</v>
      </c>
      <c r="E1154" s="2">
        <v>1.06999E-5</v>
      </c>
      <c r="F1154" s="2">
        <v>3.34002E-5</v>
      </c>
      <c r="G1154" s="2">
        <v>5.04003E-5</v>
      </c>
      <c r="H1154" s="2">
        <v>1.683612E-4</v>
      </c>
      <c r="I1154" s="2">
        <v>1.4662046E-4</v>
      </c>
      <c r="J1154" s="2">
        <v>3.0206139E-4</v>
      </c>
      <c r="K1154" s="2">
        <v>3.8472391E-4</v>
      </c>
      <c r="L1154" s="2">
        <v>4.6936964E-4</v>
      </c>
      <c r="M1154" s="2">
        <v>6.0493995E-4</v>
      </c>
      <c r="N1154" s="2">
        <v>7.31472564E-4</v>
      </c>
      <c r="O1154" s="2">
        <v>8.973332E-4</v>
      </c>
      <c r="P1154" s="1">
        <v>0.0010899001</v>
      </c>
      <c r="Q1154" s="1">
        <v>0.0012826626</v>
      </c>
      <c r="R1154" s="1">
        <v>0.0014887618</v>
      </c>
      <c r="S1154" s="1">
        <v>0.0017015241</v>
      </c>
    </row>
    <row r="1155" ht="14.25" hidden="1" customHeight="1">
      <c r="A1155" s="1" t="s">
        <v>5</v>
      </c>
      <c r="B1155" s="1" t="s">
        <v>65</v>
      </c>
      <c r="C1155" s="1" t="s">
        <v>17</v>
      </c>
      <c r="D1155" s="1" t="s">
        <v>18</v>
      </c>
      <c r="E1155" s="1">
        <v>0.0025325</v>
      </c>
      <c r="F1155" s="1">
        <v>0.00787838</v>
      </c>
      <c r="G1155" s="1">
        <v>0.0118861</v>
      </c>
      <c r="H1155" s="1">
        <v>0.0080805</v>
      </c>
      <c r="I1155" s="1">
        <v>0.00649999</v>
      </c>
      <c r="J1155" s="1">
        <v>0.0125410499999999</v>
      </c>
      <c r="K1155" s="1">
        <v>0.0153336399999999</v>
      </c>
      <c r="L1155" s="1">
        <v>0.0183918</v>
      </c>
      <c r="M1155" s="1">
        <v>0.02177268</v>
      </c>
      <c r="N1155" s="1">
        <v>0.02549703</v>
      </c>
      <c r="O1155" s="1">
        <v>0.029339082</v>
      </c>
      <c r="P1155" s="1">
        <v>0.033280587</v>
      </c>
      <c r="Q1155" s="1">
        <v>0.037297541</v>
      </c>
      <c r="R1155" s="1">
        <v>0.041404082</v>
      </c>
      <c r="S1155" s="1">
        <v>0.04530425</v>
      </c>
    </row>
    <row r="1156" ht="14.25" hidden="1" customHeight="1">
      <c r="A1156" s="1" t="s">
        <v>5</v>
      </c>
      <c r="B1156" s="1" t="s">
        <v>65</v>
      </c>
      <c r="C1156" s="1" t="s">
        <v>17</v>
      </c>
      <c r="D1156" s="1" t="s">
        <v>19</v>
      </c>
      <c r="E1156" s="1">
        <v>0.0011525</v>
      </c>
      <c r="F1156" s="1">
        <v>0.0035853</v>
      </c>
      <c r="G1156" s="1">
        <v>0.0054092</v>
      </c>
      <c r="H1156" s="1">
        <v>0.00559872</v>
      </c>
      <c r="I1156" s="1">
        <v>0.001692763</v>
      </c>
      <c r="J1156" s="1">
        <v>0.008003832</v>
      </c>
      <c r="K1156" s="1">
        <v>0.00975189</v>
      </c>
      <c r="L1156" s="1">
        <v>0.01187997</v>
      </c>
      <c r="M1156" s="1">
        <v>0.01427718</v>
      </c>
      <c r="N1156" s="1">
        <v>0.01702018</v>
      </c>
      <c r="O1156" s="1">
        <v>0.0201313799999999</v>
      </c>
      <c r="P1156" s="1">
        <v>0.02354267</v>
      </c>
      <c r="Q1156" s="1">
        <v>0.02719589</v>
      </c>
      <c r="R1156" s="1">
        <v>0.03100866</v>
      </c>
      <c r="S1156" s="1">
        <v>0.03489204</v>
      </c>
    </row>
    <row r="1157" ht="14.25" hidden="1" customHeight="1">
      <c r="A1157" s="1" t="s">
        <v>5</v>
      </c>
      <c r="B1157" s="1" t="s">
        <v>65</v>
      </c>
      <c r="C1157" s="1" t="s">
        <v>17</v>
      </c>
      <c r="D1157" s="1" t="s">
        <v>8</v>
      </c>
      <c r="E1157" s="2">
        <v>5.10806E-4</v>
      </c>
      <c r="F1157" s="1">
        <v>0.00158899</v>
      </c>
      <c r="G1157" s="1">
        <v>0.00239741</v>
      </c>
      <c r="H1157" s="1">
        <v>0.00692469</v>
      </c>
      <c r="I1157" s="1">
        <v>0.0049567135786</v>
      </c>
      <c r="J1157" s="1">
        <v>0.023032572781</v>
      </c>
      <c r="K1157" s="1">
        <v>0.0307548167893</v>
      </c>
      <c r="L1157" s="1">
        <v>0.0390412757976</v>
      </c>
      <c r="M1157" s="1">
        <v>0.04771743</v>
      </c>
      <c r="N1157" s="1">
        <v>0.05698209</v>
      </c>
      <c r="O1157" s="1">
        <v>0.06731828</v>
      </c>
      <c r="P1157" s="1">
        <v>0.07823642</v>
      </c>
      <c r="Q1157" s="1">
        <v>0.08980625</v>
      </c>
      <c r="R1157" s="1">
        <v>0.1017392</v>
      </c>
      <c r="S1157" s="1">
        <v>0.11375747</v>
      </c>
    </row>
    <row r="1158" ht="14.25" hidden="1" customHeight="1">
      <c r="A1158" s="1" t="s">
        <v>5</v>
      </c>
      <c r="B1158" s="1" t="s">
        <v>65</v>
      </c>
      <c r="C1158" s="1" t="s">
        <v>17</v>
      </c>
      <c r="D1158" s="1" t="s">
        <v>20</v>
      </c>
      <c r="E1158" s="2">
        <v>3.84211E-4</v>
      </c>
      <c r="F1158" s="1">
        <v>0.00119526</v>
      </c>
      <c r="G1158" s="1">
        <v>0.00180316</v>
      </c>
      <c r="H1158" s="1">
        <v>0.001915432</v>
      </c>
      <c r="I1158" s="1">
        <v>0.00119177099999999</v>
      </c>
      <c r="J1158" s="1">
        <v>0.002830333</v>
      </c>
      <c r="K1158" s="1">
        <v>0.00349719</v>
      </c>
      <c r="L1158" s="1">
        <v>0.00417360999999999</v>
      </c>
      <c r="M1158" s="1">
        <v>0.00496498599999999</v>
      </c>
      <c r="N1158" s="1">
        <v>0.00588755099999999</v>
      </c>
      <c r="O1158" s="1">
        <v>0.00692327</v>
      </c>
      <c r="P1158" s="1">
        <v>0.00803978</v>
      </c>
      <c r="Q1158" s="1">
        <v>0.00922763999999999</v>
      </c>
      <c r="R1158" s="1">
        <v>0.01045546</v>
      </c>
      <c r="S1158" s="1">
        <v>0.01168833</v>
      </c>
    </row>
    <row r="1159" ht="14.25" hidden="1" customHeight="1">
      <c r="A1159" s="1" t="s">
        <v>5</v>
      </c>
      <c r="B1159" s="1" t="s">
        <v>65</v>
      </c>
      <c r="C1159" s="1" t="s">
        <v>21</v>
      </c>
      <c r="D1159" s="1" t="s">
        <v>10</v>
      </c>
      <c r="E1159" s="1">
        <v>0.00245072</v>
      </c>
      <c r="F1159" s="1">
        <v>0.00762407</v>
      </c>
      <c r="G1159" s="1">
        <v>0.0124132</v>
      </c>
      <c r="H1159" s="1">
        <v>0.0154199099999999</v>
      </c>
      <c r="I1159" s="1">
        <v>0.01512942</v>
      </c>
      <c r="J1159" s="1">
        <v>0.0100914557</v>
      </c>
      <c r="K1159" s="1">
        <v>0.0291586693</v>
      </c>
      <c r="L1159" s="1">
        <v>0.0320190861</v>
      </c>
      <c r="M1159" s="1">
        <v>0.03419781759</v>
      </c>
      <c r="N1159" s="1">
        <v>0.03528223</v>
      </c>
      <c r="O1159" s="1">
        <v>0.03578526</v>
      </c>
      <c r="P1159" s="1">
        <v>0.03630023</v>
      </c>
      <c r="Q1159" s="1">
        <v>0.0366246999999999</v>
      </c>
      <c r="R1159" s="1">
        <v>0.03675304</v>
      </c>
      <c r="S1159" s="1">
        <v>0.03665944</v>
      </c>
    </row>
    <row r="1160" ht="14.25" hidden="1" customHeight="1">
      <c r="A1160" s="1" t="s">
        <v>5</v>
      </c>
      <c r="B1160" s="1" t="s">
        <v>65</v>
      </c>
      <c r="C1160" s="1" t="s">
        <v>21</v>
      </c>
      <c r="D1160" s="1" t="s">
        <v>11</v>
      </c>
      <c r="E1160" s="2">
        <v>1.08E-5</v>
      </c>
      <c r="F1160" s="2">
        <v>3.37E-5</v>
      </c>
      <c r="G1160" s="2">
        <v>5.49E-5</v>
      </c>
      <c r="H1160" s="2">
        <v>2.655622E-4</v>
      </c>
      <c r="I1160" s="2">
        <v>1.0522216282E-4</v>
      </c>
      <c r="J1160" s="1">
        <v>0.052137700506309</v>
      </c>
      <c r="K1160" s="1">
        <v>0.066302</v>
      </c>
      <c r="L1160" s="1">
        <v>0.0562344999999999</v>
      </c>
      <c r="M1160" s="1">
        <v>0.0510588</v>
      </c>
      <c r="N1160" s="1">
        <v>0.0547396</v>
      </c>
      <c r="O1160" s="1">
        <v>0.0599114999999999</v>
      </c>
      <c r="P1160" s="1">
        <v>0.0499215</v>
      </c>
      <c r="Q1160" s="1">
        <v>0.0443909</v>
      </c>
      <c r="R1160" s="1">
        <v>0.0440452</v>
      </c>
      <c r="S1160" s="1">
        <v>0.0433304</v>
      </c>
    </row>
    <row r="1161" ht="14.25" hidden="1" customHeight="1">
      <c r="A1161" s="1" t="s">
        <v>5</v>
      </c>
      <c r="B1161" s="1" t="s">
        <v>65</v>
      </c>
      <c r="C1161" s="1" t="s">
        <v>21</v>
      </c>
      <c r="D1161" s="1" t="s">
        <v>22</v>
      </c>
      <c r="E1161" s="2">
        <v>3.47E-4</v>
      </c>
      <c r="F1161" s="1">
        <v>0.0010795</v>
      </c>
      <c r="G1161" s="1">
        <v>0.0017576</v>
      </c>
      <c r="H1161" s="1">
        <v>0.001796937</v>
      </c>
      <c r="I1161" s="1">
        <v>0.002433716</v>
      </c>
      <c r="J1161" s="1">
        <v>0.00573771</v>
      </c>
      <c r="K1161" s="1">
        <v>0.00804444</v>
      </c>
      <c r="L1161" s="1">
        <v>0.01028317</v>
      </c>
      <c r="M1161" s="1">
        <v>0.01209814</v>
      </c>
      <c r="N1161" s="1">
        <v>0.0140780499999999</v>
      </c>
      <c r="O1161" s="1">
        <v>0.01594626</v>
      </c>
      <c r="P1161" s="1">
        <v>0.01597464</v>
      </c>
      <c r="Q1161" s="1">
        <v>0.0160327899999999</v>
      </c>
      <c r="R1161" s="1">
        <v>0.01612273</v>
      </c>
      <c r="S1161" s="1">
        <v>0.01620605</v>
      </c>
    </row>
    <row r="1162" ht="14.25" hidden="1" customHeight="1">
      <c r="A1162" s="1" t="s">
        <v>5</v>
      </c>
      <c r="B1162" s="1" t="s">
        <v>65</v>
      </c>
      <c r="C1162" s="1" t="s">
        <v>21</v>
      </c>
      <c r="D1162" s="1" t="s">
        <v>23</v>
      </c>
      <c r="E1162" s="2">
        <v>6.51056E-5</v>
      </c>
      <c r="F1162" s="2">
        <v>2.024125E-4</v>
      </c>
      <c r="G1162" s="2">
        <v>3.29614E-4</v>
      </c>
      <c r="H1162" s="2">
        <v>4.396974E-4</v>
      </c>
      <c r="I1162" s="1">
        <v>0.0010463157</v>
      </c>
      <c r="J1162" s="1">
        <v>0.0027915969</v>
      </c>
      <c r="K1162" s="1">
        <v>0.004891519</v>
      </c>
      <c r="L1162" s="1">
        <v>0.00777956</v>
      </c>
      <c r="M1162" s="1">
        <v>0.01086126</v>
      </c>
      <c r="N1162" s="1">
        <v>0.01435051</v>
      </c>
      <c r="O1162" s="1">
        <v>0.01781917</v>
      </c>
      <c r="P1162" s="1">
        <v>0.01972322</v>
      </c>
      <c r="Q1162" s="1">
        <v>0.02130336</v>
      </c>
      <c r="R1162" s="1">
        <v>0.02261024</v>
      </c>
      <c r="S1162" s="1">
        <v>0.0235555</v>
      </c>
    </row>
    <row r="1163" ht="14.25" hidden="1" customHeight="1">
      <c r="A1163" s="1" t="s">
        <v>5</v>
      </c>
      <c r="B1163" s="1" t="s">
        <v>65</v>
      </c>
      <c r="C1163" s="1" t="s">
        <v>21</v>
      </c>
      <c r="D1163" s="1" t="s">
        <v>24</v>
      </c>
      <c r="E1163" s="1">
        <v>0.001392401</v>
      </c>
      <c r="F1163" s="1">
        <v>0.004331499</v>
      </c>
      <c r="G1163" s="1">
        <v>0.0070524</v>
      </c>
      <c r="H1163" s="1">
        <v>0.009464079</v>
      </c>
      <c r="I1163" s="1">
        <v>0.00837065</v>
      </c>
      <c r="J1163" s="1">
        <v>0.009399194</v>
      </c>
      <c r="K1163" s="1">
        <v>0.00885808999999999</v>
      </c>
      <c r="L1163" s="1">
        <v>0.00884104</v>
      </c>
      <c r="M1163" s="1">
        <v>0.00881678</v>
      </c>
      <c r="N1163" s="1">
        <v>0.00880931999999999</v>
      </c>
      <c r="O1163" s="1">
        <v>0.00877058</v>
      </c>
      <c r="P1163" s="1">
        <v>0.0089211</v>
      </c>
      <c r="Q1163" s="1">
        <v>0.00902333</v>
      </c>
      <c r="R1163" s="1">
        <v>0.00908433</v>
      </c>
      <c r="S1163" s="1">
        <v>0.00909708</v>
      </c>
    </row>
    <row r="1164" ht="14.25" hidden="1" customHeight="1">
      <c r="A1164" s="1" t="s">
        <v>5</v>
      </c>
      <c r="B1164" s="1" t="s">
        <v>65</v>
      </c>
      <c r="C1164" s="1" t="s">
        <v>21</v>
      </c>
      <c r="D1164" s="1" t="s">
        <v>12</v>
      </c>
      <c r="E1164" s="2">
        <v>1.09976E-6</v>
      </c>
      <c r="F1164" s="2">
        <v>3.40199E-6</v>
      </c>
      <c r="G1164" s="2">
        <v>5.50537E-6</v>
      </c>
      <c r="H1164" s="2">
        <v>1.50196E-6</v>
      </c>
      <c r="I1164" s="2">
        <v>3.58354E-5</v>
      </c>
      <c r="J1164" s="2">
        <v>9.69207E-5</v>
      </c>
      <c r="K1164" s="2">
        <v>1.46336E-4</v>
      </c>
      <c r="L1164" s="2">
        <v>1.90186E-4</v>
      </c>
      <c r="M1164" s="2">
        <v>2.25205E-4</v>
      </c>
      <c r="N1164" s="2">
        <v>2.62638E-4</v>
      </c>
      <c r="O1164" s="2">
        <v>2.97695E-4</v>
      </c>
      <c r="P1164" s="2">
        <v>2.98294E-4</v>
      </c>
      <c r="Q1164" s="2">
        <v>2.99394E-4</v>
      </c>
      <c r="R1164" s="2">
        <v>3.01074E-4</v>
      </c>
      <c r="S1164" s="2">
        <v>3.02631E-4</v>
      </c>
    </row>
    <row r="1165" ht="14.25" hidden="1" customHeight="1">
      <c r="A1165" s="1" t="s">
        <v>5</v>
      </c>
      <c r="B1165" s="1" t="s">
        <v>65</v>
      </c>
      <c r="C1165" s="1" t="s">
        <v>21</v>
      </c>
      <c r="D1165" s="1" t="s">
        <v>13</v>
      </c>
      <c r="E1165" s="1">
        <v>0.00295807</v>
      </c>
      <c r="F1165" s="1">
        <v>0.00920283</v>
      </c>
      <c r="G1165" s="1">
        <v>0.0172145</v>
      </c>
      <c r="H1165" s="1">
        <v>0.0221332</v>
      </c>
      <c r="I1165" s="1">
        <v>0.015982013</v>
      </c>
      <c r="J1165" s="1">
        <v>0.041774802</v>
      </c>
      <c r="K1165" s="1">
        <v>0.0538320969999999</v>
      </c>
      <c r="L1165" s="1">
        <v>0.0658220082</v>
      </c>
      <c r="M1165" s="1">
        <v>0.07913614</v>
      </c>
      <c r="N1165" s="1">
        <v>0.09338059</v>
      </c>
      <c r="O1165" s="1">
        <v>0.1088528</v>
      </c>
      <c r="P1165" s="1">
        <v>0.12392505</v>
      </c>
      <c r="Q1165" s="1">
        <v>0.1398528</v>
      </c>
      <c r="R1165" s="1">
        <v>0.1563174</v>
      </c>
      <c r="S1165" s="1">
        <v>0.17292</v>
      </c>
    </row>
    <row r="1166" ht="14.25" hidden="1" customHeight="1">
      <c r="A1166" s="1" t="s">
        <v>5</v>
      </c>
      <c r="B1166" s="1" t="s">
        <v>65</v>
      </c>
      <c r="C1166" s="1" t="s">
        <v>21</v>
      </c>
      <c r="D1166" s="1" t="s">
        <v>14</v>
      </c>
      <c r="E1166" s="2">
        <v>1.0901E-5</v>
      </c>
      <c r="F1166" s="2">
        <v>3.37993E-5</v>
      </c>
      <c r="G1166" s="2">
        <v>6.32999E-5</v>
      </c>
      <c r="H1166" s="2">
        <v>3.65518E-5</v>
      </c>
      <c r="I1166" s="1">
        <v>0.01170661445</v>
      </c>
      <c r="J1166" s="1">
        <v>0.00799237</v>
      </c>
      <c r="K1166" s="1">
        <v>0.00373023</v>
      </c>
      <c r="L1166" s="1">
        <v>0.0030854</v>
      </c>
      <c r="M1166" s="1">
        <v>0.003744967</v>
      </c>
      <c r="N1166" s="1">
        <v>0.0042324</v>
      </c>
      <c r="O1166" s="1">
        <v>0.00501207</v>
      </c>
      <c r="P1166" s="1">
        <v>0.00589039</v>
      </c>
      <c r="Q1166" s="1">
        <v>0.00650407</v>
      </c>
      <c r="R1166" s="1">
        <v>0.00715627</v>
      </c>
      <c r="S1166" s="1">
        <v>0.00782</v>
      </c>
    </row>
    <row r="1167" ht="14.25" hidden="1" customHeight="1">
      <c r="A1167" s="1" t="s">
        <v>5</v>
      </c>
      <c r="B1167" s="1" t="s">
        <v>65</v>
      </c>
      <c r="C1167" s="1" t="s">
        <v>21</v>
      </c>
      <c r="D1167" s="1" t="s">
        <v>25</v>
      </c>
      <c r="E1167" s="1">
        <v>0.0012616</v>
      </c>
      <c r="F1167" s="1">
        <v>0.0039247</v>
      </c>
      <c r="G1167" s="1">
        <v>0.0073415</v>
      </c>
      <c r="H1167" s="1">
        <v>0.00765407</v>
      </c>
      <c r="I1167" s="1">
        <v>0.00946368</v>
      </c>
      <c r="J1167" s="1">
        <v>0.01007659</v>
      </c>
      <c r="K1167" s="1">
        <v>0.00891279</v>
      </c>
      <c r="L1167" s="1">
        <v>0.00812072</v>
      </c>
      <c r="M1167" s="1">
        <v>0.00662577999999999</v>
      </c>
      <c r="N1167" s="1">
        <v>0.00732552</v>
      </c>
      <c r="O1167" s="1">
        <v>0.00831158</v>
      </c>
      <c r="P1167" s="1">
        <v>0.00949467</v>
      </c>
      <c r="Q1167" s="1">
        <v>0.01085477</v>
      </c>
      <c r="R1167" s="1">
        <v>0.01230743</v>
      </c>
      <c r="S1167" s="1">
        <v>0.01370516</v>
      </c>
    </row>
    <row r="1168" ht="14.25" hidden="1" customHeight="1">
      <c r="A1168" s="1" t="s">
        <v>5</v>
      </c>
      <c r="B1168" s="1" t="s">
        <v>65</v>
      </c>
      <c r="C1168" s="1" t="s">
        <v>21</v>
      </c>
      <c r="D1168" s="1" t="s">
        <v>26</v>
      </c>
      <c r="E1168" s="2">
        <v>7.61298E-4</v>
      </c>
      <c r="F1168" s="1">
        <v>0.002368412</v>
      </c>
      <c r="G1168" s="1">
        <v>0.004430187</v>
      </c>
      <c r="H1168" s="1">
        <v>0.00569452399999999</v>
      </c>
      <c r="I1168" s="1">
        <v>0.009233772</v>
      </c>
      <c r="J1168" s="1">
        <v>0.015405495</v>
      </c>
      <c r="K1168" s="1">
        <v>0.01771491</v>
      </c>
      <c r="L1168" s="1">
        <v>0.0206607</v>
      </c>
      <c r="M1168" s="1">
        <v>0.02199295</v>
      </c>
      <c r="N1168" s="1">
        <v>0.03099939</v>
      </c>
      <c r="O1168" s="1">
        <v>0.04308721</v>
      </c>
      <c r="P1168" s="1">
        <v>0.05732101</v>
      </c>
      <c r="Q1168" s="1">
        <v>0.0743133</v>
      </c>
      <c r="R1168" s="1">
        <v>0.0933859</v>
      </c>
      <c r="S1168" s="1">
        <v>0.1127527</v>
      </c>
    </row>
    <row r="1169" ht="14.25" hidden="1" customHeight="1">
      <c r="A1169" s="1" t="s">
        <v>5</v>
      </c>
      <c r="B1169" s="1" t="s">
        <v>65</v>
      </c>
      <c r="C1169" s="1" t="s">
        <v>21</v>
      </c>
      <c r="D1169" s="1" t="s">
        <v>27</v>
      </c>
      <c r="E1169" s="1">
        <v>0.001550901</v>
      </c>
      <c r="F1169" s="1">
        <v>0.0048247</v>
      </c>
      <c r="G1169" s="1">
        <v>0.009025</v>
      </c>
      <c r="H1169" s="1">
        <v>0.012997803</v>
      </c>
      <c r="I1169" s="1">
        <v>0.011905374</v>
      </c>
      <c r="J1169" s="1">
        <v>0.023738441</v>
      </c>
      <c r="K1169" s="1">
        <v>0.0258329</v>
      </c>
      <c r="L1169" s="1">
        <v>0.02852952</v>
      </c>
      <c r="M1169" s="1">
        <v>0.03176814</v>
      </c>
      <c r="N1169" s="1">
        <v>0.03545503</v>
      </c>
      <c r="O1169" s="1">
        <v>0.03954656</v>
      </c>
      <c r="P1169" s="1">
        <v>0.04490139</v>
      </c>
      <c r="Q1169" s="1">
        <v>0.05088686</v>
      </c>
      <c r="R1169" s="1">
        <v>0.0570672899999999</v>
      </c>
      <c r="S1169" s="1">
        <v>0.06337749</v>
      </c>
    </row>
    <row r="1170" ht="14.25" hidden="1" customHeight="1">
      <c r="A1170" s="1" t="s">
        <v>5</v>
      </c>
      <c r="B1170" s="1" t="s">
        <v>65</v>
      </c>
      <c r="C1170" s="1" t="s">
        <v>21</v>
      </c>
      <c r="D1170" s="1" t="s">
        <v>28</v>
      </c>
      <c r="E1170" s="2">
        <v>1.1E-6</v>
      </c>
      <c r="F1170" s="2">
        <v>3.4E-6</v>
      </c>
      <c r="G1170" s="2">
        <v>6.3E-6</v>
      </c>
      <c r="H1170" s="2">
        <v>5.43302E-6</v>
      </c>
      <c r="I1170" s="2">
        <v>6.27994E-6</v>
      </c>
      <c r="J1170" s="2">
        <v>6.93645E-6</v>
      </c>
      <c r="K1170" s="2">
        <v>6.11419E-6</v>
      </c>
      <c r="L1170" s="2">
        <v>5.56629E-6</v>
      </c>
      <c r="M1170" s="2">
        <v>4.54112E-6</v>
      </c>
      <c r="N1170" s="2">
        <v>5.02068E-6</v>
      </c>
      <c r="O1170" s="2">
        <v>5.69649E-6</v>
      </c>
      <c r="P1170" s="2">
        <v>6.50734E-6</v>
      </c>
      <c r="Q1170" s="2">
        <v>7.43951E-6</v>
      </c>
      <c r="R1170" s="2">
        <v>8.43512E-6</v>
      </c>
      <c r="S1170" s="2">
        <v>9.39308E-6</v>
      </c>
    </row>
    <row r="1171" ht="14.25" hidden="1" customHeight="1">
      <c r="A1171" s="1" t="s">
        <v>5</v>
      </c>
      <c r="B1171" s="1" t="s">
        <v>65</v>
      </c>
      <c r="C1171" s="1" t="s">
        <v>29</v>
      </c>
      <c r="D1171" s="1" t="s">
        <v>16</v>
      </c>
      <c r="E1171" s="1">
        <v>0.00346368</v>
      </c>
      <c r="F1171" s="1">
        <v>0.00664974</v>
      </c>
      <c r="G1171" s="1">
        <v>0.0153572</v>
      </c>
      <c r="H1171" s="1">
        <v>0.01476295</v>
      </c>
      <c r="I1171" s="1">
        <v>0.01533681</v>
      </c>
      <c r="J1171" s="1">
        <v>0.0168798699999999</v>
      </c>
      <c r="K1171" s="1">
        <v>0.01652558</v>
      </c>
      <c r="L1171" s="1">
        <v>0.015968593</v>
      </c>
      <c r="M1171" s="1">
        <v>0.014046026</v>
      </c>
      <c r="N1171" s="1">
        <v>0.0145224129999999</v>
      </c>
      <c r="O1171" s="1">
        <v>0.015509014</v>
      </c>
      <c r="P1171" s="1">
        <v>0.01704028</v>
      </c>
      <c r="Q1171" s="1">
        <v>0.019016241</v>
      </c>
      <c r="R1171" s="1">
        <v>0.021274836</v>
      </c>
      <c r="S1171" s="1">
        <v>0.023483187</v>
      </c>
    </row>
    <row r="1172" ht="14.25" hidden="1" customHeight="1">
      <c r="A1172" s="1" t="s">
        <v>5</v>
      </c>
      <c r="B1172" s="1" t="s">
        <v>65</v>
      </c>
      <c r="C1172" s="1" t="s">
        <v>29</v>
      </c>
      <c r="D1172" s="1" t="s">
        <v>8</v>
      </c>
      <c r="E1172" s="2">
        <v>4.74005E-5</v>
      </c>
      <c r="F1172" s="2">
        <v>9.10996E-5</v>
      </c>
      <c r="G1172" s="2">
        <v>2.10401E-4</v>
      </c>
      <c r="H1172" s="2">
        <v>1.624883458E-4</v>
      </c>
      <c r="I1172" s="1">
        <v>0.0030135945008</v>
      </c>
      <c r="J1172" s="1">
        <v>0.0026385946647</v>
      </c>
      <c r="K1172" s="1">
        <v>0.0022013461729</v>
      </c>
      <c r="L1172" s="1">
        <v>0.0015649368811</v>
      </c>
      <c r="M1172" s="2">
        <v>9.02918845E-4</v>
      </c>
      <c r="N1172" s="2">
        <v>4.9409437E-4</v>
      </c>
      <c r="O1172" s="2">
        <v>1.31302409999999E-4</v>
      </c>
      <c r="P1172" s="2">
        <v>1.4624429E-4</v>
      </c>
      <c r="Q1172" s="2">
        <v>1.6472237E-4</v>
      </c>
      <c r="R1172" s="2">
        <v>1.84380899999999E-4</v>
      </c>
      <c r="S1172" s="2">
        <v>2.0362135E-4</v>
      </c>
    </row>
    <row r="1173" ht="14.25" hidden="1" customHeight="1">
      <c r="A1173" s="1" t="s">
        <v>5</v>
      </c>
      <c r="B1173" s="1" t="s">
        <v>65</v>
      </c>
      <c r="C1173" s="1" t="s">
        <v>29</v>
      </c>
      <c r="D1173" s="1" t="s">
        <v>10</v>
      </c>
      <c r="E1173" s="2">
        <v>2.12002E-5</v>
      </c>
      <c r="F1173" s="2">
        <v>4.07004E-5</v>
      </c>
      <c r="G1173" s="1">
        <v>0.00378791</v>
      </c>
      <c r="H1173" s="1">
        <v>0.00430659</v>
      </c>
      <c r="I1173" s="1">
        <v>0.0036747872</v>
      </c>
      <c r="J1173" s="1">
        <v>0.0029067328141</v>
      </c>
      <c r="K1173" s="1">
        <v>0.00206318811929999</v>
      </c>
      <c r="L1173" s="1">
        <v>0.00129250973769999</v>
      </c>
      <c r="M1173" s="2">
        <v>2.207938771E-4</v>
      </c>
      <c r="N1173" s="2">
        <v>3.299092644E-5</v>
      </c>
      <c r="O1173" s="2">
        <v>2.600071485E-5</v>
      </c>
      <c r="P1173" s="2">
        <v>2.141242E-5</v>
      </c>
      <c r="Q1173" s="2">
        <v>1.696355E-5</v>
      </c>
      <c r="R1173" s="2">
        <v>1.51258309999999E-5</v>
      </c>
      <c r="S1173" s="2">
        <v>1.4086871E-5</v>
      </c>
    </row>
    <row r="1174" ht="14.25" hidden="1" customHeight="1">
      <c r="A1174" s="1" t="s">
        <v>5</v>
      </c>
      <c r="B1174" s="1" t="s">
        <v>65</v>
      </c>
      <c r="C1174" s="1" t="s">
        <v>29</v>
      </c>
      <c r="D1174" s="1" t="s">
        <v>11</v>
      </c>
      <c r="E1174" s="2">
        <v>1.485E-4</v>
      </c>
      <c r="F1174" s="2">
        <v>2.852E-4</v>
      </c>
      <c r="G1174" s="1">
        <v>0.0265154</v>
      </c>
      <c r="H1174" s="1">
        <v>0.02046804056</v>
      </c>
      <c r="I1174" s="1">
        <v>0.017178391008943</v>
      </c>
      <c r="J1174" s="1">
        <v>0.161841521441896</v>
      </c>
      <c r="K1174" s="1">
        <v>0.322663590756684</v>
      </c>
      <c r="L1174" s="1">
        <v>0.482648810024472</v>
      </c>
      <c r="M1174" s="1">
        <v>0.612446550398258</v>
      </c>
      <c r="N1174" s="1">
        <v>0.7473155</v>
      </c>
      <c r="O1174" s="1">
        <v>0.8744669</v>
      </c>
      <c r="P1174" s="1">
        <v>0.8868994</v>
      </c>
      <c r="Q1174" s="1">
        <v>0.8962711</v>
      </c>
      <c r="R1174" s="1">
        <v>0.901853</v>
      </c>
      <c r="S1174" s="1">
        <v>0.907706799999999</v>
      </c>
    </row>
    <row r="1175" ht="14.25" hidden="1" customHeight="1">
      <c r="A1175" s="1" t="s">
        <v>5</v>
      </c>
      <c r="B1175" s="1" t="s">
        <v>65</v>
      </c>
      <c r="C1175" s="1" t="s">
        <v>29</v>
      </c>
      <c r="D1175" s="1" t="s">
        <v>13</v>
      </c>
      <c r="E1175" s="2">
        <v>2.3199E-5</v>
      </c>
      <c r="F1175" s="2">
        <v>4.46002E-5</v>
      </c>
      <c r="G1175" s="1">
        <v>0.00254971</v>
      </c>
      <c r="H1175" s="1">
        <v>0.00658678</v>
      </c>
      <c r="I1175" s="1">
        <v>0.005985138</v>
      </c>
      <c r="J1175" s="1">
        <v>0.00563243099999999</v>
      </c>
      <c r="K1175" s="1">
        <v>0.00480872599999999</v>
      </c>
      <c r="L1175" s="1">
        <v>0.003844229</v>
      </c>
      <c r="M1175" s="1">
        <v>0.0027263625</v>
      </c>
      <c r="N1175" s="1">
        <v>0.002118133</v>
      </c>
      <c r="O1175" s="1">
        <v>0.0020397165</v>
      </c>
      <c r="P1175" s="1">
        <v>0.0019679448</v>
      </c>
      <c r="Q1175" s="1">
        <v>0.0019983282</v>
      </c>
      <c r="R1175" s="1">
        <v>0.0020907095</v>
      </c>
      <c r="S1175" s="1">
        <v>0.0022105655</v>
      </c>
    </row>
    <row r="1176" ht="14.25" hidden="1" customHeight="1">
      <c r="A1176" s="1" t="s">
        <v>5</v>
      </c>
      <c r="B1176" s="1" t="s">
        <v>65</v>
      </c>
      <c r="C1176" s="1" t="s">
        <v>29</v>
      </c>
      <c r="D1176" s="1" t="s">
        <v>14</v>
      </c>
      <c r="E1176" s="2">
        <v>7.65972E-4</v>
      </c>
      <c r="F1176" s="1">
        <v>0.00147037</v>
      </c>
      <c r="G1176" s="1">
        <v>0.0841408</v>
      </c>
      <c r="H1176" s="1">
        <v>0.0682869099999999</v>
      </c>
      <c r="I1176" s="1">
        <v>0.0640821</v>
      </c>
      <c r="J1176" s="1">
        <v>0.05684443</v>
      </c>
      <c r="K1176" s="1">
        <v>0.04819044</v>
      </c>
      <c r="L1176" s="1">
        <v>0.039483014</v>
      </c>
      <c r="M1176" s="1">
        <v>0.023423414</v>
      </c>
      <c r="N1176" s="1">
        <v>0.025532065</v>
      </c>
      <c r="O1176" s="1">
        <v>0.0290508599999999</v>
      </c>
      <c r="P1176" s="1">
        <v>0.033639694</v>
      </c>
      <c r="Q1176" s="1">
        <v>0.038938242</v>
      </c>
      <c r="R1176" s="1">
        <v>0.04480716</v>
      </c>
      <c r="S1176" s="1">
        <v>0.05071108</v>
      </c>
    </row>
    <row r="1177" ht="14.25" hidden="1" customHeight="1">
      <c r="A1177" s="1" t="s">
        <v>5</v>
      </c>
      <c r="B1177" s="1" t="s">
        <v>65</v>
      </c>
      <c r="C1177" s="1" t="s">
        <v>31</v>
      </c>
      <c r="D1177" s="1" t="s">
        <v>11</v>
      </c>
      <c r="E1177" s="1">
        <v>1.62283</v>
      </c>
      <c r="F1177" s="1">
        <v>1.90139</v>
      </c>
      <c r="G1177" s="1">
        <v>2.02091</v>
      </c>
      <c r="H1177" s="1">
        <v>1.91075</v>
      </c>
      <c r="I1177" s="1">
        <v>3.18107</v>
      </c>
      <c r="J1177" s="1">
        <v>1.79862</v>
      </c>
      <c r="K1177" s="1">
        <v>1.37355</v>
      </c>
      <c r="L1177" s="1">
        <v>1.01841</v>
      </c>
      <c r="M1177" s="1">
        <v>0.720537</v>
      </c>
      <c r="N1177" s="1">
        <v>0.362124</v>
      </c>
      <c r="O1177" s="1">
        <v>0.0</v>
      </c>
      <c r="P1177" s="1">
        <v>0.0</v>
      </c>
      <c r="Q1177" s="1">
        <v>0.0</v>
      </c>
      <c r="R1177" s="1">
        <v>0.0</v>
      </c>
      <c r="S1177" s="1">
        <v>0.0</v>
      </c>
    </row>
    <row r="1178" ht="14.25" hidden="1" customHeight="1">
      <c r="A1178" s="1" t="s">
        <v>5</v>
      </c>
      <c r="B1178" s="1" t="s">
        <v>66</v>
      </c>
      <c r="C1178" s="1" t="s">
        <v>7</v>
      </c>
      <c r="D1178" s="1" t="s">
        <v>8</v>
      </c>
      <c r="E1178" s="1">
        <v>0.013687</v>
      </c>
      <c r="F1178" s="1">
        <v>0.0174253</v>
      </c>
      <c r="G1178" s="1">
        <v>0.0186482</v>
      </c>
      <c r="H1178" s="1">
        <v>0.00450751</v>
      </c>
      <c r="I1178" s="1">
        <v>0.0475461</v>
      </c>
      <c r="J1178" s="1">
        <v>0.00139844</v>
      </c>
      <c r="K1178" s="2">
        <v>7.92706E-4</v>
      </c>
      <c r="L1178" s="2">
        <v>6.98194E-4</v>
      </c>
      <c r="M1178" s="2">
        <v>4.92155E-4</v>
      </c>
      <c r="N1178" s="2">
        <v>2.77836E-4</v>
      </c>
      <c r="O1178" s="1">
        <v>0.0</v>
      </c>
      <c r="P1178" s="1">
        <v>0.0</v>
      </c>
      <c r="Q1178" s="1">
        <v>0.0</v>
      </c>
      <c r="R1178" s="1">
        <v>0.0</v>
      </c>
      <c r="S1178" s="1">
        <v>0.0</v>
      </c>
    </row>
    <row r="1179" ht="14.25" hidden="1" customHeight="1">
      <c r="A1179" s="1" t="s">
        <v>5</v>
      </c>
      <c r="B1179" s="1" t="s">
        <v>66</v>
      </c>
      <c r="C1179" s="1" t="s">
        <v>9</v>
      </c>
      <c r="D1179" s="1" t="s">
        <v>8</v>
      </c>
      <c r="E1179" s="1">
        <v>0.123154</v>
      </c>
      <c r="F1179" s="1">
        <v>0.108012</v>
      </c>
      <c r="G1179" s="1">
        <v>0.158862</v>
      </c>
      <c r="H1179" s="1">
        <v>0.0542385</v>
      </c>
      <c r="I1179" s="1">
        <v>0.0320081</v>
      </c>
      <c r="J1179" s="2">
        <v>1.2653E-9</v>
      </c>
      <c r="K1179" s="1">
        <v>0.0</v>
      </c>
      <c r="L1179" s="1">
        <v>0.0</v>
      </c>
      <c r="M1179" s="1">
        <v>0.0</v>
      </c>
      <c r="N1179" s="1">
        <v>0.0</v>
      </c>
      <c r="O1179" s="1">
        <v>0.0</v>
      </c>
      <c r="P1179" s="1">
        <v>0.0</v>
      </c>
      <c r="Q1179" s="1">
        <v>0.0</v>
      </c>
      <c r="R1179" s="1">
        <v>0.0</v>
      </c>
      <c r="S1179" s="1">
        <v>0.0</v>
      </c>
    </row>
    <row r="1180" ht="14.25" hidden="1" customHeight="1">
      <c r="A1180" s="1" t="s">
        <v>5</v>
      </c>
      <c r="B1180" s="1" t="s">
        <v>66</v>
      </c>
      <c r="C1180" s="1" t="s">
        <v>9</v>
      </c>
      <c r="D1180" s="1" t="s">
        <v>10</v>
      </c>
      <c r="E1180" s="2">
        <v>7.03916E-4</v>
      </c>
      <c r="F1180" s="2">
        <v>6.17308E-4</v>
      </c>
      <c r="G1180" s="1">
        <v>0.0204325</v>
      </c>
      <c r="H1180" s="2">
        <v>1.49326E-6</v>
      </c>
      <c r="I1180" s="1">
        <v>0.0319771</v>
      </c>
      <c r="J1180" s="1">
        <v>0.0522173</v>
      </c>
      <c r="K1180" s="1">
        <v>0.0</v>
      </c>
      <c r="L1180" s="1">
        <v>0.0</v>
      </c>
      <c r="M1180" s="1">
        <v>0.0</v>
      </c>
      <c r="N1180" s="1">
        <v>0.0</v>
      </c>
      <c r="O1180" s="1">
        <v>0.0</v>
      </c>
      <c r="P1180" s="1">
        <v>0.0</v>
      </c>
      <c r="Q1180" s="1">
        <v>0.0</v>
      </c>
      <c r="R1180" s="1">
        <v>0.0</v>
      </c>
      <c r="S1180" s="1">
        <v>0.0</v>
      </c>
    </row>
    <row r="1181" ht="14.25" hidden="1" customHeight="1">
      <c r="A1181" s="1" t="s">
        <v>5</v>
      </c>
      <c r="B1181" s="1" t="s">
        <v>66</v>
      </c>
      <c r="C1181" s="1" t="s">
        <v>9</v>
      </c>
      <c r="D1181" s="1" t="s">
        <v>11</v>
      </c>
      <c r="E1181" s="2">
        <v>7.039E-4</v>
      </c>
      <c r="F1181" s="2">
        <v>6.173E-4</v>
      </c>
      <c r="G1181" s="1">
        <v>0.0204325</v>
      </c>
      <c r="H1181" s="2">
        <v>1.23669E-4</v>
      </c>
      <c r="I1181" s="1">
        <v>0.0</v>
      </c>
      <c r="J1181" s="2">
        <v>3.58577E-4</v>
      </c>
      <c r="K1181" s="1">
        <v>0.0</v>
      </c>
      <c r="L1181" s="1">
        <v>0.0</v>
      </c>
      <c r="M1181" s="1">
        <v>0.0</v>
      </c>
      <c r="N1181" s="1">
        <v>0.0</v>
      </c>
      <c r="O1181" s="1">
        <v>0.0</v>
      </c>
      <c r="P1181" s="1">
        <v>0.0</v>
      </c>
      <c r="Q1181" s="1">
        <v>0.0</v>
      </c>
      <c r="R1181" s="1">
        <v>0.0</v>
      </c>
      <c r="S1181" s="1">
        <v>0.0</v>
      </c>
    </row>
    <row r="1182" ht="14.25" hidden="1" customHeight="1">
      <c r="A1182" s="1" t="s">
        <v>5</v>
      </c>
      <c r="B1182" s="1" t="s">
        <v>66</v>
      </c>
      <c r="C1182" s="1" t="s">
        <v>9</v>
      </c>
      <c r="D1182" s="1" t="s">
        <v>12</v>
      </c>
      <c r="E1182" s="2">
        <v>7.02338E-5</v>
      </c>
      <c r="F1182" s="2">
        <v>6.17628E-5</v>
      </c>
      <c r="G1182" s="1">
        <v>0.00204311</v>
      </c>
      <c r="H1182" s="2">
        <v>9.03013E-4</v>
      </c>
      <c r="I1182" s="2">
        <v>1.29701E-4</v>
      </c>
      <c r="J1182" s="2">
        <v>6.33956E-5</v>
      </c>
      <c r="K1182" s="1">
        <v>0.0</v>
      </c>
      <c r="L1182" s="1">
        <v>0.0</v>
      </c>
      <c r="M1182" s="1">
        <v>0.0</v>
      </c>
      <c r="N1182" s="1">
        <v>0.0</v>
      </c>
      <c r="O1182" s="1">
        <v>0.0</v>
      </c>
      <c r="P1182" s="1">
        <v>0.0</v>
      </c>
      <c r="Q1182" s="1">
        <v>0.0</v>
      </c>
      <c r="R1182" s="1">
        <v>0.0</v>
      </c>
      <c r="S1182" s="1">
        <v>0.0</v>
      </c>
    </row>
    <row r="1183" ht="14.25" hidden="1" customHeight="1">
      <c r="A1183" s="1" t="s">
        <v>5</v>
      </c>
      <c r="B1183" s="1" t="s">
        <v>66</v>
      </c>
      <c r="C1183" s="1" t="s">
        <v>9</v>
      </c>
      <c r="D1183" s="1" t="s">
        <v>13</v>
      </c>
      <c r="E1183" s="1">
        <v>0.0</v>
      </c>
      <c r="F1183" s="1">
        <v>0.0</v>
      </c>
      <c r="G1183" s="1">
        <v>0.0</v>
      </c>
      <c r="H1183" s="1">
        <v>0.00249775</v>
      </c>
      <c r="I1183" s="1">
        <v>0.0</v>
      </c>
      <c r="J1183" s="1">
        <v>0.0</v>
      </c>
      <c r="K1183" s="1">
        <v>0.0</v>
      </c>
      <c r="L1183" s="1">
        <v>0.0</v>
      </c>
      <c r="M1183" s="1">
        <v>0.0</v>
      </c>
      <c r="N1183" s="1">
        <v>0.0</v>
      </c>
      <c r="O1183" s="1">
        <v>0.0</v>
      </c>
      <c r="P1183" s="1">
        <v>0.0</v>
      </c>
      <c r="Q1183" s="1">
        <v>0.0</v>
      </c>
      <c r="R1183" s="1">
        <v>0.0</v>
      </c>
      <c r="S1183" s="1">
        <v>0.0</v>
      </c>
    </row>
    <row r="1184" ht="14.25" hidden="1" customHeight="1">
      <c r="A1184" s="1" t="s">
        <v>5</v>
      </c>
      <c r="B1184" s="1" t="s">
        <v>66</v>
      </c>
      <c r="C1184" s="1" t="s">
        <v>9</v>
      </c>
      <c r="D1184" s="1" t="s">
        <v>14</v>
      </c>
      <c r="E1184" s="1">
        <v>0.0</v>
      </c>
      <c r="F1184" s="1">
        <v>0.0</v>
      </c>
      <c r="G1184" s="1">
        <v>0.0</v>
      </c>
      <c r="H1184" s="2">
        <v>3.95074E-5</v>
      </c>
      <c r="I1184" s="1">
        <v>0.0</v>
      </c>
      <c r="J1184" s="1">
        <v>0.0</v>
      </c>
      <c r="K1184" s="1">
        <v>0.0</v>
      </c>
      <c r="L1184" s="1">
        <v>0.0</v>
      </c>
      <c r="M1184" s="1">
        <v>0.0</v>
      </c>
      <c r="N1184" s="1">
        <v>0.0</v>
      </c>
      <c r="O1184" s="1">
        <v>0.0</v>
      </c>
      <c r="P1184" s="1">
        <v>0.0</v>
      </c>
      <c r="Q1184" s="1">
        <v>0.0</v>
      </c>
      <c r="R1184" s="1">
        <v>0.0</v>
      </c>
      <c r="S1184" s="1">
        <v>0.0</v>
      </c>
    </row>
    <row r="1185" ht="14.25" hidden="1" customHeight="1">
      <c r="A1185" s="1" t="s">
        <v>5</v>
      </c>
      <c r="B1185" s="1" t="s">
        <v>66</v>
      </c>
      <c r="C1185" s="1" t="s">
        <v>15</v>
      </c>
      <c r="D1185" s="1" t="s">
        <v>16</v>
      </c>
      <c r="E1185" s="1">
        <v>0.0</v>
      </c>
      <c r="F1185" s="1">
        <v>0.0</v>
      </c>
      <c r="G1185" s="1">
        <v>0.0</v>
      </c>
      <c r="H1185" s="1">
        <v>0.0</v>
      </c>
      <c r="I1185" s="1">
        <v>0.0</v>
      </c>
      <c r="J1185" s="1">
        <v>0.00207368</v>
      </c>
      <c r="K1185" s="1">
        <v>0.00365497</v>
      </c>
      <c r="L1185" s="1">
        <v>0.00550863</v>
      </c>
      <c r="M1185" s="1">
        <v>0.0080404</v>
      </c>
      <c r="N1185" s="1">
        <v>0.010079382</v>
      </c>
      <c r="O1185" s="1">
        <v>0.012109865</v>
      </c>
      <c r="P1185" s="1">
        <v>0.0142259019999999</v>
      </c>
      <c r="Q1185" s="1">
        <v>0.0163012859999999</v>
      </c>
      <c r="R1185" s="1">
        <v>0.018336233</v>
      </c>
      <c r="S1185" s="1">
        <v>0.020347545</v>
      </c>
    </row>
    <row r="1186" ht="14.25" customHeight="1">
      <c r="A1186" s="1" t="s">
        <v>5</v>
      </c>
      <c r="B1186" s="1" t="s">
        <v>66</v>
      </c>
      <c r="C1186" s="1" t="s">
        <v>15</v>
      </c>
      <c r="D1186" s="1" t="s">
        <v>14</v>
      </c>
      <c r="E1186" s="1">
        <v>0.0</v>
      </c>
      <c r="F1186" s="1">
        <v>0.0</v>
      </c>
      <c r="G1186" s="1">
        <v>0.0</v>
      </c>
      <c r="H1186" s="1">
        <v>0.0</v>
      </c>
      <c r="I1186" s="2">
        <v>9.81556E-6</v>
      </c>
      <c r="J1186" s="1">
        <v>0.01105772284</v>
      </c>
      <c r="K1186" s="1">
        <v>0.02175746431</v>
      </c>
      <c r="L1186" s="1">
        <v>0.03017786778</v>
      </c>
      <c r="M1186" s="1">
        <v>0.04040978125</v>
      </c>
      <c r="N1186" s="1">
        <v>0.04656656272</v>
      </c>
      <c r="O1186" s="1">
        <v>0.05272977</v>
      </c>
      <c r="P1186" s="1">
        <v>0.05770508</v>
      </c>
      <c r="Q1186" s="1">
        <v>0.0630024</v>
      </c>
      <c r="R1186" s="1">
        <v>0.06824541</v>
      </c>
      <c r="S1186" s="1">
        <v>0.07342275</v>
      </c>
    </row>
    <row r="1187" ht="14.25" hidden="1" customHeight="1">
      <c r="A1187" s="1" t="s">
        <v>5</v>
      </c>
      <c r="B1187" s="1" t="s">
        <v>66</v>
      </c>
      <c r="C1187" s="1" t="s">
        <v>17</v>
      </c>
      <c r="D1187" s="1" t="s">
        <v>16</v>
      </c>
      <c r="E1187" s="2">
        <v>1.06998E-5</v>
      </c>
      <c r="F1187" s="2">
        <v>3.33993E-5</v>
      </c>
      <c r="G1187" s="2">
        <v>5.04009E-5</v>
      </c>
      <c r="H1187" s="2">
        <v>2.530797E-4</v>
      </c>
      <c r="I1187" s="2">
        <v>2.093838E-4</v>
      </c>
      <c r="J1187" s="2">
        <v>3.01859399999999E-4</v>
      </c>
      <c r="K1187" s="2">
        <v>2.97259E-4</v>
      </c>
      <c r="L1187" s="2">
        <v>2.9304489E-4</v>
      </c>
      <c r="M1187" s="2">
        <v>3.213613E-4</v>
      </c>
      <c r="N1187" s="2">
        <v>3.454534E-4</v>
      </c>
      <c r="O1187" s="2">
        <v>3.991017E-4</v>
      </c>
      <c r="P1187" s="2">
        <v>4.6376877E-4</v>
      </c>
      <c r="Q1187" s="2">
        <v>5.2666442E-4</v>
      </c>
      <c r="R1187" s="2">
        <v>5.916216E-4</v>
      </c>
      <c r="S1187" s="2">
        <v>6.584967E-4</v>
      </c>
    </row>
    <row r="1188" ht="14.25" hidden="1" customHeight="1">
      <c r="A1188" s="1" t="s">
        <v>5</v>
      </c>
      <c r="B1188" s="1" t="s">
        <v>66</v>
      </c>
      <c r="C1188" s="1" t="s">
        <v>17</v>
      </c>
      <c r="D1188" s="1" t="s">
        <v>18</v>
      </c>
      <c r="E1188" s="1">
        <v>0.0019215</v>
      </c>
      <c r="F1188" s="1">
        <v>0.0059775</v>
      </c>
      <c r="G1188" s="1">
        <v>0.0090385</v>
      </c>
      <c r="H1188" s="1">
        <v>0.00429139</v>
      </c>
      <c r="I1188" s="1">
        <v>0.00347227</v>
      </c>
      <c r="J1188" s="1">
        <v>0.00525285</v>
      </c>
      <c r="K1188" s="1">
        <v>0.00680797</v>
      </c>
      <c r="L1188" s="1">
        <v>0.0084061</v>
      </c>
      <c r="M1188" s="1">
        <v>0.00999214</v>
      </c>
      <c r="N1188" s="1">
        <v>0.01167067</v>
      </c>
      <c r="O1188" s="1">
        <v>0.01317626</v>
      </c>
      <c r="P1188" s="1">
        <v>0.014520656</v>
      </c>
      <c r="Q1188" s="1">
        <v>0.0157094809999999</v>
      </c>
      <c r="R1188" s="1">
        <v>0.016892635</v>
      </c>
      <c r="S1188" s="1">
        <v>0.017907509</v>
      </c>
    </row>
    <row r="1189" ht="14.25" hidden="1" customHeight="1">
      <c r="A1189" s="1" t="s">
        <v>5</v>
      </c>
      <c r="B1189" s="1" t="s">
        <v>66</v>
      </c>
      <c r="C1189" s="1" t="s">
        <v>17</v>
      </c>
      <c r="D1189" s="1" t="s">
        <v>19</v>
      </c>
      <c r="E1189" s="2">
        <v>8.72799E-4</v>
      </c>
      <c r="F1189" s="1">
        <v>0.0027152</v>
      </c>
      <c r="G1189" s="1">
        <v>0.0041057</v>
      </c>
      <c r="H1189" s="1">
        <v>0.00411203</v>
      </c>
      <c r="I1189" s="1">
        <v>0.001016941</v>
      </c>
      <c r="J1189" s="1">
        <v>0.005680263</v>
      </c>
      <c r="K1189" s="1">
        <v>0.006831253</v>
      </c>
      <c r="L1189" s="1">
        <v>0.00818541</v>
      </c>
      <c r="M1189" s="1">
        <v>0.00961669</v>
      </c>
      <c r="N1189" s="1">
        <v>0.01118267</v>
      </c>
      <c r="O1189" s="1">
        <v>0.012882846</v>
      </c>
      <c r="P1189" s="1">
        <v>0.01467571</v>
      </c>
      <c r="Q1189" s="1">
        <v>0.01650614</v>
      </c>
      <c r="R1189" s="1">
        <v>0.0183199299999999</v>
      </c>
      <c r="S1189" s="1">
        <v>0.02007106</v>
      </c>
    </row>
    <row r="1190" ht="14.25" hidden="1" customHeight="1">
      <c r="A1190" s="1" t="s">
        <v>5</v>
      </c>
      <c r="B1190" s="1" t="s">
        <v>66</v>
      </c>
      <c r="C1190" s="1" t="s">
        <v>17</v>
      </c>
      <c r="D1190" s="1" t="s">
        <v>8</v>
      </c>
      <c r="E1190" s="2">
        <v>3.882E-4</v>
      </c>
      <c r="F1190" s="1">
        <v>0.0012075</v>
      </c>
      <c r="G1190" s="1">
        <v>0.0018259</v>
      </c>
      <c r="H1190" s="1">
        <v>0.01002517</v>
      </c>
      <c r="I1190" s="1">
        <v>0.007216861743</v>
      </c>
      <c r="J1190" s="1">
        <v>0.0747093792339999</v>
      </c>
      <c r="K1190" s="1">
        <v>0.102448935872</v>
      </c>
      <c r="L1190" s="1">
        <v>0.133231213509</v>
      </c>
      <c r="M1190" s="1">
        <v>0.1645206</v>
      </c>
      <c r="N1190" s="1">
        <v>0.1954755</v>
      </c>
      <c r="O1190" s="1">
        <v>0.2267997</v>
      </c>
      <c r="P1190" s="1">
        <v>0.2579504</v>
      </c>
      <c r="Q1190" s="1">
        <v>0.288702</v>
      </c>
      <c r="R1190" s="1">
        <v>0.3185004</v>
      </c>
      <c r="S1190" s="1">
        <v>0.3467907</v>
      </c>
    </row>
    <row r="1191" ht="14.25" hidden="1" customHeight="1">
      <c r="A1191" s="1" t="s">
        <v>5</v>
      </c>
      <c r="B1191" s="1" t="s">
        <v>66</v>
      </c>
      <c r="C1191" s="1" t="s">
        <v>17</v>
      </c>
      <c r="D1191" s="1" t="s">
        <v>20</v>
      </c>
      <c r="E1191" s="2">
        <v>2.91579E-4</v>
      </c>
      <c r="F1191" s="2">
        <v>9.07368E-4</v>
      </c>
      <c r="G1191" s="1">
        <v>0.00137211</v>
      </c>
      <c r="H1191" s="1">
        <v>0.00141227</v>
      </c>
      <c r="I1191" s="2">
        <v>7.02638E-4</v>
      </c>
      <c r="J1191" s="1">
        <v>0.002008796</v>
      </c>
      <c r="K1191" s="1">
        <v>0.00245461</v>
      </c>
      <c r="L1191" s="1">
        <v>0.002883275</v>
      </c>
      <c r="M1191" s="1">
        <v>0.003352599</v>
      </c>
      <c r="N1191" s="1">
        <v>0.003878188</v>
      </c>
      <c r="O1191" s="1">
        <v>0.00444215199999999</v>
      </c>
      <c r="P1191" s="1">
        <v>0.005024607</v>
      </c>
      <c r="Q1191" s="1">
        <v>0.00561492</v>
      </c>
      <c r="R1191" s="1">
        <v>0.00619312</v>
      </c>
      <c r="S1191" s="1">
        <v>0.00674085999999999</v>
      </c>
    </row>
    <row r="1192" ht="14.25" hidden="1" customHeight="1">
      <c r="A1192" s="1" t="s">
        <v>5</v>
      </c>
      <c r="B1192" s="1" t="s">
        <v>66</v>
      </c>
      <c r="C1192" s="1" t="s">
        <v>21</v>
      </c>
      <c r="D1192" s="1" t="s">
        <v>10</v>
      </c>
      <c r="E1192" s="1">
        <v>0.00192714</v>
      </c>
      <c r="F1192" s="1">
        <v>0.00599507</v>
      </c>
      <c r="G1192" s="1">
        <v>0.0065893</v>
      </c>
      <c r="H1192" s="1">
        <v>0.01031879</v>
      </c>
      <c r="I1192" s="1">
        <v>0.00947991</v>
      </c>
      <c r="J1192" s="1">
        <v>0.00628629599999999</v>
      </c>
      <c r="K1192" s="1">
        <v>0.0186709023999999</v>
      </c>
      <c r="L1192" s="1">
        <v>0.02182001812</v>
      </c>
      <c r="M1192" s="1">
        <v>0.0237146403</v>
      </c>
      <c r="N1192" s="1">
        <v>0.0244351199999999</v>
      </c>
      <c r="O1192" s="1">
        <v>0.02431362</v>
      </c>
      <c r="P1192" s="1">
        <v>0.0249051</v>
      </c>
      <c r="Q1192" s="1">
        <v>0.02502235</v>
      </c>
      <c r="R1192" s="1">
        <v>0.02475627</v>
      </c>
      <c r="S1192" s="1">
        <v>0.02416892</v>
      </c>
    </row>
    <row r="1193" ht="14.25" hidden="1" customHeight="1">
      <c r="A1193" s="1" t="s">
        <v>5</v>
      </c>
      <c r="B1193" s="1" t="s">
        <v>66</v>
      </c>
      <c r="C1193" s="1" t="s">
        <v>21</v>
      </c>
      <c r="D1193" s="1" t="s">
        <v>11</v>
      </c>
      <c r="E1193" s="2">
        <v>1.07E-5</v>
      </c>
      <c r="F1193" s="2">
        <v>3.33E-5</v>
      </c>
      <c r="G1193" s="2">
        <v>3.66E-5</v>
      </c>
      <c r="H1193" s="1">
        <v>0.0027732661</v>
      </c>
      <c r="I1193" s="1">
        <v>0.00120058434469999</v>
      </c>
      <c r="J1193" s="1">
        <v>0.03453650189174</v>
      </c>
      <c r="K1193" s="1">
        <v>0.0399505</v>
      </c>
      <c r="L1193" s="1">
        <v>0.0354935</v>
      </c>
      <c r="M1193" s="1">
        <v>0.0330639999999999</v>
      </c>
      <c r="N1193" s="1">
        <v>0.03265768</v>
      </c>
      <c r="O1193" s="1">
        <v>0.0316058399999999</v>
      </c>
      <c r="P1193" s="1">
        <v>0.0284949899999999</v>
      </c>
      <c r="Q1193" s="1">
        <v>0.02610053</v>
      </c>
      <c r="R1193" s="1">
        <v>0.02462598</v>
      </c>
      <c r="S1193" s="1">
        <v>0.02356964</v>
      </c>
    </row>
    <row r="1194" ht="14.25" hidden="1" customHeight="1">
      <c r="A1194" s="1" t="s">
        <v>5</v>
      </c>
      <c r="B1194" s="1" t="s">
        <v>66</v>
      </c>
      <c r="C1194" s="1" t="s">
        <v>21</v>
      </c>
      <c r="D1194" s="1" t="s">
        <v>22</v>
      </c>
      <c r="E1194" s="2">
        <v>1.07E-5</v>
      </c>
      <c r="F1194" s="2">
        <v>3.33E-5</v>
      </c>
      <c r="G1194" s="2">
        <v>3.66E-5</v>
      </c>
      <c r="H1194" s="2">
        <v>2.656011E-5</v>
      </c>
      <c r="I1194" s="2">
        <v>3.406379E-5</v>
      </c>
      <c r="J1194" s="2">
        <v>8.29856E-5</v>
      </c>
      <c r="K1194" s="2">
        <v>7.75442E-5</v>
      </c>
      <c r="L1194" s="2">
        <v>8.65162999999999E-5</v>
      </c>
      <c r="M1194" s="2">
        <v>9.13896E-5</v>
      </c>
      <c r="N1194" s="2">
        <v>9.88159E-5</v>
      </c>
      <c r="O1194" s="2">
        <v>1.033271E-4</v>
      </c>
      <c r="P1194" s="2">
        <v>1.022567E-4</v>
      </c>
      <c r="Q1194" s="2">
        <v>1.006594E-4</v>
      </c>
      <c r="R1194" s="2">
        <v>9.87507E-5</v>
      </c>
      <c r="S1194" s="2">
        <v>9.64226E-5</v>
      </c>
    </row>
    <row r="1195" ht="14.25" hidden="1" customHeight="1">
      <c r="A1195" s="1" t="s">
        <v>5</v>
      </c>
      <c r="B1195" s="1" t="s">
        <v>66</v>
      </c>
      <c r="C1195" s="1" t="s">
        <v>21</v>
      </c>
      <c r="D1195" s="1" t="s">
        <v>23</v>
      </c>
      <c r="E1195" s="2">
        <v>6.42104999999999E-5</v>
      </c>
      <c r="F1195" s="2">
        <v>1.99820199999999E-4</v>
      </c>
      <c r="G1195" s="2">
        <v>2.196115E-4</v>
      </c>
      <c r="H1195" s="2">
        <v>2.211648E-4</v>
      </c>
      <c r="I1195" s="2">
        <v>3.727834E-4</v>
      </c>
      <c r="J1195" s="2">
        <v>8.817817E-4</v>
      </c>
      <c r="K1195" s="2">
        <v>9.7827E-4</v>
      </c>
      <c r="L1195" s="1">
        <v>0.001334117</v>
      </c>
      <c r="M1195" s="1">
        <v>0.001679764</v>
      </c>
      <c r="N1195" s="1">
        <v>0.00198927</v>
      </c>
      <c r="O1195" s="1">
        <v>0.002176393</v>
      </c>
      <c r="P1195" s="1">
        <v>0.00244672</v>
      </c>
      <c r="Q1195" s="1">
        <v>0.002676913</v>
      </c>
      <c r="R1195" s="1">
        <v>0.002870725</v>
      </c>
      <c r="S1195" s="1">
        <v>0.00302420599999999</v>
      </c>
    </row>
    <row r="1196" ht="14.25" hidden="1" customHeight="1">
      <c r="A1196" s="1" t="s">
        <v>5</v>
      </c>
      <c r="B1196" s="1" t="s">
        <v>66</v>
      </c>
      <c r="C1196" s="1" t="s">
        <v>21</v>
      </c>
      <c r="D1196" s="1" t="s">
        <v>24</v>
      </c>
      <c r="E1196" s="1">
        <v>0.001196896</v>
      </c>
      <c r="F1196" s="1">
        <v>0.0037236</v>
      </c>
      <c r="G1196" s="1">
        <v>0.004092699</v>
      </c>
      <c r="H1196" s="1">
        <v>0.005194289</v>
      </c>
      <c r="I1196" s="1">
        <v>0.003907822</v>
      </c>
      <c r="J1196" s="1">
        <v>0.004234676</v>
      </c>
      <c r="K1196" s="1">
        <v>0.003905346</v>
      </c>
      <c r="L1196" s="1">
        <v>0.003842772</v>
      </c>
      <c r="M1196" s="1">
        <v>0.003669864</v>
      </c>
      <c r="N1196" s="1">
        <v>0.003560498</v>
      </c>
      <c r="O1196" s="1">
        <v>0.003408679</v>
      </c>
      <c r="P1196" s="1">
        <v>0.003386363</v>
      </c>
      <c r="Q1196" s="1">
        <v>0.003333635</v>
      </c>
      <c r="R1196" s="1">
        <v>0.003262917</v>
      </c>
      <c r="S1196" s="1">
        <v>0.003173396</v>
      </c>
    </row>
    <row r="1197" ht="14.25" hidden="1" customHeight="1">
      <c r="A1197" s="1" t="s">
        <v>5</v>
      </c>
      <c r="B1197" s="1" t="s">
        <v>66</v>
      </c>
      <c r="C1197" s="1" t="s">
        <v>21</v>
      </c>
      <c r="D1197" s="1" t="s">
        <v>12</v>
      </c>
      <c r="E1197" s="2">
        <v>1.0974E-6</v>
      </c>
      <c r="F1197" s="2">
        <v>3.30336E-6</v>
      </c>
      <c r="G1197" s="2">
        <v>3.69984E-6</v>
      </c>
      <c r="H1197" s="2">
        <v>6.02431E-5</v>
      </c>
      <c r="I1197" s="2">
        <v>2.74638E-4</v>
      </c>
      <c r="J1197" s="2">
        <v>7.18819E-4</v>
      </c>
      <c r="K1197" s="2">
        <v>7.13931E-4</v>
      </c>
      <c r="L1197" s="2">
        <v>8.30649E-4</v>
      </c>
      <c r="M1197" s="2">
        <v>8.9947E-4</v>
      </c>
      <c r="N1197" s="2">
        <v>9.82673E-4</v>
      </c>
      <c r="O1197" s="1">
        <v>0.0010326</v>
      </c>
      <c r="P1197" s="1">
        <v>0.00102957</v>
      </c>
      <c r="Q1197" s="1">
        <v>0.00101702</v>
      </c>
      <c r="R1197" s="2">
        <v>9.99306E-4</v>
      </c>
      <c r="S1197" s="2">
        <v>9.76391E-4</v>
      </c>
    </row>
    <row r="1198" ht="14.25" hidden="1" customHeight="1">
      <c r="A1198" s="1" t="s">
        <v>5</v>
      </c>
      <c r="B1198" s="1" t="s">
        <v>66</v>
      </c>
      <c r="C1198" s="1" t="s">
        <v>21</v>
      </c>
      <c r="D1198" s="1" t="s">
        <v>13</v>
      </c>
      <c r="E1198" s="1">
        <v>0.00289054</v>
      </c>
      <c r="F1198" s="1">
        <v>0.00899215</v>
      </c>
      <c r="G1198" s="1">
        <v>0.0110414</v>
      </c>
      <c r="H1198" s="1">
        <v>0.01350816</v>
      </c>
      <c r="I1198" s="1">
        <v>0.010302727</v>
      </c>
      <c r="J1198" s="1">
        <v>0.021163568</v>
      </c>
      <c r="K1198" s="1">
        <v>0.0288008459999999</v>
      </c>
      <c r="L1198" s="1">
        <v>0.0373276679999999</v>
      </c>
      <c r="M1198" s="1">
        <v>0.04660688</v>
      </c>
      <c r="N1198" s="1">
        <v>0.05548685</v>
      </c>
      <c r="O1198" s="1">
        <v>0.06388537</v>
      </c>
      <c r="P1198" s="1">
        <v>0.07116212</v>
      </c>
      <c r="Q1198" s="1">
        <v>0.07818559</v>
      </c>
      <c r="R1198" s="1">
        <v>0.0848617</v>
      </c>
      <c r="S1198" s="1">
        <v>0.09109554</v>
      </c>
    </row>
    <row r="1199" ht="14.25" hidden="1" customHeight="1">
      <c r="A1199" s="1" t="s">
        <v>5</v>
      </c>
      <c r="B1199" s="1" t="s">
        <v>66</v>
      </c>
      <c r="C1199" s="1" t="s">
        <v>21</v>
      </c>
      <c r="D1199" s="1" t="s">
        <v>14</v>
      </c>
      <c r="E1199" s="2">
        <v>1.09025E-5</v>
      </c>
      <c r="F1199" s="2">
        <v>3.40933E-5</v>
      </c>
      <c r="G1199" s="2">
        <v>4.17999E-5</v>
      </c>
      <c r="H1199" s="1">
        <v>0.0043679402</v>
      </c>
      <c r="I1199" s="1">
        <v>0.00858621</v>
      </c>
      <c r="J1199" s="1">
        <v>0.00484304</v>
      </c>
      <c r="K1199" s="1">
        <v>0.002023854</v>
      </c>
      <c r="L1199" s="1">
        <v>0.001495474</v>
      </c>
      <c r="M1199" s="1">
        <v>0.001806064</v>
      </c>
      <c r="N1199" s="1">
        <v>0.001944173</v>
      </c>
      <c r="O1199" s="1">
        <v>0.00216468</v>
      </c>
      <c r="P1199" s="1">
        <v>0.002508011</v>
      </c>
      <c r="Q1199" s="1">
        <v>0.002694526</v>
      </c>
      <c r="R1199" s="1">
        <v>0.002885702</v>
      </c>
      <c r="S1199" s="1">
        <v>0.003127004</v>
      </c>
    </row>
    <row r="1200" ht="14.25" hidden="1" customHeight="1">
      <c r="A1200" s="1" t="s">
        <v>5</v>
      </c>
      <c r="B1200" s="1" t="s">
        <v>66</v>
      </c>
      <c r="C1200" s="1" t="s">
        <v>21</v>
      </c>
      <c r="D1200" s="1" t="s">
        <v>25</v>
      </c>
      <c r="E1200" s="2">
        <v>6.57E-5</v>
      </c>
      <c r="F1200" s="2">
        <v>2.044E-4</v>
      </c>
      <c r="G1200" s="2">
        <v>2.509E-4</v>
      </c>
      <c r="H1200" s="2">
        <v>2.79537E-4</v>
      </c>
      <c r="I1200" s="2">
        <v>2.933622E-4</v>
      </c>
      <c r="J1200" s="2">
        <v>3.01744999999999E-4</v>
      </c>
      <c r="K1200" s="2">
        <v>2.70129E-4</v>
      </c>
      <c r="L1200" s="2">
        <v>2.508035E-4</v>
      </c>
      <c r="M1200" s="2">
        <v>2.011033E-4</v>
      </c>
      <c r="N1200" s="2">
        <v>2.20545E-4</v>
      </c>
      <c r="O1200" s="2">
        <v>2.446475E-4</v>
      </c>
      <c r="P1200" s="2">
        <v>2.726173E-4</v>
      </c>
      <c r="Q1200" s="2">
        <v>3.03572E-4</v>
      </c>
      <c r="R1200" s="2">
        <v>3.34686E-4</v>
      </c>
      <c r="S1200" s="2">
        <v>3.62157E-4</v>
      </c>
    </row>
    <row r="1201" ht="14.25" hidden="1" customHeight="1">
      <c r="A1201" s="1" t="s">
        <v>5</v>
      </c>
      <c r="B1201" s="1" t="s">
        <v>66</v>
      </c>
      <c r="C1201" s="1" t="s">
        <v>21</v>
      </c>
      <c r="D1201" s="1" t="s">
        <v>26</v>
      </c>
      <c r="E1201" s="2">
        <v>6.35018999999999E-4</v>
      </c>
      <c r="F1201" s="1">
        <v>0.001975599</v>
      </c>
      <c r="G1201" s="1">
        <v>0.002425799</v>
      </c>
      <c r="H1201" s="1">
        <v>0.00346875299999999</v>
      </c>
      <c r="I1201" s="1">
        <v>0.003501758</v>
      </c>
      <c r="J1201" s="1">
        <v>0.00489124</v>
      </c>
      <c r="K1201" s="1">
        <v>0.005262183</v>
      </c>
      <c r="L1201" s="1">
        <v>0.006066028</v>
      </c>
      <c r="M1201" s="1">
        <v>0.00611774</v>
      </c>
      <c r="N1201" s="1">
        <v>0.00856679</v>
      </c>
      <c r="O1201" s="1">
        <v>0.0116746099999999</v>
      </c>
      <c r="P1201" s="1">
        <v>0.0153576</v>
      </c>
      <c r="Q1201" s="1">
        <v>0.01974716</v>
      </c>
      <c r="R1201" s="1">
        <v>0.02478154</v>
      </c>
      <c r="S1201" s="1">
        <v>0.0301674799999999</v>
      </c>
    </row>
    <row r="1202" ht="14.25" hidden="1" customHeight="1">
      <c r="A1202" s="1" t="s">
        <v>5</v>
      </c>
      <c r="B1202" s="1" t="s">
        <v>66</v>
      </c>
      <c r="C1202" s="1" t="s">
        <v>21</v>
      </c>
      <c r="D1202" s="1" t="s">
        <v>27</v>
      </c>
      <c r="E1202" s="1">
        <v>0.00146059999999999</v>
      </c>
      <c r="F1202" s="1">
        <v>0.0045438</v>
      </c>
      <c r="G1202" s="1">
        <v>0.0055793</v>
      </c>
      <c r="H1202" s="1">
        <v>0.008019619</v>
      </c>
      <c r="I1202" s="1">
        <v>0.007487342</v>
      </c>
      <c r="J1202" s="1">
        <v>0.012999339</v>
      </c>
      <c r="K1202" s="1">
        <v>0.014712688</v>
      </c>
      <c r="L1202" s="1">
        <v>0.01686894</v>
      </c>
      <c r="M1202" s="1">
        <v>0.0191889199999999</v>
      </c>
      <c r="N1202" s="1">
        <v>0.02119995</v>
      </c>
      <c r="O1202" s="1">
        <v>0.02310971</v>
      </c>
      <c r="P1202" s="1">
        <v>0.02549064</v>
      </c>
      <c r="Q1202" s="1">
        <v>0.02800844</v>
      </c>
      <c r="R1202" s="1">
        <v>0.03042378</v>
      </c>
      <c r="S1202" s="1">
        <v>0.03275513</v>
      </c>
    </row>
    <row r="1203" ht="14.25" hidden="1" customHeight="1">
      <c r="A1203" s="1" t="s">
        <v>5</v>
      </c>
      <c r="B1203" s="1" t="s">
        <v>66</v>
      </c>
      <c r="C1203" s="1" t="s">
        <v>21</v>
      </c>
      <c r="D1203" s="1" t="s">
        <v>28</v>
      </c>
      <c r="E1203" s="2">
        <v>1.1E-6</v>
      </c>
      <c r="F1203" s="2">
        <v>3.4E-6</v>
      </c>
      <c r="G1203" s="2">
        <v>4.2E-6</v>
      </c>
      <c r="H1203" s="2">
        <v>3.77064E-6</v>
      </c>
      <c r="I1203" s="2">
        <v>3.8321E-6</v>
      </c>
      <c r="J1203" s="2">
        <v>4.22101E-6</v>
      </c>
      <c r="K1203" s="2">
        <v>3.69985E-6</v>
      </c>
      <c r="L1203" s="2">
        <v>3.38307E-6</v>
      </c>
      <c r="M1203" s="2">
        <v>2.69605E-6</v>
      </c>
      <c r="N1203" s="2">
        <v>2.95152E-6</v>
      </c>
      <c r="O1203" s="2">
        <v>3.27337E-6</v>
      </c>
      <c r="P1203" s="2">
        <v>3.64752E-6</v>
      </c>
      <c r="Q1203" s="2">
        <v>4.06169E-6</v>
      </c>
      <c r="R1203" s="2">
        <v>4.47797E-6</v>
      </c>
      <c r="S1203" s="2">
        <v>4.84551E-6</v>
      </c>
    </row>
    <row r="1204" ht="14.25" hidden="1" customHeight="1">
      <c r="A1204" s="1" t="s">
        <v>5</v>
      </c>
      <c r="B1204" s="1" t="s">
        <v>66</v>
      </c>
      <c r="C1204" s="1" t="s">
        <v>29</v>
      </c>
      <c r="D1204" s="1" t="s">
        <v>16</v>
      </c>
      <c r="E1204" s="1">
        <v>0.00205656</v>
      </c>
      <c r="F1204" s="1">
        <v>0.00394822</v>
      </c>
      <c r="G1204" s="1">
        <v>0.00403607</v>
      </c>
      <c r="H1204" s="1">
        <v>0.003720845</v>
      </c>
      <c r="I1204" s="1">
        <v>0.003000978</v>
      </c>
      <c r="J1204" s="1">
        <v>0.003867919</v>
      </c>
      <c r="K1204" s="1">
        <v>0.00379762999999999</v>
      </c>
      <c r="L1204" s="1">
        <v>0.003695614</v>
      </c>
      <c r="M1204" s="1">
        <v>0.0031968032</v>
      </c>
      <c r="N1204" s="1">
        <v>0.003278777</v>
      </c>
      <c r="O1204" s="1">
        <v>0.003452023</v>
      </c>
      <c r="P1204" s="1">
        <v>0.003661159</v>
      </c>
      <c r="Q1204" s="1">
        <v>0.00397028699999999</v>
      </c>
      <c r="R1204" s="1">
        <v>0.00431881</v>
      </c>
      <c r="S1204" s="1">
        <v>0.004638021</v>
      </c>
    </row>
    <row r="1205" ht="14.25" hidden="1" customHeight="1">
      <c r="A1205" s="1" t="s">
        <v>5</v>
      </c>
      <c r="B1205" s="1" t="s">
        <v>66</v>
      </c>
      <c r="C1205" s="1" t="s">
        <v>29</v>
      </c>
      <c r="D1205" s="1" t="s">
        <v>8</v>
      </c>
      <c r="E1205" s="2">
        <v>4.67E-5</v>
      </c>
      <c r="F1205" s="2">
        <v>8.97E-5</v>
      </c>
      <c r="G1205" s="2">
        <v>9.17E-5</v>
      </c>
      <c r="H1205" s="2">
        <v>7.1033627E-5</v>
      </c>
      <c r="I1205" s="1">
        <v>0.001797464101</v>
      </c>
      <c r="J1205" s="1">
        <v>0.001809202026</v>
      </c>
      <c r="K1205" s="1">
        <v>0.001684523064</v>
      </c>
      <c r="L1205" s="1">
        <v>0.0014480234018</v>
      </c>
      <c r="M1205" s="1">
        <v>0.0011814611265</v>
      </c>
      <c r="N1205" s="1">
        <v>0.0010587138</v>
      </c>
      <c r="O1205" s="2">
        <v>9.380073E-4</v>
      </c>
      <c r="P1205" s="1">
        <v>0.0010301028</v>
      </c>
      <c r="Q1205" s="1">
        <v>0.0011386272</v>
      </c>
      <c r="R1205" s="1">
        <v>0.0012452383</v>
      </c>
      <c r="S1205" s="1">
        <v>0.0013392982</v>
      </c>
    </row>
    <row r="1206" ht="14.25" hidden="1" customHeight="1">
      <c r="A1206" s="1" t="s">
        <v>5</v>
      </c>
      <c r="B1206" s="1" t="s">
        <v>66</v>
      </c>
      <c r="C1206" s="1" t="s">
        <v>29</v>
      </c>
      <c r="D1206" s="1" t="s">
        <v>10</v>
      </c>
      <c r="E1206" s="2">
        <v>2.02005E-5</v>
      </c>
      <c r="F1206" s="2">
        <v>3.88005E-5</v>
      </c>
      <c r="G1206" s="1">
        <v>0.00265</v>
      </c>
      <c r="H1206" s="1">
        <v>0.002736163</v>
      </c>
      <c r="I1206" s="1">
        <v>0.00232447425</v>
      </c>
      <c r="J1206" s="1">
        <v>0.0018290688877</v>
      </c>
      <c r="K1206" s="1">
        <v>0.0012995411495</v>
      </c>
      <c r="L1206" s="2">
        <v>8.231367751E-4</v>
      </c>
      <c r="M1206" s="2">
        <v>1.159505139E-4</v>
      </c>
      <c r="N1206" s="2">
        <v>2.19896226E-5</v>
      </c>
      <c r="O1206" s="2">
        <v>1.786345826E-5</v>
      </c>
      <c r="P1206" s="2">
        <v>1.47547E-5</v>
      </c>
      <c r="Q1206" s="2">
        <v>1.167268E-5</v>
      </c>
      <c r="R1206" s="2">
        <v>1.0212914E-5</v>
      </c>
      <c r="S1206" s="2">
        <v>9.299212E-6</v>
      </c>
    </row>
    <row r="1207" ht="14.25" hidden="1" customHeight="1">
      <c r="A1207" s="1" t="s">
        <v>5</v>
      </c>
      <c r="B1207" s="1" t="s">
        <v>66</v>
      </c>
      <c r="C1207" s="1" t="s">
        <v>29</v>
      </c>
      <c r="D1207" s="1" t="s">
        <v>11</v>
      </c>
      <c r="E1207" s="2">
        <v>1.132E-4</v>
      </c>
      <c r="F1207" s="2">
        <v>2.173E-4</v>
      </c>
      <c r="G1207" s="1">
        <v>0.0148402</v>
      </c>
      <c r="H1207" s="1">
        <v>0.011455807131</v>
      </c>
      <c r="I1207" s="1">
        <v>0.009614571068534</v>
      </c>
      <c r="J1207" s="1">
        <v>0.020214981102251</v>
      </c>
      <c r="K1207" s="1">
        <v>0.031536623735955</v>
      </c>
      <c r="L1207" s="1">
        <v>0.044664706353767</v>
      </c>
      <c r="M1207" s="1">
        <v>0.0532333663</v>
      </c>
      <c r="N1207" s="1">
        <v>0.06319417</v>
      </c>
      <c r="O1207" s="1">
        <v>0.07072972</v>
      </c>
      <c r="P1207" s="1">
        <v>0.07288171</v>
      </c>
      <c r="Q1207" s="1">
        <v>0.07381346</v>
      </c>
      <c r="R1207" s="1">
        <v>0.0734346</v>
      </c>
      <c r="S1207" s="1">
        <v>0.07227398</v>
      </c>
    </row>
    <row r="1208" ht="14.25" hidden="1" customHeight="1">
      <c r="A1208" s="1" t="s">
        <v>5</v>
      </c>
      <c r="B1208" s="1" t="s">
        <v>66</v>
      </c>
      <c r="C1208" s="1" t="s">
        <v>29</v>
      </c>
      <c r="D1208" s="1" t="s">
        <v>13</v>
      </c>
      <c r="E1208" s="2">
        <v>2.33003E-5</v>
      </c>
      <c r="F1208" s="2">
        <v>4.46997E-5</v>
      </c>
      <c r="G1208" s="1">
        <v>0.00141339</v>
      </c>
      <c r="H1208" s="1">
        <v>0.00789112</v>
      </c>
      <c r="I1208" s="1">
        <v>0.007140644</v>
      </c>
      <c r="J1208" s="1">
        <v>0.007616832</v>
      </c>
      <c r="K1208" s="1">
        <v>0.007776649</v>
      </c>
      <c r="L1208" s="1">
        <v>0.007476567</v>
      </c>
      <c r="M1208" s="1">
        <v>0.0068980041</v>
      </c>
      <c r="N1208" s="1">
        <v>0.00618268749999999</v>
      </c>
      <c r="O1208" s="1">
        <v>0.006077354</v>
      </c>
      <c r="P1208" s="1">
        <v>0.00583844</v>
      </c>
      <c r="Q1208" s="1">
        <v>0.005786015</v>
      </c>
      <c r="R1208" s="1">
        <v>0.00586592199999999</v>
      </c>
      <c r="S1208" s="1">
        <v>0.005984008</v>
      </c>
    </row>
    <row r="1209" ht="14.25" hidden="1" customHeight="1">
      <c r="A1209" s="1" t="s">
        <v>5</v>
      </c>
      <c r="B1209" s="1" t="s">
        <v>66</v>
      </c>
      <c r="C1209" s="1" t="s">
        <v>29</v>
      </c>
      <c r="D1209" s="1" t="s">
        <v>14</v>
      </c>
      <c r="E1209" s="2">
        <v>8.01384E-4</v>
      </c>
      <c r="F1209" s="1">
        <v>0.0015378</v>
      </c>
      <c r="G1209" s="1">
        <v>0.048622</v>
      </c>
      <c r="H1209" s="1">
        <v>0.037667725</v>
      </c>
      <c r="I1209" s="1">
        <v>0.034214869</v>
      </c>
      <c r="J1209" s="1">
        <v>0.0298515676</v>
      </c>
      <c r="K1209" s="1">
        <v>0.0244095625</v>
      </c>
      <c r="L1209" s="1">
        <v>0.0192572474</v>
      </c>
      <c r="M1209" s="1">
        <v>0.0095033634</v>
      </c>
      <c r="N1209" s="1">
        <v>0.010282578</v>
      </c>
      <c r="O1209" s="1">
        <v>0.011567381</v>
      </c>
      <c r="P1209" s="1">
        <v>0.0132716049999999</v>
      </c>
      <c r="Q1209" s="1">
        <v>0.015163943</v>
      </c>
      <c r="R1209" s="1">
        <v>0.017159979</v>
      </c>
      <c r="S1209" s="1">
        <v>0.019006671</v>
      </c>
    </row>
    <row r="1210" ht="14.25" hidden="1" customHeight="1">
      <c r="A1210" s="1" t="s">
        <v>5</v>
      </c>
      <c r="B1210" s="1" t="s">
        <v>66</v>
      </c>
      <c r="C1210" s="1" t="s">
        <v>31</v>
      </c>
      <c r="D1210" s="1" t="s">
        <v>11</v>
      </c>
      <c r="E1210" s="1">
        <v>0.241664</v>
      </c>
      <c r="F1210" s="1">
        <v>0.283145</v>
      </c>
      <c r="G1210" s="1">
        <v>0.300943</v>
      </c>
      <c r="H1210" s="1">
        <v>0.281824</v>
      </c>
      <c r="I1210" s="1">
        <v>0.461028</v>
      </c>
      <c r="J1210" s="1">
        <v>0.141494</v>
      </c>
      <c r="K1210" s="1">
        <v>0.105297</v>
      </c>
      <c r="L1210" s="1">
        <v>0.0859071</v>
      </c>
      <c r="M1210" s="1">
        <v>0.0592161</v>
      </c>
      <c r="N1210" s="1">
        <v>0.0273646</v>
      </c>
      <c r="O1210" s="1">
        <v>0.0</v>
      </c>
      <c r="P1210" s="1">
        <v>0.0</v>
      </c>
      <c r="Q1210" s="1">
        <v>0.0</v>
      </c>
      <c r="R1210" s="1">
        <v>0.0</v>
      </c>
      <c r="S1210" s="1">
        <v>0.0</v>
      </c>
    </row>
  </sheetData>
  <autoFilter ref="$A$2:$S$1210">
    <filterColumn colId="3">
      <filters>
        <filter val="resid urban cooking"/>
        <filter val="resid rural cooking"/>
      </filters>
    </filterColumn>
    <filterColumn colId="2">
      <filters>
        <filter val="elect_td_com"/>
        <filter val="delivered biomass"/>
        <filter val="delivered gas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71"/>
    <col customWidth="1" min="3" max="18" width="8.71"/>
    <col customWidth="1" min="19" max="19" width="18.71"/>
    <col customWidth="1" min="20" max="32" width="8.71"/>
  </cols>
  <sheetData>
    <row r="1" ht="14.25" customHeight="1">
      <c r="A1" s="1" t="s">
        <v>2</v>
      </c>
      <c r="B1" s="1" t="s">
        <v>4</v>
      </c>
      <c r="C1" s="1">
        <v>2010.0</v>
      </c>
      <c r="D1" s="1">
        <v>2015.0</v>
      </c>
      <c r="E1" s="1">
        <v>2020.0</v>
      </c>
      <c r="F1" s="1">
        <v>2025.0</v>
      </c>
      <c r="G1" s="1">
        <v>2030.0</v>
      </c>
      <c r="H1" s="1">
        <v>2035.0</v>
      </c>
      <c r="I1" s="1">
        <v>2040.0</v>
      </c>
      <c r="J1" s="1">
        <v>2045.0</v>
      </c>
      <c r="K1" s="1">
        <v>2050.0</v>
      </c>
      <c r="L1" s="1">
        <v>2055.0</v>
      </c>
      <c r="M1" s="1">
        <v>2060.0</v>
      </c>
      <c r="N1" s="1">
        <v>2065.0</v>
      </c>
      <c r="O1" s="1">
        <v>2070.0</v>
      </c>
      <c r="R1" s="1" t="s">
        <v>2</v>
      </c>
      <c r="S1" s="1" t="s">
        <v>4</v>
      </c>
      <c r="T1" s="1">
        <v>2010.0</v>
      </c>
      <c r="U1" s="1">
        <v>2015.0</v>
      </c>
      <c r="V1" s="1">
        <v>2020.0</v>
      </c>
      <c r="W1" s="1">
        <v>2025.0</v>
      </c>
      <c r="X1" s="1">
        <v>2030.0</v>
      </c>
      <c r="Y1" s="1">
        <v>2035.0</v>
      </c>
      <c r="Z1" s="1">
        <v>2040.0</v>
      </c>
      <c r="AA1" s="1">
        <v>2045.0</v>
      </c>
      <c r="AB1" s="1">
        <v>2050.0</v>
      </c>
      <c r="AC1" s="1">
        <v>2055.0</v>
      </c>
      <c r="AD1" s="1">
        <v>2060.0</v>
      </c>
      <c r="AE1" s="1">
        <v>2065.0</v>
      </c>
      <c r="AF1" s="1">
        <v>2070.0</v>
      </c>
    </row>
    <row r="2" ht="14.25" customHeight="1">
      <c r="A2" s="1" t="s">
        <v>6</v>
      </c>
      <c r="B2" s="1" t="s">
        <v>14</v>
      </c>
      <c r="C2" s="3">
        <v>0.0</v>
      </c>
      <c r="D2" s="3">
        <v>0.0</v>
      </c>
      <c r="E2" s="3">
        <v>2.07011E-6</v>
      </c>
      <c r="F2" s="3">
        <v>3.363918E-5</v>
      </c>
      <c r="G2" s="3">
        <v>1.4290297E-4</v>
      </c>
      <c r="H2" s="3">
        <v>2.3639136E-4</v>
      </c>
      <c r="I2" s="3">
        <v>3.18766042E-4</v>
      </c>
      <c r="J2" s="3">
        <v>3.72937196E-4</v>
      </c>
      <c r="K2" s="3">
        <v>4.2353129E-4</v>
      </c>
      <c r="L2" s="3">
        <v>4.660575E-4</v>
      </c>
      <c r="M2" s="3">
        <v>5.128212E-4</v>
      </c>
      <c r="N2" s="3">
        <v>5.609141E-4</v>
      </c>
      <c r="O2" s="3">
        <v>6.117564E-4</v>
      </c>
      <c r="R2" s="1" t="s">
        <v>6</v>
      </c>
      <c r="S2" s="1" t="s">
        <v>14</v>
      </c>
      <c r="T2" s="1">
        <f t="shared" ref="T2:AF2" si="1">(((C2*10^9)/0.037679)/14.2)/(C42*1000)</f>
        <v>0</v>
      </c>
      <c r="U2" s="1">
        <f t="shared" si="1"/>
        <v>0</v>
      </c>
      <c r="V2" s="1">
        <f t="shared" si="1"/>
        <v>0.02249454763</v>
      </c>
      <c r="W2" s="1">
        <f t="shared" si="1"/>
        <v>0.3347231834</v>
      </c>
      <c r="X2" s="1">
        <f t="shared" si="1"/>
        <v>1.306754183</v>
      </c>
      <c r="Y2" s="1">
        <f t="shared" si="1"/>
        <v>1.996901676</v>
      </c>
      <c r="Z2" s="1">
        <f t="shared" si="1"/>
        <v>2.475013518</v>
      </c>
      <c r="AA2" s="1">
        <f t="shared" si="1"/>
        <v>2.753654932</v>
      </c>
      <c r="AB2" s="1">
        <f t="shared" si="1"/>
        <v>2.962453776</v>
      </c>
      <c r="AC2" s="1">
        <f t="shared" si="1"/>
        <v>3.103396216</v>
      </c>
      <c r="AD2" s="1">
        <f t="shared" si="1"/>
        <v>3.265920937</v>
      </c>
      <c r="AE2" s="1">
        <f t="shared" si="1"/>
        <v>3.445795325</v>
      </c>
      <c r="AF2" s="1">
        <f t="shared" si="1"/>
        <v>3.64036555</v>
      </c>
    </row>
    <row r="3" ht="14.25" customHeight="1">
      <c r="A3" s="1" t="s">
        <v>30</v>
      </c>
      <c r="B3" s="1" t="s">
        <v>14</v>
      </c>
      <c r="C3" s="3">
        <v>0.0</v>
      </c>
      <c r="D3" s="3">
        <v>6.97741E-5</v>
      </c>
      <c r="E3" s="3">
        <v>5.62240799999999E-4</v>
      </c>
      <c r="F3" s="3">
        <v>0.0061893338</v>
      </c>
      <c r="G3" s="3">
        <v>0.011344222</v>
      </c>
      <c r="H3" s="3">
        <v>0.0167983153</v>
      </c>
      <c r="I3" s="3">
        <v>0.02329607133</v>
      </c>
      <c r="J3" s="3">
        <v>0.0283534287</v>
      </c>
      <c r="K3" s="3">
        <v>0.033204131</v>
      </c>
      <c r="L3" s="3">
        <v>0.037122741</v>
      </c>
      <c r="M3" s="3">
        <v>0.040920052</v>
      </c>
      <c r="N3" s="3">
        <v>0.0447022</v>
      </c>
      <c r="O3" s="3">
        <v>0.04851553</v>
      </c>
      <c r="R3" s="1" t="s">
        <v>30</v>
      </c>
      <c r="S3" s="1" t="s">
        <v>14</v>
      </c>
      <c r="T3" s="1">
        <f t="shared" ref="T3:AF3" si="2">(((C3*10^9)/0.037679)/14.2)/(C43*1000)</f>
        <v>0</v>
      </c>
      <c r="U3" s="1">
        <f t="shared" si="2"/>
        <v>0.007851688215</v>
      </c>
      <c r="V3" s="1">
        <f t="shared" si="2"/>
        <v>0.05644189927</v>
      </c>
      <c r="W3" s="1">
        <f t="shared" si="2"/>
        <v>0.5622876786</v>
      </c>
      <c r="X3" s="1">
        <f t="shared" si="2"/>
        <v>0.9433562042</v>
      </c>
      <c r="Y3" s="1">
        <f t="shared" si="2"/>
        <v>1.287798389</v>
      </c>
      <c r="Z3" s="1">
        <f t="shared" si="2"/>
        <v>1.656161699</v>
      </c>
      <c r="AA3" s="1">
        <f t="shared" si="2"/>
        <v>1.89184764</v>
      </c>
      <c r="AB3" s="1">
        <f t="shared" si="2"/>
        <v>2.137501896</v>
      </c>
      <c r="AC3" s="1">
        <f t="shared" si="2"/>
        <v>2.315201345</v>
      </c>
      <c r="AD3" s="1">
        <f t="shared" si="2"/>
        <v>2.531866887</v>
      </c>
      <c r="AE3" s="1">
        <f t="shared" si="2"/>
        <v>2.759514289</v>
      </c>
      <c r="AF3" s="1">
        <f t="shared" si="2"/>
        <v>3.004710353</v>
      </c>
    </row>
    <row r="4" ht="14.25" customHeight="1">
      <c r="A4" s="1" t="s">
        <v>32</v>
      </c>
      <c r="B4" s="1" t="s">
        <v>14</v>
      </c>
      <c r="C4" s="3">
        <v>0.0</v>
      </c>
      <c r="D4" s="3">
        <v>0.0</v>
      </c>
      <c r="E4" s="3">
        <v>2.06818E-6</v>
      </c>
      <c r="F4" s="3">
        <v>1.809568E-4</v>
      </c>
      <c r="G4" s="3">
        <v>3.6565948E-4</v>
      </c>
      <c r="H4" s="3">
        <v>5.6788509E-4</v>
      </c>
      <c r="I4" s="3">
        <v>7.92896301E-4</v>
      </c>
      <c r="J4" s="3">
        <v>9.87045382E-4</v>
      </c>
      <c r="K4" s="3">
        <v>0.0011742669</v>
      </c>
      <c r="L4" s="3">
        <v>0.0013196045</v>
      </c>
      <c r="M4" s="3">
        <v>0.0014704868</v>
      </c>
      <c r="N4" s="3">
        <v>0.0016176163</v>
      </c>
      <c r="O4" s="3">
        <v>0.0017630902</v>
      </c>
      <c r="R4" s="1" t="s">
        <v>32</v>
      </c>
      <c r="S4" s="1" t="s">
        <v>14</v>
      </c>
      <c r="T4" s="1">
        <f t="shared" ref="T4:AF4" si="3">(((C4*10^9)/0.037679)/14.2)/(C44*1000)</f>
        <v>0</v>
      </c>
      <c r="U4" s="1">
        <f t="shared" si="3"/>
        <v>0</v>
      </c>
      <c r="V4" s="1">
        <f t="shared" si="3"/>
        <v>0.01001413212</v>
      </c>
      <c r="W4" s="1">
        <f t="shared" si="3"/>
        <v>0.8014468831</v>
      </c>
      <c r="X4" s="1">
        <f t="shared" si="3"/>
        <v>1.492188356</v>
      </c>
      <c r="Y4" s="1">
        <f t="shared" si="3"/>
        <v>2.141744922</v>
      </c>
      <c r="Z4" s="1">
        <f t="shared" si="3"/>
        <v>2.75634178</v>
      </c>
      <c r="AA4" s="1">
        <f t="shared" si="3"/>
        <v>3.267672587</v>
      </c>
      <c r="AB4" s="1">
        <f t="shared" si="3"/>
        <v>3.730271106</v>
      </c>
      <c r="AC4" s="1">
        <f t="shared" si="3"/>
        <v>4.081515483</v>
      </c>
      <c r="AD4" s="1">
        <f t="shared" si="3"/>
        <v>4.463084853</v>
      </c>
      <c r="AE4" s="1">
        <f t="shared" si="3"/>
        <v>4.8399705</v>
      </c>
      <c r="AF4" s="1">
        <f t="shared" si="3"/>
        <v>5.2294246</v>
      </c>
    </row>
    <row r="5" ht="14.25" customHeight="1">
      <c r="A5" s="1" t="s">
        <v>33</v>
      </c>
      <c r="B5" s="1" t="s">
        <v>14</v>
      </c>
      <c r="C5" s="3">
        <v>4.10001E-6</v>
      </c>
      <c r="D5" s="3">
        <v>3.16474E-6</v>
      </c>
      <c r="E5" s="3">
        <v>4.435769E-5</v>
      </c>
      <c r="F5" s="3">
        <v>0.0033545294</v>
      </c>
      <c r="G5" s="3">
        <v>0.00681645671</v>
      </c>
      <c r="H5" s="3">
        <v>0.010479986063</v>
      </c>
      <c r="I5" s="3">
        <v>0.0158882087</v>
      </c>
      <c r="J5" s="3">
        <v>0.01985201615</v>
      </c>
      <c r="K5" s="3">
        <v>0.023933157</v>
      </c>
      <c r="L5" s="3">
        <v>0.027465416</v>
      </c>
      <c r="M5" s="3">
        <v>0.031276817</v>
      </c>
      <c r="N5" s="3">
        <v>0.035263359</v>
      </c>
      <c r="O5" s="3">
        <v>0.03943932</v>
      </c>
      <c r="R5" s="1" t="s">
        <v>33</v>
      </c>
      <c r="S5" s="1" t="s">
        <v>14</v>
      </c>
      <c r="T5" s="1">
        <f t="shared" ref="T5:AF5" si="4">(((C5*10^9)/0.037679)/14.2)/(C45*1000)</f>
        <v>0.001741980309</v>
      </c>
      <c r="U5" s="1">
        <f t="shared" si="4"/>
        <v>0.001212326241</v>
      </c>
      <c r="V5" s="1">
        <f t="shared" si="4"/>
        <v>0.01544431681</v>
      </c>
      <c r="W5" s="1">
        <f t="shared" si="4"/>
        <v>1.072103037</v>
      </c>
      <c r="X5" s="1">
        <f t="shared" si="4"/>
        <v>2.016468058</v>
      </c>
      <c r="Y5" s="1">
        <f t="shared" si="4"/>
        <v>2.896662027</v>
      </c>
      <c r="Z5" s="1">
        <f t="shared" si="4"/>
        <v>3.887629116</v>
      </c>
      <c r="AA5" s="1">
        <f t="shared" si="4"/>
        <v>4.369806017</v>
      </c>
      <c r="AB5" s="1">
        <f t="shared" si="4"/>
        <v>4.80215763</v>
      </c>
      <c r="AC5" s="1">
        <f t="shared" si="4"/>
        <v>5.064594992</v>
      </c>
      <c r="AD5" s="1">
        <f t="shared" si="4"/>
        <v>5.351371139</v>
      </c>
      <c r="AE5" s="1">
        <f t="shared" si="4"/>
        <v>5.65274981</v>
      </c>
      <c r="AF5" s="1">
        <f t="shared" si="4"/>
        <v>5.977391636</v>
      </c>
    </row>
    <row r="6" ht="14.25" customHeight="1">
      <c r="A6" s="1" t="s">
        <v>34</v>
      </c>
      <c r="B6" s="1" t="s">
        <v>14</v>
      </c>
      <c r="C6" s="3">
        <v>0.0</v>
      </c>
      <c r="D6" s="3">
        <v>0.0</v>
      </c>
      <c r="E6" s="3">
        <v>0.0</v>
      </c>
      <c r="F6" s="3">
        <v>0.00514562</v>
      </c>
      <c r="G6" s="3">
        <v>0.02111993</v>
      </c>
      <c r="H6" s="3">
        <v>0.02718117</v>
      </c>
      <c r="I6" s="3">
        <v>0.03532734</v>
      </c>
      <c r="J6" s="3">
        <v>0.04097859</v>
      </c>
      <c r="K6" s="3">
        <v>0.046672244</v>
      </c>
      <c r="L6" s="3">
        <v>0.05391726</v>
      </c>
      <c r="M6" s="3">
        <v>0.06180977</v>
      </c>
      <c r="N6" s="3">
        <v>0.07182258</v>
      </c>
      <c r="O6" s="3">
        <v>0.08253833</v>
      </c>
      <c r="R6" s="1" t="s">
        <v>34</v>
      </c>
      <c r="S6" s="1" t="s">
        <v>14</v>
      </c>
      <c r="T6" s="1">
        <f t="shared" ref="T6:AF6" si="5">(((C6*10^9)/0.037679)/14.2)/(C46*1000)</f>
        <v>0</v>
      </c>
      <c r="U6" s="1">
        <f t="shared" si="5"/>
        <v>0</v>
      </c>
      <c r="V6" s="1">
        <f t="shared" si="5"/>
        <v>0</v>
      </c>
      <c r="W6" s="1">
        <f t="shared" si="5"/>
        <v>0.5809610913</v>
      </c>
      <c r="X6" s="1">
        <f t="shared" si="5"/>
        <v>2.168988438</v>
      </c>
      <c r="Y6" s="1">
        <f t="shared" si="5"/>
        <v>2.573423638</v>
      </c>
      <c r="Z6" s="1">
        <f t="shared" si="5"/>
        <v>3.067054959</v>
      </c>
      <c r="AA6" s="1">
        <f t="shared" si="5"/>
        <v>3.234149497</v>
      </c>
      <c r="AB6" s="1">
        <f t="shared" si="5"/>
        <v>3.385640358</v>
      </c>
      <c r="AC6" s="1">
        <f t="shared" si="5"/>
        <v>3.534819626</v>
      </c>
      <c r="AD6" s="1">
        <f t="shared" si="5"/>
        <v>3.710791715</v>
      </c>
      <c r="AE6" s="1">
        <f t="shared" si="5"/>
        <v>3.898621196</v>
      </c>
      <c r="AF6" s="1">
        <f t="shared" si="5"/>
        <v>4.108731478</v>
      </c>
    </row>
    <row r="7" ht="14.25" customHeight="1">
      <c r="A7" s="1" t="s">
        <v>35</v>
      </c>
      <c r="B7" s="1" t="s">
        <v>14</v>
      </c>
      <c r="C7" s="3">
        <v>0.0</v>
      </c>
      <c r="D7" s="3">
        <v>0.0</v>
      </c>
      <c r="E7" s="3">
        <v>0.0</v>
      </c>
      <c r="F7" s="3">
        <v>0.0</v>
      </c>
      <c r="G7" s="3">
        <v>0.00704773</v>
      </c>
      <c r="H7" s="3">
        <v>0.00981538</v>
      </c>
      <c r="I7" s="3">
        <v>0.0133317199999999</v>
      </c>
      <c r="J7" s="3">
        <v>0.01597027</v>
      </c>
      <c r="K7" s="3">
        <v>0.01874191</v>
      </c>
      <c r="L7" s="3">
        <v>0.021338404</v>
      </c>
      <c r="M7" s="3">
        <v>0.024028478</v>
      </c>
      <c r="N7" s="3">
        <v>0.026732884</v>
      </c>
      <c r="O7" s="3">
        <v>0.029390788</v>
      </c>
      <c r="R7" s="1" t="s">
        <v>35</v>
      </c>
      <c r="S7" s="1" t="s">
        <v>14</v>
      </c>
      <c r="T7" s="1">
        <f t="shared" ref="T7:AF7" si="6">(((C7*10^9)/0.037679)/14.2)/(C47*1000)</f>
        <v>0</v>
      </c>
      <c r="U7" s="1">
        <f t="shared" si="6"/>
        <v>0</v>
      </c>
      <c r="V7" s="1">
        <f t="shared" si="6"/>
        <v>0</v>
      </c>
      <c r="W7" s="1">
        <f t="shared" si="6"/>
        <v>0</v>
      </c>
      <c r="X7" s="1">
        <f t="shared" si="6"/>
        <v>1.356849808</v>
      </c>
      <c r="Y7" s="1">
        <f t="shared" si="6"/>
        <v>1.720926018</v>
      </c>
      <c r="Z7" s="1">
        <f t="shared" si="6"/>
        <v>2.148549305</v>
      </c>
      <c r="AA7" s="1">
        <f t="shared" si="6"/>
        <v>2.489108289</v>
      </c>
      <c r="AB7" s="1">
        <f t="shared" si="6"/>
        <v>2.842122098</v>
      </c>
      <c r="AC7" s="1">
        <f t="shared" si="6"/>
        <v>3.156850198</v>
      </c>
      <c r="AD7" s="1">
        <f t="shared" si="6"/>
        <v>3.483600625</v>
      </c>
      <c r="AE7" s="1">
        <f t="shared" si="6"/>
        <v>3.817317381</v>
      </c>
      <c r="AF7" s="1">
        <f t="shared" si="6"/>
        <v>4.154761256</v>
      </c>
    </row>
    <row r="8" ht="14.25" customHeight="1">
      <c r="A8" s="1" t="s">
        <v>36</v>
      </c>
      <c r="B8" s="1" t="s">
        <v>14</v>
      </c>
      <c r="C8" s="3">
        <v>0.0</v>
      </c>
      <c r="D8" s="3">
        <v>0.0</v>
      </c>
      <c r="E8" s="3">
        <v>2.85187E-7</v>
      </c>
      <c r="F8" s="3">
        <v>1.26800627E-4</v>
      </c>
      <c r="G8" s="3">
        <v>2.5516125E-4</v>
      </c>
      <c r="H8" s="3">
        <v>3.55675193E-4</v>
      </c>
      <c r="I8" s="3">
        <v>4.622902363E-4</v>
      </c>
      <c r="J8" s="3">
        <v>5.387871594E-4</v>
      </c>
      <c r="K8" s="3">
        <v>6.07701399999999E-4</v>
      </c>
      <c r="L8" s="3">
        <v>6.687227E-4</v>
      </c>
      <c r="M8" s="3">
        <v>7.325578E-4</v>
      </c>
      <c r="N8" s="3">
        <v>7.962973E-4</v>
      </c>
      <c r="O8" s="3">
        <v>8.610899E-4</v>
      </c>
      <c r="R8" s="1" t="s">
        <v>36</v>
      </c>
      <c r="S8" s="1" t="s">
        <v>14</v>
      </c>
      <c r="T8" s="1">
        <f t="shared" ref="T8:AF8" si="7">(((C8*10^9)/0.037679)/14.2)/(C48*1000)</f>
        <v>0</v>
      </c>
      <c r="U8" s="1">
        <f t="shared" si="7"/>
        <v>0</v>
      </c>
      <c r="V8" s="1">
        <f t="shared" si="7"/>
        <v>0.000445697177</v>
      </c>
      <c r="W8" s="1">
        <f t="shared" si="7"/>
        <v>0.188939116</v>
      </c>
      <c r="X8" s="1">
        <f t="shared" si="7"/>
        <v>0.3619209794</v>
      </c>
      <c r="Y8" s="1">
        <f t="shared" si="7"/>
        <v>0.4810001928</v>
      </c>
      <c r="Z8" s="1">
        <f t="shared" si="7"/>
        <v>0.5977766656</v>
      </c>
      <c r="AA8" s="1">
        <f t="shared" si="7"/>
        <v>0.6566635528</v>
      </c>
      <c r="AB8" s="1">
        <f t="shared" si="7"/>
        <v>0.7055808554</v>
      </c>
      <c r="AC8" s="1">
        <f t="shared" si="7"/>
        <v>0.7483557089</v>
      </c>
      <c r="AD8" s="1">
        <f t="shared" si="7"/>
        <v>0.796653134</v>
      </c>
      <c r="AE8" s="1">
        <f t="shared" si="7"/>
        <v>0.8459893743</v>
      </c>
      <c r="AF8" s="1">
        <f t="shared" si="7"/>
        <v>0.8986426392</v>
      </c>
    </row>
    <row r="9" ht="14.25" customHeight="1">
      <c r="A9" s="1" t="s">
        <v>37</v>
      </c>
      <c r="B9" s="1" t="s">
        <v>14</v>
      </c>
      <c r="C9" s="3">
        <v>0.0</v>
      </c>
      <c r="D9" s="3">
        <v>0.0</v>
      </c>
      <c r="E9" s="3">
        <v>0.0</v>
      </c>
      <c r="F9" s="3">
        <v>1.70268E-6</v>
      </c>
      <c r="G9" s="3">
        <v>1.2178044E-4</v>
      </c>
      <c r="H9" s="3">
        <v>3.2301543E-4</v>
      </c>
      <c r="I9" s="3">
        <v>5.38471142E-4</v>
      </c>
      <c r="J9" s="3">
        <v>7.06904154E-4</v>
      </c>
      <c r="K9" s="3">
        <v>8.28559246E-4</v>
      </c>
      <c r="L9" s="3">
        <v>9.281998E-4</v>
      </c>
      <c r="M9" s="3">
        <v>9.900633E-4</v>
      </c>
      <c r="N9" s="3">
        <v>0.001045399</v>
      </c>
      <c r="O9" s="3">
        <v>0.0010986727</v>
      </c>
      <c r="R9" s="1" t="s">
        <v>37</v>
      </c>
      <c r="S9" s="1" t="s">
        <v>14</v>
      </c>
      <c r="T9" s="1">
        <f t="shared" ref="T9:AF9" si="8">(((C9*10^9)/0.037679)/14.2)/(C49*1000)</f>
        <v>0</v>
      </c>
      <c r="U9" s="1">
        <f t="shared" si="8"/>
        <v>0</v>
      </c>
      <c r="V9" s="1">
        <f t="shared" si="8"/>
        <v>0</v>
      </c>
      <c r="W9" s="1">
        <f t="shared" si="8"/>
        <v>0.004638966182</v>
      </c>
      <c r="X9" s="1">
        <f t="shared" si="8"/>
        <v>0.2153615935</v>
      </c>
      <c r="Y9" s="1">
        <f t="shared" si="8"/>
        <v>0.4231346036</v>
      </c>
      <c r="Z9" s="1">
        <f t="shared" si="8"/>
        <v>0.5638243132</v>
      </c>
      <c r="AA9" s="1">
        <f t="shared" si="8"/>
        <v>0.6152874751</v>
      </c>
      <c r="AB9" s="1">
        <f t="shared" si="8"/>
        <v>0.6490581661</v>
      </c>
      <c r="AC9" s="1">
        <f t="shared" si="8"/>
        <v>0.6607619767</v>
      </c>
      <c r="AD9" s="1">
        <f t="shared" si="8"/>
        <v>0.6794374244</v>
      </c>
      <c r="AE9" s="1">
        <f t="shared" si="8"/>
        <v>0.6959097909</v>
      </c>
      <c r="AF9" s="1">
        <f t="shared" si="8"/>
        <v>0.7137560725</v>
      </c>
    </row>
    <row r="10" ht="14.25" customHeight="1">
      <c r="A10" s="1" t="s">
        <v>38</v>
      </c>
      <c r="B10" s="1" t="s">
        <v>14</v>
      </c>
      <c r="C10" s="3">
        <v>5.16989E-5</v>
      </c>
      <c r="D10" s="3">
        <v>5.42961E-5</v>
      </c>
      <c r="E10" s="3">
        <v>0.0020832971</v>
      </c>
      <c r="F10" s="3">
        <v>0.0040955362</v>
      </c>
      <c r="G10" s="3">
        <v>0.00623912219</v>
      </c>
      <c r="H10" s="3">
        <v>0.00850742675</v>
      </c>
      <c r="I10" s="3">
        <v>0.0111597612299999</v>
      </c>
      <c r="J10" s="3">
        <v>0.013095676</v>
      </c>
      <c r="K10" s="3">
        <v>0.014890535</v>
      </c>
      <c r="L10" s="3">
        <v>0.016608584</v>
      </c>
      <c r="M10" s="3">
        <v>0.018344353</v>
      </c>
      <c r="N10" s="3">
        <v>0.020025103</v>
      </c>
      <c r="O10" s="3">
        <v>0.021674699</v>
      </c>
      <c r="R10" s="1" t="s">
        <v>38</v>
      </c>
      <c r="S10" s="1" t="s">
        <v>14</v>
      </c>
      <c r="T10" s="1">
        <f t="shared" ref="T10:AF10" si="9">(((C10*10^9)/0.037679)/14.2)/(C50*1000)</f>
        <v>0.005902981763</v>
      </c>
      <c r="U10" s="1">
        <f t="shared" si="9"/>
        <v>0.005510132413</v>
      </c>
      <c r="V10" s="1">
        <f t="shared" si="9"/>
        <v>0.1905132132</v>
      </c>
      <c r="W10" s="1">
        <f t="shared" si="9"/>
        <v>0.3430314587</v>
      </c>
      <c r="X10" s="1">
        <f t="shared" si="9"/>
        <v>0.4797481971</v>
      </c>
      <c r="Y10" s="1">
        <f t="shared" si="9"/>
        <v>0.6040049202</v>
      </c>
      <c r="Z10" s="1">
        <f t="shared" si="9"/>
        <v>0.7386198122</v>
      </c>
      <c r="AA10" s="1">
        <f t="shared" si="9"/>
        <v>0.8175940733</v>
      </c>
      <c r="AB10" s="1">
        <f t="shared" si="9"/>
        <v>0.8854929691</v>
      </c>
      <c r="AC10" s="1">
        <f t="shared" si="9"/>
        <v>0.9490655668</v>
      </c>
      <c r="AD10" s="1">
        <f t="shared" si="9"/>
        <v>1.013674937</v>
      </c>
      <c r="AE10" s="1">
        <f t="shared" si="9"/>
        <v>1.076458631</v>
      </c>
      <c r="AF10" s="1">
        <f t="shared" si="9"/>
        <v>1.140104046</v>
      </c>
    </row>
    <row r="11" ht="14.25" customHeight="1">
      <c r="A11" s="1" t="s">
        <v>39</v>
      </c>
      <c r="B11" s="1" t="s">
        <v>14</v>
      </c>
      <c r="C11" s="3">
        <v>0.0</v>
      </c>
      <c r="D11" s="3">
        <v>0.0</v>
      </c>
      <c r="E11" s="3">
        <v>0.0</v>
      </c>
      <c r="F11" s="3">
        <v>8.65615E-6</v>
      </c>
      <c r="G11" s="3">
        <v>1.1827712E-4</v>
      </c>
      <c r="H11" s="3">
        <v>3.0853788E-4</v>
      </c>
      <c r="I11" s="3">
        <v>4.9276557E-4</v>
      </c>
      <c r="J11" s="3">
        <v>6.2837697E-4</v>
      </c>
      <c r="K11" s="3">
        <v>7.4801883E-4</v>
      </c>
      <c r="L11" s="3">
        <v>8.290297E-4</v>
      </c>
      <c r="M11" s="3">
        <v>9.025778E-4</v>
      </c>
      <c r="N11" s="3">
        <v>9.684091E-4</v>
      </c>
      <c r="O11" s="3">
        <v>0.00103614689999999</v>
      </c>
      <c r="R11" s="1" t="s">
        <v>39</v>
      </c>
      <c r="S11" s="1" t="s">
        <v>14</v>
      </c>
      <c r="T11" s="1">
        <f t="shared" ref="T11:AF11" si="10">(((C11*10^9)/0.037679)/14.2)/(C51*1000)</f>
        <v>0</v>
      </c>
      <c r="U11" s="1">
        <f t="shared" si="10"/>
        <v>0</v>
      </c>
      <c r="V11" s="1">
        <f t="shared" si="10"/>
        <v>0</v>
      </c>
      <c r="W11" s="1">
        <f t="shared" si="10"/>
        <v>0.02639226034</v>
      </c>
      <c r="X11" s="1">
        <f t="shared" si="10"/>
        <v>0.2413334686</v>
      </c>
      <c r="Y11" s="1">
        <f t="shared" si="10"/>
        <v>0.4699153026</v>
      </c>
      <c r="Z11" s="1">
        <f t="shared" si="10"/>
        <v>0.6215481474</v>
      </c>
      <c r="AA11" s="1">
        <f t="shared" si="10"/>
        <v>0.6999658089</v>
      </c>
      <c r="AB11" s="1">
        <f t="shared" si="10"/>
        <v>0.7434257913</v>
      </c>
      <c r="AC11" s="1">
        <f t="shared" si="10"/>
        <v>0.7716854241</v>
      </c>
      <c r="AD11" s="1">
        <f t="shared" si="10"/>
        <v>0.804238043</v>
      </c>
      <c r="AE11" s="1">
        <f t="shared" si="10"/>
        <v>0.8392307938</v>
      </c>
      <c r="AF11" s="1">
        <f t="shared" si="10"/>
        <v>0.8782917696</v>
      </c>
    </row>
    <row r="12" ht="14.25" customHeight="1">
      <c r="A12" s="1" t="s">
        <v>40</v>
      </c>
      <c r="B12" s="1" t="s">
        <v>14</v>
      </c>
      <c r="C12" s="3">
        <v>0.0</v>
      </c>
      <c r="D12" s="3">
        <v>0.0</v>
      </c>
      <c r="E12" s="3">
        <v>0.0</v>
      </c>
      <c r="F12" s="3">
        <v>0.0</v>
      </c>
      <c r="G12" s="3">
        <v>1.54487E-7</v>
      </c>
      <c r="H12" s="3">
        <v>4.79425141E-4</v>
      </c>
      <c r="I12" s="3">
        <v>9.65270185E-4</v>
      </c>
      <c r="J12" s="3">
        <v>0.0012203912437</v>
      </c>
      <c r="K12" s="3">
        <v>0.001420012302</v>
      </c>
      <c r="L12" s="3">
        <v>0.0015401873462</v>
      </c>
      <c r="M12" s="3">
        <v>0.0016421842</v>
      </c>
      <c r="N12" s="3">
        <v>0.0017343637</v>
      </c>
      <c r="O12" s="3">
        <v>0.0018310473</v>
      </c>
      <c r="R12" s="1" t="s">
        <v>40</v>
      </c>
      <c r="S12" s="1" t="s">
        <v>14</v>
      </c>
      <c r="T12" s="1">
        <f t="shared" ref="T12:AF12" si="11">(((C12*10^9)/0.037679)/14.2)/(C52*1000)</f>
        <v>0</v>
      </c>
      <c r="U12" s="1">
        <f t="shared" si="11"/>
        <v>0</v>
      </c>
      <c r="V12" s="1">
        <f t="shared" si="11"/>
        <v>0</v>
      </c>
      <c r="W12" s="1">
        <f t="shared" si="11"/>
        <v>0</v>
      </c>
      <c r="X12" s="1">
        <f t="shared" si="11"/>
        <v>0.0002109117519</v>
      </c>
      <c r="Y12" s="1">
        <f t="shared" si="11"/>
        <v>0.6046233128</v>
      </c>
      <c r="Z12" s="1">
        <f t="shared" si="11"/>
        <v>1.167205194</v>
      </c>
      <c r="AA12" s="1">
        <f t="shared" si="11"/>
        <v>1.425401148</v>
      </c>
      <c r="AB12" s="1">
        <f t="shared" si="11"/>
        <v>1.603357261</v>
      </c>
      <c r="AC12" s="1">
        <f t="shared" si="11"/>
        <v>1.69406908</v>
      </c>
      <c r="AD12" s="1">
        <f t="shared" si="11"/>
        <v>1.787864866</v>
      </c>
      <c r="AE12" s="1">
        <f t="shared" si="11"/>
        <v>1.878156603</v>
      </c>
      <c r="AF12" s="1">
        <f t="shared" si="11"/>
        <v>1.983913585</v>
      </c>
    </row>
    <row r="13" ht="14.25" customHeight="1">
      <c r="A13" s="1" t="s">
        <v>41</v>
      </c>
      <c r="B13" s="1" t="s">
        <v>14</v>
      </c>
      <c r="C13" s="3">
        <v>9.67003E-5</v>
      </c>
      <c r="D13" s="3">
        <v>7.55627269999999E-5</v>
      </c>
      <c r="E13" s="3">
        <v>0.001850574639</v>
      </c>
      <c r="F13" s="3">
        <v>0.018366572996</v>
      </c>
      <c r="G13" s="3">
        <v>0.032100725763</v>
      </c>
      <c r="H13" s="3">
        <v>0.042635881631</v>
      </c>
      <c r="I13" s="3">
        <v>0.056180164287</v>
      </c>
      <c r="J13" s="3">
        <v>0.066725727</v>
      </c>
      <c r="K13" s="3">
        <v>0.07754306</v>
      </c>
      <c r="L13" s="3">
        <v>0.08745875</v>
      </c>
      <c r="M13" s="3">
        <v>0.097499</v>
      </c>
      <c r="N13" s="3">
        <v>0.10738693</v>
      </c>
      <c r="O13" s="3">
        <v>0.11710867</v>
      </c>
      <c r="R13" s="1" t="s">
        <v>41</v>
      </c>
      <c r="S13" s="1" t="s">
        <v>14</v>
      </c>
      <c r="T13" s="1">
        <f t="shared" ref="T13:AF13" si="12">(((C13*10^9)/0.037679)/14.2)/(C53*1000)</f>
        <v>0.00702016327</v>
      </c>
      <c r="U13" s="1">
        <f t="shared" si="12"/>
        <v>0.004794368327</v>
      </c>
      <c r="V13" s="1">
        <f t="shared" si="12"/>
        <v>0.1038195342</v>
      </c>
      <c r="W13" s="1">
        <f t="shared" si="12"/>
        <v>0.92297701</v>
      </c>
      <c r="X13" s="1">
        <f t="shared" si="12"/>
        <v>1.463262011</v>
      </c>
      <c r="Y13" s="1">
        <f t="shared" si="12"/>
        <v>1.782029445</v>
      </c>
      <c r="Z13" s="1">
        <f t="shared" si="12"/>
        <v>2.173902536</v>
      </c>
      <c r="AA13" s="1">
        <f t="shared" si="12"/>
        <v>2.473182984</v>
      </c>
      <c r="AB13" s="1">
        <f t="shared" si="12"/>
        <v>2.769805706</v>
      </c>
      <c r="AC13" s="1">
        <f t="shared" si="12"/>
        <v>3.027457776</v>
      </c>
      <c r="AD13" s="1">
        <f t="shared" si="12"/>
        <v>3.287750946</v>
      </c>
      <c r="AE13" s="1">
        <f t="shared" si="12"/>
        <v>3.545618794</v>
      </c>
      <c r="AF13" s="1">
        <f t="shared" si="12"/>
        <v>3.805210476</v>
      </c>
    </row>
    <row r="14" ht="14.25" customHeight="1">
      <c r="A14" s="1" t="s">
        <v>42</v>
      </c>
      <c r="B14" s="1" t="s">
        <v>14</v>
      </c>
      <c r="C14" s="3">
        <v>0.0</v>
      </c>
      <c r="D14" s="3">
        <v>0.0</v>
      </c>
      <c r="E14" s="3">
        <v>0.0</v>
      </c>
      <c r="F14" s="3">
        <v>5.15321E-4</v>
      </c>
      <c r="G14" s="3">
        <v>0.001121667</v>
      </c>
      <c r="H14" s="3">
        <v>0.001522215</v>
      </c>
      <c r="I14" s="3">
        <v>0.001973923</v>
      </c>
      <c r="J14" s="3">
        <v>0.002235731</v>
      </c>
      <c r="K14" s="3">
        <v>0.0024548794</v>
      </c>
      <c r="L14" s="3">
        <v>0.0026256608</v>
      </c>
      <c r="M14" s="3">
        <v>0.0028081929</v>
      </c>
      <c r="N14" s="3">
        <v>0.0029864447</v>
      </c>
      <c r="O14" s="3">
        <v>0.0031646515</v>
      </c>
      <c r="R14" s="1" t="s">
        <v>42</v>
      </c>
      <c r="S14" s="1" t="s">
        <v>14</v>
      </c>
      <c r="T14" s="1">
        <f t="shared" ref="T14:AF14" si="13">(((C14*10^9)/0.037679)/14.2)/(C54*1000)</f>
        <v>0</v>
      </c>
      <c r="U14" s="1">
        <f t="shared" si="13"/>
        <v>0</v>
      </c>
      <c r="V14" s="1">
        <f t="shared" si="13"/>
        <v>0</v>
      </c>
      <c r="W14" s="1">
        <f t="shared" si="13"/>
        <v>1.223813941</v>
      </c>
      <c r="X14" s="1">
        <f t="shared" si="13"/>
        <v>2.58816054</v>
      </c>
      <c r="Y14" s="1">
        <f t="shared" si="13"/>
        <v>3.421294948</v>
      </c>
      <c r="Z14" s="1">
        <f t="shared" si="13"/>
        <v>4.237988271</v>
      </c>
      <c r="AA14" s="1">
        <f t="shared" si="13"/>
        <v>4.59682952</v>
      </c>
      <c r="AB14" s="1">
        <f t="shared" si="13"/>
        <v>4.866259197</v>
      </c>
      <c r="AC14" s="1">
        <f t="shared" si="13"/>
        <v>5.038495429</v>
      </c>
      <c r="AD14" s="1">
        <f t="shared" si="13"/>
        <v>5.24456275</v>
      </c>
      <c r="AE14" s="1">
        <f t="shared" si="13"/>
        <v>5.459786491</v>
      </c>
      <c r="AF14" s="1">
        <f t="shared" si="13"/>
        <v>5.697527595</v>
      </c>
    </row>
    <row r="15" ht="14.25" customHeight="1">
      <c r="A15" s="1" t="s">
        <v>43</v>
      </c>
      <c r="B15" s="1" t="s">
        <v>14</v>
      </c>
      <c r="C15" s="3">
        <v>3.00005E-7</v>
      </c>
      <c r="D15" s="3">
        <v>5.56395E-7</v>
      </c>
      <c r="E15" s="3">
        <v>1.10573396E-4</v>
      </c>
      <c r="F15" s="3">
        <v>0.00481592047999999</v>
      </c>
      <c r="G15" s="3">
        <v>0.008941495067</v>
      </c>
      <c r="H15" s="3">
        <v>0.0127965677816</v>
      </c>
      <c r="I15" s="3">
        <v>0.0175872922799</v>
      </c>
      <c r="J15" s="3">
        <v>0.0208945698</v>
      </c>
      <c r="K15" s="3">
        <v>0.024062202</v>
      </c>
      <c r="L15" s="3">
        <v>0.026613481</v>
      </c>
      <c r="M15" s="3">
        <v>0.029262214</v>
      </c>
      <c r="N15" s="3">
        <v>0.03193762</v>
      </c>
      <c r="O15" s="3">
        <v>0.034711937</v>
      </c>
      <c r="R15" s="1" t="s">
        <v>43</v>
      </c>
      <c r="S15" s="1" t="s">
        <v>14</v>
      </c>
      <c r="T15" s="1">
        <f t="shared" ref="T15:AF15" si="14">(((C15*10^9)/0.037679)/14.2)/(C55*1000)</f>
        <v>0.00006341474783</v>
      </c>
      <c r="U15" s="1">
        <f t="shared" si="14"/>
        <v>0.00009984727846</v>
      </c>
      <c r="V15" s="1">
        <f t="shared" si="14"/>
        <v>0.01713056185</v>
      </c>
      <c r="W15" s="1">
        <f t="shared" si="14"/>
        <v>0.6559074012</v>
      </c>
      <c r="X15" s="1">
        <f t="shared" si="14"/>
        <v>1.085391257</v>
      </c>
      <c r="Y15" s="1">
        <f t="shared" si="14"/>
        <v>1.399142953</v>
      </c>
      <c r="Z15" s="1">
        <f t="shared" si="14"/>
        <v>1.713497291</v>
      </c>
      <c r="AA15" s="1">
        <f t="shared" si="14"/>
        <v>1.907526583</v>
      </c>
      <c r="AB15" s="1">
        <f t="shared" si="14"/>
        <v>2.073605561</v>
      </c>
      <c r="AC15" s="1">
        <f t="shared" si="14"/>
        <v>2.179011009</v>
      </c>
      <c r="AD15" s="1">
        <f t="shared" si="14"/>
        <v>2.288632632</v>
      </c>
      <c r="AE15" s="1">
        <f t="shared" si="14"/>
        <v>2.398639468</v>
      </c>
      <c r="AF15" s="1">
        <f t="shared" si="14"/>
        <v>2.516614222</v>
      </c>
    </row>
    <row r="16" ht="14.25" customHeight="1">
      <c r="A16" s="1" t="s">
        <v>44</v>
      </c>
      <c r="B16" s="1" t="s">
        <v>14</v>
      </c>
      <c r="C16" s="3">
        <v>0.0</v>
      </c>
      <c r="D16" s="3">
        <v>0.0</v>
      </c>
      <c r="E16" s="3">
        <v>0.0</v>
      </c>
      <c r="F16" s="3">
        <v>0.0</v>
      </c>
      <c r="G16" s="3">
        <v>1.03115E-10</v>
      </c>
      <c r="H16" s="3">
        <v>1.11477E-10</v>
      </c>
      <c r="I16" s="3">
        <v>1.65898E-10</v>
      </c>
      <c r="J16" s="3">
        <v>3.14242999999999E-10</v>
      </c>
      <c r="K16" s="3">
        <v>8.073777177E-6</v>
      </c>
      <c r="L16" s="3">
        <v>5.834734249E-5</v>
      </c>
      <c r="M16" s="3">
        <v>3.5457345E-4</v>
      </c>
      <c r="N16" s="3">
        <v>0.00116457125</v>
      </c>
      <c r="O16" s="3">
        <v>0.00268167546</v>
      </c>
      <c r="R16" s="1" t="s">
        <v>44</v>
      </c>
      <c r="S16" s="1" t="s">
        <v>14</v>
      </c>
      <c r="T16" s="1">
        <f t="shared" ref="T16:AF16" si="15">(((C16*10^9)/0.037679)/14.2)/(C56*1000)</f>
        <v>0</v>
      </c>
      <c r="U16" s="1">
        <f t="shared" si="15"/>
        <v>0</v>
      </c>
      <c r="V16" s="1">
        <f t="shared" si="15"/>
        <v>0</v>
      </c>
      <c r="W16" s="1">
        <f t="shared" si="15"/>
        <v>0</v>
      </c>
      <c r="X16" s="1">
        <f t="shared" si="15"/>
        <v>0.000000016196593</v>
      </c>
      <c r="Y16" s="1">
        <f t="shared" si="15"/>
        <v>0.00000001625717428</v>
      </c>
      <c r="Z16" s="1">
        <f t="shared" si="15"/>
        <v>0.00000002276779507</v>
      </c>
      <c r="AA16" s="1">
        <f t="shared" si="15"/>
        <v>0.000000040937645</v>
      </c>
      <c r="AB16" s="1">
        <f t="shared" si="15"/>
        <v>0.001005597314</v>
      </c>
      <c r="AC16" s="1">
        <f t="shared" si="15"/>
        <v>0.007006542725</v>
      </c>
      <c r="AD16" s="1">
        <f t="shared" si="15"/>
        <v>0.04131663724</v>
      </c>
      <c r="AE16" s="1">
        <f t="shared" si="15"/>
        <v>0.1324569379</v>
      </c>
      <c r="AF16" s="1">
        <f t="shared" si="15"/>
        <v>0.2994292241</v>
      </c>
    </row>
    <row r="17" ht="14.25" customHeight="1">
      <c r="A17" s="1" t="s">
        <v>45</v>
      </c>
      <c r="B17" s="1" t="s">
        <v>14</v>
      </c>
      <c r="C17" s="3">
        <v>0.0</v>
      </c>
      <c r="D17" s="3">
        <v>0.0</v>
      </c>
      <c r="E17" s="3">
        <v>0.0</v>
      </c>
      <c r="F17" s="3">
        <v>5.68889E-4</v>
      </c>
      <c r="G17" s="3">
        <v>0.003412675</v>
      </c>
      <c r="H17" s="3">
        <v>0.00496939199999999</v>
      </c>
      <c r="I17" s="3">
        <v>0.006591334</v>
      </c>
      <c r="J17" s="3">
        <v>0.00754623699999999</v>
      </c>
      <c r="K17" s="3">
        <v>0.0083032014</v>
      </c>
      <c r="L17" s="3">
        <v>0.008932826</v>
      </c>
      <c r="M17" s="3">
        <v>0.009584298</v>
      </c>
      <c r="N17" s="3">
        <v>0.010250101</v>
      </c>
      <c r="O17" s="3">
        <v>0.01093489</v>
      </c>
      <c r="R17" s="1" t="s">
        <v>45</v>
      </c>
      <c r="S17" s="1" t="s">
        <v>14</v>
      </c>
      <c r="T17" s="1">
        <f t="shared" ref="T17:AF17" si="16">(((C17*10^9)/0.037679)/14.2)/(C57*1000)</f>
        <v>0</v>
      </c>
      <c r="U17" s="1">
        <f t="shared" si="16"/>
        <v>0</v>
      </c>
      <c r="V17" s="1">
        <f t="shared" si="16"/>
        <v>0</v>
      </c>
      <c r="W17" s="1">
        <f t="shared" si="16"/>
        <v>0.2443716046</v>
      </c>
      <c r="X17" s="1">
        <f t="shared" si="16"/>
        <v>1.361727889</v>
      </c>
      <c r="Y17" s="1">
        <f t="shared" si="16"/>
        <v>1.855715786</v>
      </c>
      <c r="Z17" s="1">
        <f t="shared" si="16"/>
        <v>2.276434209</v>
      </c>
      <c r="AA17" s="1">
        <f t="shared" si="16"/>
        <v>2.502433222</v>
      </c>
      <c r="AB17" s="1">
        <f t="shared" si="16"/>
        <v>2.661606611</v>
      </c>
      <c r="AC17" s="1">
        <f t="shared" si="16"/>
        <v>2.78356404</v>
      </c>
      <c r="AD17" s="1">
        <f t="shared" si="16"/>
        <v>2.918581949</v>
      </c>
      <c r="AE17" s="1">
        <f t="shared" si="16"/>
        <v>3.066074685</v>
      </c>
      <c r="AF17" s="1">
        <f t="shared" si="16"/>
        <v>3.229394624</v>
      </c>
    </row>
    <row r="18" ht="14.25" customHeight="1">
      <c r="A18" s="1" t="s">
        <v>46</v>
      </c>
      <c r="B18" s="1" t="s">
        <v>14</v>
      </c>
      <c r="C18" s="3">
        <v>0.0</v>
      </c>
      <c r="D18" s="3">
        <v>0.0</v>
      </c>
      <c r="E18" s="3">
        <v>2.23583E-4</v>
      </c>
      <c r="F18" s="3">
        <v>0.007367817</v>
      </c>
      <c r="G18" s="3">
        <v>0.014124754</v>
      </c>
      <c r="H18" s="3">
        <v>0.021491661</v>
      </c>
      <c r="I18" s="3">
        <v>0.0304022391</v>
      </c>
      <c r="J18" s="3">
        <v>0.0363511661</v>
      </c>
      <c r="K18" s="3">
        <v>0.041670392</v>
      </c>
      <c r="L18" s="3">
        <v>0.0454230299999999</v>
      </c>
      <c r="M18" s="3">
        <v>0.0490653099999999</v>
      </c>
      <c r="N18" s="3">
        <v>0.05254739</v>
      </c>
      <c r="O18" s="3">
        <v>0.05602293</v>
      </c>
      <c r="R18" s="1" t="s">
        <v>46</v>
      </c>
      <c r="S18" s="1" t="s">
        <v>14</v>
      </c>
      <c r="T18" s="1">
        <f t="shared" ref="T18:AF18" si="17">(((C18*10^9)/0.037679)/14.2)/(C58*1000)</f>
        <v>0</v>
      </c>
      <c r="U18" s="1">
        <f t="shared" si="17"/>
        <v>0</v>
      </c>
      <c r="V18" s="1">
        <f t="shared" si="17"/>
        <v>0.01438780816</v>
      </c>
      <c r="W18" s="1">
        <f t="shared" si="17"/>
        <v>0.435501096</v>
      </c>
      <c r="X18" s="1">
        <f t="shared" si="17"/>
        <v>0.7739247381</v>
      </c>
      <c r="Y18" s="1">
        <f t="shared" si="17"/>
        <v>1.100166815</v>
      </c>
      <c r="Z18" s="1">
        <f t="shared" si="17"/>
        <v>1.451619037</v>
      </c>
      <c r="AA18" s="1">
        <f t="shared" si="17"/>
        <v>1.680654557</v>
      </c>
      <c r="AB18" s="1">
        <f t="shared" si="17"/>
        <v>1.875904699</v>
      </c>
      <c r="AC18" s="1">
        <f t="shared" si="17"/>
        <v>1.996299435</v>
      </c>
      <c r="AD18" s="1">
        <f t="shared" si="17"/>
        <v>2.114766911</v>
      </c>
      <c r="AE18" s="1">
        <f t="shared" si="17"/>
        <v>2.232683929</v>
      </c>
      <c r="AF18" s="1">
        <f t="shared" si="17"/>
        <v>2.358634661</v>
      </c>
    </row>
    <row r="19" ht="14.25" customHeight="1">
      <c r="A19" s="1" t="s">
        <v>47</v>
      </c>
      <c r="B19" s="1" t="s">
        <v>14</v>
      </c>
      <c r="C19" s="3">
        <v>0.0</v>
      </c>
      <c r="D19" s="3">
        <v>0.0</v>
      </c>
      <c r="E19" s="3">
        <v>5.82299E-4</v>
      </c>
      <c r="F19" s="3">
        <v>0.00520372</v>
      </c>
      <c r="G19" s="3">
        <v>0.00951845399999999</v>
      </c>
      <c r="H19" s="3">
        <v>0.01333086</v>
      </c>
      <c r="I19" s="3">
        <v>0.016553775</v>
      </c>
      <c r="J19" s="3">
        <v>0.0179420895</v>
      </c>
      <c r="K19" s="3">
        <v>0.019036886</v>
      </c>
      <c r="L19" s="3">
        <v>0.019439321</v>
      </c>
      <c r="M19" s="3">
        <v>0.019759472</v>
      </c>
      <c r="N19" s="3">
        <v>0.019945109</v>
      </c>
      <c r="O19" s="3">
        <v>0.020027669</v>
      </c>
      <c r="R19" s="1" t="s">
        <v>47</v>
      </c>
      <c r="S19" s="1" t="s">
        <v>14</v>
      </c>
      <c r="T19" s="1">
        <f t="shared" ref="T19:AF19" si="18">(((C19*10^9)/0.037679)/14.2)/(C59*1000)</f>
        <v>0</v>
      </c>
      <c r="U19" s="1">
        <f t="shared" si="18"/>
        <v>0</v>
      </c>
      <c r="V19" s="1">
        <f t="shared" si="18"/>
        <v>0.04318747278</v>
      </c>
      <c r="W19" s="1">
        <f t="shared" si="18"/>
        <v>0.3300804192</v>
      </c>
      <c r="X19" s="1">
        <f t="shared" si="18"/>
        <v>0.5382624685</v>
      </c>
      <c r="Y19" s="1">
        <f t="shared" si="18"/>
        <v>0.6992856765</v>
      </c>
      <c r="Z19" s="1">
        <f t="shared" si="18"/>
        <v>0.8687960723</v>
      </c>
      <c r="AA19" s="1">
        <f t="shared" si="18"/>
        <v>0.9539494962</v>
      </c>
      <c r="AB19" s="1">
        <f t="shared" si="18"/>
        <v>1.030673369</v>
      </c>
      <c r="AC19" s="1">
        <f t="shared" si="18"/>
        <v>1.070080634</v>
      </c>
      <c r="AD19" s="1">
        <f t="shared" si="18"/>
        <v>1.11048421</v>
      </c>
      <c r="AE19" s="1">
        <f t="shared" si="18"/>
        <v>1.150893327</v>
      </c>
      <c r="AF19" s="1">
        <f t="shared" si="18"/>
        <v>1.193396993</v>
      </c>
    </row>
    <row r="20" ht="14.25" customHeight="1">
      <c r="A20" s="1" t="s">
        <v>48</v>
      </c>
      <c r="B20" s="1" t="s">
        <v>14</v>
      </c>
      <c r="C20" s="3">
        <v>3.96301E-7</v>
      </c>
      <c r="D20" s="3">
        <v>3.059E-7</v>
      </c>
      <c r="E20" s="3">
        <v>2.6252181E-7</v>
      </c>
      <c r="F20" s="3">
        <v>5.74357568E-6</v>
      </c>
      <c r="G20" s="3">
        <v>1.05402718E-5</v>
      </c>
      <c r="H20" s="3">
        <v>1.40262446E-5</v>
      </c>
      <c r="I20" s="3">
        <v>1.779024201E-5</v>
      </c>
      <c r="J20" s="3">
        <v>2.17712621299999E-5</v>
      </c>
      <c r="K20" s="3">
        <v>2.4892888E-5</v>
      </c>
      <c r="L20" s="3">
        <v>2.8058457E-5</v>
      </c>
      <c r="M20" s="3">
        <v>3.1073792E-5</v>
      </c>
      <c r="N20" s="3">
        <v>3.4032405E-5</v>
      </c>
      <c r="O20" s="3">
        <v>3.668926E-5</v>
      </c>
      <c r="R20" s="1" t="s">
        <v>48</v>
      </c>
      <c r="S20" s="1" t="s">
        <v>14</v>
      </c>
      <c r="T20" s="1">
        <f t="shared" ref="T20:AF20" si="19">(((C20*10^9)/0.037679)/14.2)/(C60*1000)</f>
        <v>0.01194663971</v>
      </c>
      <c r="U20" s="1">
        <f t="shared" si="19"/>
        <v>0.007623080415</v>
      </c>
      <c r="V20" s="1">
        <f t="shared" si="19"/>
        <v>0.005575643597</v>
      </c>
      <c r="W20" s="1">
        <f t="shared" si="19"/>
        <v>0.1062853144</v>
      </c>
      <c r="X20" s="1">
        <f t="shared" si="19"/>
        <v>0.1713035082</v>
      </c>
      <c r="Y20" s="1">
        <f t="shared" si="19"/>
        <v>0.2006784764</v>
      </c>
      <c r="Z20" s="1">
        <f t="shared" si="19"/>
        <v>0.2203750725</v>
      </c>
      <c r="AA20" s="1">
        <f t="shared" si="19"/>
        <v>0.2414882416</v>
      </c>
      <c r="AB20" s="1">
        <f t="shared" si="19"/>
        <v>0.2551838941</v>
      </c>
      <c r="AC20" s="1">
        <f t="shared" si="19"/>
        <v>0.2675592689</v>
      </c>
      <c r="AD20" s="1">
        <f t="shared" si="19"/>
        <v>0.283663752</v>
      </c>
      <c r="AE20" s="1">
        <f t="shared" si="19"/>
        <v>0.2986244239</v>
      </c>
      <c r="AF20" s="1">
        <f t="shared" si="19"/>
        <v>0.3166598865</v>
      </c>
    </row>
    <row r="21" ht="14.25" customHeight="1">
      <c r="A21" s="1" t="s">
        <v>49</v>
      </c>
      <c r="B21" s="1" t="s">
        <v>14</v>
      </c>
      <c r="C21" s="3">
        <v>0.0</v>
      </c>
      <c r="D21" s="3">
        <v>0.0</v>
      </c>
      <c r="E21" s="3">
        <v>2.70687E-7</v>
      </c>
      <c r="F21" s="3">
        <v>4.699277E-6</v>
      </c>
      <c r="G21" s="3">
        <v>1.4298315E-5</v>
      </c>
      <c r="H21" s="3">
        <v>2.0764864E-5</v>
      </c>
      <c r="I21" s="3">
        <v>2.46605021999999E-5</v>
      </c>
      <c r="J21" s="3">
        <v>2.69539698E-5</v>
      </c>
      <c r="K21" s="3">
        <v>2.8421466E-5</v>
      </c>
      <c r="L21" s="3">
        <v>2.95261899999999E-5</v>
      </c>
      <c r="M21" s="3">
        <v>3.076923E-5</v>
      </c>
      <c r="N21" s="3">
        <v>3.2272228E-5</v>
      </c>
      <c r="O21" s="3">
        <v>3.370135E-5</v>
      </c>
      <c r="R21" s="1" t="s">
        <v>49</v>
      </c>
      <c r="S21" s="1" t="s">
        <v>14</v>
      </c>
      <c r="T21" s="1">
        <f t="shared" ref="T21:AF21" si="20">(((C21*10^9)/0.037679)/14.2)/(C61*1000)</f>
        <v>0</v>
      </c>
      <c r="U21" s="1">
        <f t="shared" si="20"/>
        <v>0</v>
      </c>
      <c r="V21" s="1">
        <f t="shared" si="20"/>
        <v>0.007665416388</v>
      </c>
      <c r="W21" s="1">
        <f t="shared" si="20"/>
        <v>0.1267389481</v>
      </c>
      <c r="X21" s="1">
        <f t="shared" si="20"/>
        <v>0.380192552</v>
      </c>
      <c r="Y21" s="1">
        <f t="shared" si="20"/>
        <v>0.5370111757</v>
      </c>
      <c r="Z21" s="1">
        <f t="shared" si="20"/>
        <v>0.6207514549</v>
      </c>
      <c r="AA21" s="1">
        <f t="shared" si="20"/>
        <v>0.6523868938</v>
      </c>
      <c r="AB21" s="1">
        <f t="shared" si="20"/>
        <v>0.6707081464</v>
      </c>
      <c r="AC21" s="1">
        <f t="shared" si="20"/>
        <v>0.6797835495</v>
      </c>
      <c r="AD21" s="1">
        <f t="shared" si="20"/>
        <v>0.6998671813</v>
      </c>
      <c r="AE21" s="1">
        <f t="shared" si="20"/>
        <v>0.7253151619</v>
      </c>
      <c r="AF21" s="1" t="str">
        <f t="shared" si="20"/>
        <v>#DIV/0!</v>
      </c>
    </row>
    <row r="22" ht="14.25" customHeight="1">
      <c r="A22" s="1" t="s">
        <v>50</v>
      </c>
      <c r="B22" s="1" t="s">
        <v>14</v>
      </c>
      <c r="C22" s="3">
        <v>1.196E-4</v>
      </c>
      <c r="D22" s="3">
        <v>0.0103359177</v>
      </c>
      <c r="E22" s="3">
        <v>0.00899672799999999</v>
      </c>
      <c r="F22" s="3">
        <v>0.0323646586</v>
      </c>
      <c r="G22" s="3">
        <v>0.0547095311</v>
      </c>
      <c r="H22" s="3">
        <v>0.0741681862</v>
      </c>
      <c r="I22" s="3">
        <v>0.100889826709999</v>
      </c>
      <c r="J22" s="3">
        <v>0.12147378933</v>
      </c>
      <c r="K22" s="3">
        <v>0.14389496</v>
      </c>
      <c r="L22" s="3">
        <v>0.16421409</v>
      </c>
      <c r="M22" s="3">
        <v>0.18470989</v>
      </c>
      <c r="N22" s="3">
        <v>0.20501586</v>
      </c>
      <c r="O22" s="3">
        <v>0.2251367</v>
      </c>
      <c r="R22" s="1" t="s">
        <v>50</v>
      </c>
      <c r="S22" s="1" t="s">
        <v>14</v>
      </c>
      <c r="T22" s="1">
        <f t="shared" ref="T22:AF22" si="21">(((C22*10^9)/0.037679)/14.2)/(C62*1000)</f>
        <v>0.00439871575</v>
      </c>
      <c r="U22" s="1">
        <f t="shared" si="21"/>
        <v>0.3490651405</v>
      </c>
      <c r="V22" s="1">
        <f t="shared" si="21"/>
        <v>0.2816111246</v>
      </c>
      <c r="W22" s="1">
        <f t="shared" si="21"/>
        <v>0.9479848116</v>
      </c>
      <c r="X22" s="1">
        <f t="shared" si="21"/>
        <v>1.511028605</v>
      </c>
      <c r="Y22" s="1">
        <f t="shared" si="21"/>
        <v>1.946244902</v>
      </c>
      <c r="Z22" s="1">
        <f t="shared" si="21"/>
        <v>2.50096334</v>
      </c>
      <c r="AA22" s="1">
        <f t="shared" si="21"/>
        <v>2.868681669</v>
      </c>
      <c r="AB22" s="1">
        <f t="shared" si="21"/>
        <v>3.259952647</v>
      </c>
      <c r="AC22" s="1">
        <f t="shared" si="21"/>
        <v>3.590451354</v>
      </c>
      <c r="AD22" s="1">
        <f t="shared" si="21"/>
        <v>3.919770441</v>
      </c>
      <c r="AE22" s="1">
        <f t="shared" si="21"/>
        <v>4.246729171</v>
      </c>
      <c r="AF22" s="1">
        <f t="shared" si="21"/>
        <v>4.577613471</v>
      </c>
    </row>
    <row r="23" ht="14.25" customHeight="1">
      <c r="A23" s="1" t="s">
        <v>51</v>
      </c>
      <c r="B23" s="1" t="s">
        <v>14</v>
      </c>
      <c r="C23" s="3">
        <v>0.0</v>
      </c>
      <c r="D23" s="3">
        <v>0.0</v>
      </c>
      <c r="E23" s="3">
        <v>3.40288E-6</v>
      </c>
      <c r="F23" s="3">
        <v>2.6605072E-4</v>
      </c>
      <c r="G23" s="3">
        <v>5.1437007E-4</v>
      </c>
      <c r="H23" s="3">
        <v>7.5558444E-4</v>
      </c>
      <c r="I23" s="3">
        <v>0.001054705809</v>
      </c>
      <c r="J23" s="3">
        <v>0.00125543646299999</v>
      </c>
      <c r="K23" s="3">
        <v>0.0014370127</v>
      </c>
      <c r="L23" s="3">
        <v>0.00156154149999999</v>
      </c>
      <c r="M23" s="3">
        <v>0.00169190449999999</v>
      </c>
      <c r="N23" s="3">
        <v>0.0018193389</v>
      </c>
      <c r="O23" s="3">
        <v>0.00194884219999999</v>
      </c>
      <c r="R23" s="1" t="s">
        <v>51</v>
      </c>
      <c r="S23" s="1" t="s">
        <v>14</v>
      </c>
      <c r="T23" s="1">
        <f t="shared" ref="T23:AF23" si="22">(((C23*10^9)/0.037679)/14.2)/(C63*1000)</f>
        <v>0</v>
      </c>
      <c r="U23" s="1">
        <f t="shared" si="22"/>
        <v>0</v>
      </c>
      <c r="V23" s="1">
        <f t="shared" si="22"/>
        <v>0.009408323151</v>
      </c>
      <c r="W23" s="1">
        <f t="shared" si="22"/>
        <v>0.6954576429</v>
      </c>
      <c r="X23" s="1">
        <f t="shared" si="22"/>
        <v>1.278409935</v>
      </c>
      <c r="Y23" s="1">
        <f t="shared" si="22"/>
        <v>1.80127172</v>
      </c>
      <c r="Z23" s="1">
        <f t="shared" si="22"/>
        <v>2.358074971</v>
      </c>
      <c r="AA23" s="1">
        <f t="shared" si="22"/>
        <v>2.655206112</v>
      </c>
      <c r="AB23" s="1">
        <f t="shared" si="22"/>
        <v>2.895998347</v>
      </c>
      <c r="AC23" s="1">
        <f t="shared" si="22"/>
        <v>3.041937318</v>
      </c>
      <c r="AD23" s="1">
        <f t="shared" si="22"/>
        <v>3.208418142</v>
      </c>
      <c r="AE23" s="1">
        <f t="shared" si="22"/>
        <v>3.379616936</v>
      </c>
      <c r="AF23" s="1">
        <f t="shared" si="22"/>
        <v>3.566026822</v>
      </c>
    </row>
    <row r="24" ht="14.25" customHeight="1">
      <c r="A24" s="1" t="s">
        <v>52</v>
      </c>
      <c r="B24" s="1" t="s">
        <v>14</v>
      </c>
      <c r="C24" s="3">
        <v>0.0</v>
      </c>
      <c r="D24" s="3">
        <v>0.0</v>
      </c>
      <c r="E24" s="3">
        <v>2.30333E-6</v>
      </c>
      <c r="F24" s="3">
        <v>1.4557098E-4</v>
      </c>
      <c r="G24" s="3">
        <v>2.8566072E-4</v>
      </c>
      <c r="H24" s="3">
        <v>4.0740167E-4</v>
      </c>
      <c r="I24" s="3">
        <v>5.50617311999999E-4</v>
      </c>
      <c r="J24" s="3">
        <v>6.03985852E-4</v>
      </c>
      <c r="K24" s="3">
        <v>6.350729E-4</v>
      </c>
      <c r="L24" s="3">
        <v>6.403973E-4</v>
      </c>
      <c r="M24" s="3">
        <v>6.456804E-4</v>
      </c>
      <c r="N24" s="3">
        <v>6.497612E-4</v>
      </c>
      <c r="O24" s="3">
        <v>6.515448E-4</v>
      </c>
      <c r="R24" s="1" t="s">
        <v>52</v>
      </c>
      <c r="S24" s="1" t="s">
        <v>14</v>
      </c>
      <c r="T24" s="1">
        <f t="shared" ref="T24:AF24" si="23">(((C24*10^9)/0.037679)/14.2)/(C64*1000)</f>
        <v>0</v>
      </c>
      <c r="U24" s="1">
        <f t="shared" si="23"/>
        <v>0</v>
      </c>
      <c r="V24" s="1">
        <f t="shared" si="23"/>
        <v>0.004266554381</v>
      </c>
      <c r="W24" s="1">
        <f t="shared" si="23"/>
        <v>0.2473400294</v>
      </c>
      <c r="X24" s="1">
        <f t="shared" si="23"/>
        <v>0.448658451</v>
      </c>
      <c r="Y24" s="1">
        <f t="shared" si="23"/>
        <v>0.6081295078</v>
      </c>
      <c r="Z24" s="1">
        <f t="shared" si="23"/>
        <v>0.7790156483</v>
      </c>
      <c r="AA24" s="1">
        <f t="shared" si="23"/>
        <v>0.8528753762</v>
      </c>
      <c r="AB24" s="1">
        <f t="shared" si="23"/>
        <v>0.899600139</v>
      </c>
      <c r="AC24" s="1">
        <f t="shared" si="23"/>
        <v>0.9231006644</v>
      </c>
      <c r="AD24" s="1">
        <f t="shared" si="23"/>
        <v>0.9557178785</v>
      </c>
      <c r="AE24" s="1">
        <f t="shared" si="23"/>
        <v>0.994417131</v>
      </c>
      <c r="AF24" s="1">
        <f t="shared" si="23"/>
        <v>1.038367601</v>
      </c>
    </row>
    <row r="25" ht="14.25" customHeight="1">
      <c r="A25" s="1" t="s">
        <v>53</v>
      </c>
      <c r="B25" s="1" t="s">
        <v>14</v>
      </c>
      <c r="C25" s="3">
        <v>0.0</v>
      </c>
      <c r="D25" s="3">
        <v>0.0</v>
      </c>
      <c r="E25" s="3">
        <v>0.0</v>
      </c>
      <c r="F25" s="3">
        <v>0.0072093</v>
      </c>
      <c r="G25" s="3">
        <v>0.01601999</v>
      </c>
      <c r="H25" s="3">
        <v>0.02056602</v>
      </c>
      <c r="I25" s="3">
        <v>0.02647646</v>
      </c>
      <c r="J25" s="3">
        <v>0.03013021</v>
      </c>
      <c r="K25" s="3">
        <v>0.033626214</v>
      </c>
      <c r="L25" s="3">
        <v>0.03669034</v>
      </c>
      <c r="M25" s="3">
        <v>0.039840576</v>
      </c>
      <c r="N25" s="3">
        <v>0.04299477</v>
      </c>
      <c r="O25" s="3">
        <v>0.04620534</v>
      </c>
      <c r="R25" s="1" t="s">
        <v>53</v>
      </c>
      <c r="S25" s="1" t="s">
        <v>14</v>
      </c>
      <c r="T25" s="1">
        <f t="shared" ref="T25:AF25" si="24">(((C25*10^9)/0.037679)/14.2)/(C65*1000)</f>
        <v>0</v>
      </c>
      <c r="U25" s="1">
        <f t="shared" si="24"/>
        <v>0</v>
      </c>
      <c r="V25" s="1">
        <f t="shared" si="24"/>
        <v>0</v>
      </c>
      <c r="W25" s="1">
        <f t="shared" si="24"/>
        <v>0.5124857122</v>
      </c>
      <c r="X25" s="1">
        <f t="shared" si="24"/>
        <v>1.066105294</v>
      </c>
      <c r="Y25" s="1">
        <f t="shared" si="24"/>
        <v>1.292908028</v>
      </c>
      <c r="Z25" s="1">
        <f t="shared" si="24"/>
        <v>1.572165232</v>
      </c>
      <c r="AA25" s="1">
        <f t="shared" si="24"/>
        <v>1.704302986</v>
      </c>
      <c r="AB25" s="1">
        <f t="shared" si="24"/>
        <v>1.824632552</v>
      </c>
      <c r="AC25" s="1">
        <f t="shared" si="24"/>
        <v>1.920801235</v>
      </c>
      <c r="AD25" s="1">
        <f t="shared" si="24"/>
        <v>2.023438819</v>
      </c>
      <c r="AE25" s="1">
        <f t="shared" si="24"/>
        <v>2.130341979</v>
      </c>
      <c r="AF25" s="1">
        <f t="shared" si="24"/>
        <v>2.245962322</v>
      </c>
    </row>
    <row r="26" ht="14.25" customHeight="1">
      <c r="A26" s="1" t="s">
        <v>54</v>
      </c>
      <c r="B26" s="1" t="s">
        <v>14</v>
      </c>
      <c r="C26" s="3">
        <v>0.0</v>
      </c>
      <c r="D26" s="3">
        <v>0.0</v>
      </c>
      <c r="E26" s="3">
        <v>1.72132E-6</v>
      </c>
      <c r="F26" s="3">
        <v>9.019112E-5</v>
      </c>
      <c r="G26" s="3">
        <v>1.7205554E-4</v>
      </c>
      <c r="H26" s="3">
        <v>2.45122559E-4</v>
      </c>
      <c r="I26" s="3">
        <v>3.31429376999999E-4</v>
      </c>
      <c r="J26" s="3">
        <v>3.762903E-4</v>
      </c>
      <c r="K26" s="3">
        <v>4.11696299999999E-4</v>
      </c>
      <c r="L26" s="3">
        <v>4.27237499999999E-4</v>
      </c>
      <c r="M26" s="3">
        <v>4.425173E-4</v>
      </c>
      <c r="N26" s="3">
        <v>4.561052E-4</v>
      </c>
      <c r="O26" s="3">
        <v>4.693755E-4</v>
      </c>
      <c r="R26" s="1" t="s">
        <v>54</v>
      </c>
      <c r="S26" s="1" t="s">
        <v>14</v>
      </c>
      <c r="T26" s="1">
        <f t="shared" ref="T26:AF26" si="25">(((C26*10^9)/0.037679)/14.2)/(C66*1000)</f>
        <v>0</v>
      </c>
      <c r="U26" s="1">
        <f t="shared" si="25"/>
        <v>0</v>
      </c>
      <c r="V26" s="1">
        <f t="shared" si="25"/>
        <v>0.004852442233</v>
      </c>
      <c r="W26" s="1">
        <f t="shared" si="25"/>
        <v>0.237755095</v>
      </c>
      <c r="X26" s="1">
        <f t="shared" si="25"/>
        <v>0.4270571253</v>
      </c>
      <c r="Y26" s="1">
        <f t="shared" si="25"/>
        <v>0.5869385242</v>
      </c>
      <c r="Z26" s="1">
        <f t="shared" si="25"/>
        <v>0.7642864552</v>
      </c>
      <c r="AA26" s="1">
        <f t="shared" si="25"/>
        <v>0.8601479947</v>
      </c>
      <c r="AB26" s="1">
        <f t="shared" si="25"/>
        <v>0.9376889481</v>
      </c>
      <c r="AC26" s="1">
        <f t="shared" si="25"/>
        <v>0.9828352701</v>
      </c>
      <c r="AD26" s="1">
        <f t="shared" si="25"/>
        <v>1.035884022</v>
      </c>
      <c r="AE26" s="1">
        <f t="shared" si="25"/>
        <v>1.094435147</v>
      </c>
      <c r="AF26" s="1">
        <f t="shared" si="25"/>
        <v>1.160949068</v>
      </c>
    </row>
    <row r="27" ht="14.25" customHeight="1">
      <c r="A27" s="1" t="s">
        <v>55</v>
      </c>
      <c r="B27" s="1" t="s">
        <v>14</v>
      </c>
      <c r="C27" s="3">
        <v>0.0</v>
      </c>
      <c r="D27" s="3">
        <v>0.0</v>
      </c>
      <c r="E27" s="3">
        <v>2.27413E-6</v>
      </c>
      <c r="F27" s="3">
        <v>1.8658862E-4</v>
      </c>
      <c r="G27" s="3">
        <v>4.04523699999999E-4</v>
      </c>
      <c r="H27" s="3">
        <v>6.5463306E-4</v>
      </c>
      <c r="I27" s="3">
        <v>8.68954224999999E-4</v>
      </c>
      <c r="J27" s="3">
        <v>0.001014601705</v>
      </c>
      <c r="K27" s="3">
        <v>0.0010997316</v>
      </c>
      <c r="L27" s="3">
        <v>0.0011286058</v>
      </c>
      <c r="M27" s="3">
        <v>0.0011601313</v>
      </c>
      <c r="N27" s="3">
        <v>0.0011946448</v>
      </c>
      <c r="O27" s="3">
        <v>0.0012366447</v>
      </c>
      <c r="R27" s="1" t="s">
        <v>55</v>
      </c>
      <c r="S27" s="1" t="s">
        <v>14</v>
      </c>
      <c r="T27" s="1">
        <f t="shared" ref="T27:AF27" si="26">(((C27*10^9)/0.037679)/14.2)/(C67*1000)</f>
        <v>0</v>
      </c>
      <c r="U27" s="1">
        <f t="shared" si="26"/>
        <v>0</v>
      </c>
      <c r="V27" s="1">
        <f t="shared" si="26"/>
        <v>0.004516873746</v>
      </c>
      <c r="W27" s="1">
        <f t="shared" si="26"/>
        <v>0.3032491553</v>
      </c>
      <c r="X27" s="1">
        <f t="shared" si="26"/>
        <v>0.5530797321</v>
      </c>
      <c r="Y27" s="1">
        <f t="shared" si="26"/>
        <v>0.7738884262</v>
      </c>
      <c r="Z27" s="1">
        <f t="shared" si="26"/>
        <v>0.9603388286</v>
      </c>
      <c r="AA27" s="1">
        <f t="shared" si="26"/>
        <v>1.084469647</v>
      </c>
      <c r="AB27" s="1">
        <f t="shared" si="26"/>
        <v>1.159834605</v>
      </c>
      <c r="AC27" s="1">
        <f t="shared" si="26"/>
        <v>1.195305059</v>
      </c>
      <c r="AD27" s="1">
        <f t="shared" si="26"/>
        <v>1.253990648</v>
      </c>
      <c r="AE27" s="1">
        <f t="shared" si="26"/>
        <v>1.317359909</v>
      </c>
      <c r="AF27" s="1">
        <f t="shared" si="26"/>
        <v>1.400010198</v>
      </c>
    </row>
    <row r="28" ht="14.25" customHeight="1">
      <c r="A28" s="1" t="s">
        <v>56</v>
      </c>
      <c r="B28" s="1" t="s">
        <v>14</v>
      </c>
      <c r="C28" s="3">
        <v>0.0</v>
      </c>
      <c r="D28" s="3">
        <v>0.0</v>
      </c>
      <c r="E28" s="3">
        <v>0.0</v>
      </c>
      <c r="F28" s="3">
        <v>0.00471091</v>
      </c>
      <c r="G28" s="3">
        <v>0.01044823</v>
      </c>
      <c r="H28" s="3">
        <v>0.0142017499999999</v>
      </c>
      <c r="I28" s="3">
        <v>0.01902673</v>
      </c>
      <c r="J28" s="3">
        <v>0.02284522</v>
      </c>
      <c r="K28" s="3">
        <v>0.026782542</v>
      </c>
      <c r="L28" s="3">
        <v>0.030264173</v>
      </c>
      <c r="M28" s="3">
        <v>0.033932383</v>
      </c>
      <c r="N28" s="3">
        <v>0.0376346409999999</v>
      </c>
      <c r="O28" s="3">
        <v>0.04138864</v>
      </c>
      <c r="R28" s="1" t="s">
        <v>56</v>
      </c>
      <c r="S28" s="1" t="s">
        <v>14</v>
      </c>
      <c r="T28" s="1">
        <f t="shared" ref="T28:AF28" si="27">(((C28*10^9)/0.037679)/14.2)/(C68*1000)</f>
        <v>0</v>
      </c>
      <c r="U28" s="1">
        <f t="shared" si="27"/>
        <v>0</v>
      </c>
      <c r="V28" s="1">
        <f t="shared" si="27"/>
        <v>0</v>
      </c>
      <c r="W28" s="1">
        <f t="shared" si="27"/>
        <v>1.012505903</v>
      </c>
      <c r="X28" s="1">
        <f t="shared" si="27"/>
        <v>2.120290569</v>
      </c>
      <c r="Y28" s="1">
        <f t="shared" si="27"/>
        <v>2.721053726</v>
      </c>
      <c r="Z28" s="1">
        <f t="shared" si="27"/>
        <v>3.452543969</v>
      </c>
      <c r="AA28" s="1">
        <f t="shared" si="27"/>
        <v>3.934031397</v>
      </c>
      <c r="AB28" s="1">
        <f t="shared" si="27"/>
        <v>4.409640422</v>
      </c>
      <c r="AC28" s="1">
        <f t="shared" si="27"/>
        <v>4.76988247</v>
      </c>
      <c r="AD28" s="1">
        <f t="shared" si="27"/>
        <v>5.147189005</v>
      </c>
      <c r="AE28" s="1">
        <f t="shared" si="27"/>
        <v>5.530888506</v>
      </c>
      <c r="AF28" s="1">
        <f t="shared" si="27"/>
        <v>5.931473135</v>
      </c>
    </row>
    <row r="29" ht="14.25" customHeight="1">
      <c r="A29" s="1" t="s">
        <v>57</v>
      </c>
      <c r="B29" s="1" t="s">
        <v>14</v>
      </c>
      <c r="C29" s="3">
        <v>0.0</v>
      </c>
      <c r="D29" s="3">
        <v>1.11994E-5</v>
      </c>
      <c r="E29" s="3">
        <v>3.3806245E-4</v>
      </c>
      <c r="F29" s="3">
        <v>0.00472591629</v>
      </c>
      <c r="G29" s="3">
        <v>0.00805424671</v>
      </c>
      <c r="H29" s="3">
        <v>0.01073102814</v>
      </c>
      <c r="I29" s="3">
        <v>0.0144108865799999</v>
      </c>
      <c r="J29" s="3">
        <v>0.0166360626</v>
      </c>
      <c r="K29" s="3">
        <v>0.018854301</v>
      </c>
      <c r="L29" s="3">
        <v>0.020581532</v>
      </c>
      <c r="M29" s="3">
        <v>0.022391175</v>
      </c>
      <c r="N29" s="3">
        <v>0.024196611</v>
      </c>
      <c r="O29" s="3">
        <v>0.026029362</v>
      </c>
      <c r="R29" s="1" t="s">
        <v>57</v>
      </c>
      <c r="S29" s="1" t="s">
        <v>14</v>
      </c>
      <c r="T29" s="1">
        <f t="shared" ref="T29:AF29" si="28">(((C29*10^9)/0.037679)/14.2)/(C69*1000)</f>
        <v>0</v>
      </c>
      <c r="U29" s="1">
        <f t="shared" si="28"/>
        <v>0.001828106771</v>
      </c>
      <c r="V29" s="1">
        <f t="shared" si="28"/>
        <v>0.0506731144</v>
      </c>
      <c r="W29" s="1">
        <f t="shared" si="28"/>
        <v>0.6571533575</v>
      </c>
      <c r="X29" s="1">
        <f t="shared" si="28"/>
        <v>1.048293218</v>
      </c>
      <c r="Y29" s="1">
        <f t="shared" si="28"/>
        <v>1.317162245</v>
      </c>
      <c r="Z29" s="1">
        <f t="shared" si="28"/>
        <v>1.651620536</v>
      </c>
      <c r="AA29" s="1">
        <f t="shared" si="28"/>
        <v>1.839877795</v>
      </c>
      <c r="AB29" s="1">
        <f t="shared" si="28"/>
        <v>2.024353346</v>
      </c>
      <c r="AC29" s="1">
        <f t="shared" si="28"/>
        <v>2.153936267</v>
      </c>
      <c r="AD29" s="1">
        <f t="shared" si="28"/>
        <v>2.295230339</v>
      </c>
      <c r="AE29" s="1">
        <f t="shared" si="28"/>
        <v>2.441796309</v>
      </c>
      <c r="AF29" s="1">
        <f t="shared" si="28"/>
        <v>2.599185348</v>
      </c>
    </row>
    <row r="30" ht="14.25" customHeight="1">
      <c r="A30" s="1" t="s">
        <v>58</v>
      </c>
      <c r="B30" s="1" t="s">
        <v>14</v>
      </c>
      <c r="C30" s="3">
        <v>0.0</v>
      </c>
      <c r="D30" s="3">
        <v>0.0</v>
      </c>
      <c r="E30" s="3">
        <v>2.85375E-7</v>
      </c>
      <c r="F30" s="3">
        <v>8.616911E-6</v>
      </c>
      <c r="G30" s="3">
        <v>4.16605286E-4</v>
      </c>
      <c r="H30" s="3">
        <v>7.44882987E-4</v>
      </c>
      <c r="I30" s="3">
        <v>0.001015429549</v>
      </c>
      <c r="J30" s="3">
        <v>0.0011671364042</v>
      </c>
      <c r="K30" s="3">
        <v>0.00129031422</v>
      </c>
      <c r="L30" s="3">
        <v>0.00139083329999999</v>
      </c>
      <c r="M30" s="3">
        <v>0.0014946891</v>
      </c>
      <c r="N30" s="3">
        <v>0.0016034617</v>
      </c>
      <c r="O30" s="3">
        <v>0.0017157619</v>
      </c>
      <c r="R30" s="1" t="s">
        <v>58</v>
      </c>
      <c r="S30" s="1" t="s">
        <v>14</v>
      </c>
      <c r="T30" s="1">
        <f t="shared" ref="T30:AF30" si="29">(((C30*10^9)/0.037679)/14.2)/(C70*1000)</f>
        <v>0</v>
      </c>
      <c r="U30" s="1">
        <f t="shared" si="29"/>
        <v>0</v>
      </c>
      <c r="V30" s="1">
        <f t="shared" si="29"/>
        <v>0.0004857646105</v>
      </c>
      <c r="W30" s="1">
        <f t="shared" si="29"/>
        <v>0.01297753215</v>
      </c>
      <c r="X30" s="1">
        <f t="shared" si="29"/>
        <v>0.5573662372</v>
      </c>
      <c r="Y30" s="1">
        <f t="shared" si="29"/>
        <v>0.9181472622</v>
      </c>
      <c r="Z30" s="1">
        <f t="shared" si="29"/>
        <v>1.156168673</v>
      </c>
      <c r="AA30" s="1">
        <f t="shared" si="29"/>
        <v>1.283519622</v>
      </c>
      <c r="AB30" s="1">
        <f t="shared" si="29"/>
        <v>1.380218203</v>
      </c>
      <c r="AC30" s="1">
        <f t="shared" si="29"/>
        <v>1.454916808</v>
      </c>
      <c r="AD30" s="1">
        <f t="shared" si="29"/>
        <v>1.536934231</v>
      </c>
      <c r="AE30" s="1">
        <f t="shared" si="29"/>
        <v>1.628815668</v>
      </c>
      <c r="AF30" s="1">
        <f t="shared" si="29"/>
        <v>1.731672844</v>
      </c>
    </row>
    <row r="31" ht="14.25" customHeight="1">
      <c r="A31" s="1" t="s">
        <v>59</v>
      </c>
      <c r="B31" s="1" t="s">
        <v>14</v>
      </c>
      <c r="C31" s="3">
        <v>0.0</v>
      </c>
      <c r="D31" s="3">
        <v>0.0</v>
      </c>
      <c r="E31" s="3">
        <v>4.80322E-5</v>
      </c>
      <c r="F31" s="3">
        <v>0.0050213763</v>
      </c>
      <c r="G31" s="3">
        <v>0.009779519</v>
      </c>
      <c r="H31" s="3">
        <v>0.0144506161</v>
      </c>
      <c r="I31" s="3">
        <v>0.0205592832</v>
      </c>
      <c r="J31" s="3">
        <v>0.0243757859</v>
      </c>
      <c r="K31" s="3">
        <v>0.0278240989999999</v>
      </c>
      <c r="L31" s="3">
        <v>0.030668866</v>
      </c>
      <c r="M31" s="3">
        <v>0.033800111</v>
      </c>
      <c r="N31" s="3">
        <v>0.03699719</v>
      </c>
      <c r="O31" s="3">
        <v>0.04035501</v>
      </c>
      <c r="R31" s="1" t="s">
        <v>59</v>
      </c>
      <c r="S31" s="1" t="s">
        <v>14</v>
      </c>
      <c r="T31" s="1">
        <f t="shared" ref="T31:AF31" si="30">(((C31*10^9)/0.037679)/14.2)/(C71*1000)</f>
        <v>0</v>
      </c>
      <c r="U31" s="1">
        <f t="shared" si="30"/>
        <v>0</v>
      </c>
      <c r="V31" s="1">
        <f t="shared" si="30"/>
        <v>0.00430069939</v>
      </c>
      <c r="W31" s="1">
        <f t="shared" si="30"/>
        <v>0.4149907952</v>
      </c>
      <c r="X31" s="1">
        <f t="shared" si="30"/>
        <v>0.755540951</v>
      </c>
      <c r="Y31" s="1">
        <f t="shared" si="30"/>
        <v>1.048258769</v>
      </c>
      <c r="Z31" s="1">
        <f t="shared" si="30"/>
        <v>1.360799097</v>
      </c>
      <c r="AA31" s="1">
        <f t="shared" si="30"/>
        <v>1.488577448</v>
      </c>
      <c r="AB31" s="1">
        <f t="shared" si="30"/>
        <v>1.582383166</v>
      </c>
      <c r="AC31" s="1">
        <f t="shared" si="30"/>
        <v>1.639405583</v>
      </c>
      <c r="AD31" s="1">
        <f t="shared" si="30"/>
        <v>1.711337932</v>
      </c>
      <c r="AE31" s="1">
        <f t="shared" si="30"/>
        <v>1.786997446</v>
      </c>
      <c r="AF31" s="1">
        <f t="shared" si="30"/>
        <v>1.872470111</v>
      </c>
    </row>
    <row r="32" ht="14.25" customHeight="1">
      <c r="A32" s="1" t="s">
        <v>60</v>
      </c>
      <c r="B32" s="1" t="s">
        <v>14</v>
      </c>
      <c r="C32" s="3">
        <v>0.0</v>
      </c>
      <c r="D32" s="3">
        <v>3.82406E-6</v>
      </c>
      <c r="E32" s="3">
        <v>3.32043E-6</v>
      </c>
      <c r="F32" s="3">
        <v>3.81511999999999E-5</v>
      </c>
      <c r="G32" s="3">
        <v>3.5368993E-4</v>
      </c>
      <c r="H32" s="3">
        <v>5.6925266E-4</v>
      </c>
      <c r="I32" s="3">
        <v>7.52716134E-4</v>
      </c>
      <c r="J32" s="3">
        <v>8.6451314E-4</v>
      </c>
      <c r="K32" s="3">
        <v>9.6031129E-4</v>
      </c>
      <c r="L32" s="3">
        <v>0.00102357049999999</v>
      </c>
      <c r="M32" s="3">
        <v>0.0010751818</v>
      </c>
      <c r="N32" s="3">
        <v>0.0011257232</v>
      </c>
      <c r="O32" s="3">
        <v>0.00116738479999999</v>
      </c>
      <c r="R32" s="1" t="s">
        <v>60</v>
      </c>
      <c r="S32" s="1" t="s">
        <v>14</v>
      </c>
      <c r="T32" s="1">
        <f t="shared" ref="T32:AF32" si="31">(((C32*10^9)/0.037679)/14.2)/(C72*1000)</f>
        <v>0</v>
      </c>
      <c r="U32" s="1">
        <f t="shared" si="31"/>
        <v>0.03190722001</v>
      </c>
      <c r="V32" s="1">
        <f t="shared" si="31"/>
        <v>0.02041423138</v>
      </c>
      <c r="W32" s="1">
        <f t="shared" si="31"/>
        <v>0.1823659414</v>
      </c>
      <c r="X32" s="1">
        <f t="shared" si="31"/>
        <v>1.377189634</v>
      </c>
      <c r="Y32" s="1">
        <f t="shared" si="31"/>
        <v>1.879753599</v>
      </c>
      <c r="Z32" s="1">
        <f t="shared" si="31"/>
        <v>2.342384495</v>
      </c>
      <c r="AA32" s="1">
        <f t="shared" si="31"/>
        <v>2.605686451</v>
      </c>
      <c r="AB32" s="1">
        <f t="shared" si="31"/>
        <v>2.818786541</v>
      </c>
      <c r="AC32" s="1">
        <f t="shared" si="31"/>
        <v>2.963237947</v>
      </c>
      <c r="AD32" s="1">
        <f t="shared" si="31"/>
        <v>3.135968479</v>
      </c>
      <c r="AE32" s="1">
        <f t="shared" si="31"/>
        <v>3.320693067</v>
      </c>
      <c r="AF32" s="1">
        <f t="shared" si="31"/>
        <v>3.501054546</v>
      </c>
    </row>
    <row r="33" ht="14.25" customHeight="1">
      <c r="A33" s="1" t="s">
        <v>61</v>
      </c>
      <c r="B33" s="1" t="s">
        <v>14</v>
      </c>
      <c r="C33" s="3">
        <v>0.0</v>
      </c>
      <c r="D33" s="3">
        <v>0.0</v>
      </c>
      <c r="E33" s="3">
        <v>0.0</v>
      </c>
      <c r="F33" s="3">
        <v>0.0</v>
      </c>
      <c r="G33" s="3">
        <v>0.0</v>
      </c>
      <c r="H33" s="3">
        <v>0.011058</v>
      </c>
      <c r="I33" s="3">
        <v>0.02582786</v>
      </c>
      <c r="J33" s="3">
        <v>0.03579221</v>
      </c>
      <c r="K33" s="3">
        <v>0.04525921</v>
      </c>
      <c r="L33" s="3">
        <v>0.0500025</v>
      </c>
      <c r="M33" s="3">
        <v>0.05473603</v>
      </c>
      <c r="N33" s="3">
        <v>0.058984</v>
      </c>
      <c r="O33" s="3">
        <v>0.06278453</v>
      </c>
      <c r="R33" s="1" t="s">
        <v>61</v>
      </c>
      <c r="S33" s="1" t="s">
        <v>14</v>
      </c>
      <c r="T33" s="1">
        <f t="shared" ref="T33:AF33" si="32">(((C33*10^9)/0.037679)/14.2)/(C73*1000)</f>
        <v>0</v>
      </c>
      <c r="U33" s="1">
        <f t="shared" si="32"/>
        <v>0</v>
      </c>
      <c r="V33" s="1">
        <f t="shared" si="32"/>
        <v>0</v>
      </c>
      <c r="W33" s="1">
        <f t="shared" si="32"/>
        <v>0</v>
      </c>
      <c r="X33" s="1">
        <f t="shared" si="32"/>
        <v>0</v>
      </c>
      <c r="Y33" s="1">
        <f t="shared" si="32"/>
        <v>0.4439477619</v>
      </c>
      <c r="Z33" s="1">
        <f t="shared" si="32"/>
        <v>0.9925914813</v>
      </c>
      <c r="AA33" s="1">
        <f t="shared" si="32"/>
        <v>1.351553781</v>
      </c>
      <c r="AB33" s="1">
        <f t="shared" si="32"/>
        <v>1.68806353</v>
      </c>
      <c r="AC33" s="1">
        <f t="shared" si="32"/>
        <v>1.839302248</v>
      </c>
      <c r="AD33" s="1">
        <f t="shared" si="32"/>
        <v>1.993183653</v>
      </c>
      <c r="AE33" s="1">
        <f t="shared" si="32"/>
        <v>2.137712895</v>
      </c>
      <c r="AF33" s="1">
        <f t="shared" si="32"/>
        <v>2.276790385</v>
      </c>
    </row>
    <row r="34" ht="14.25" customHeight="1">
      <c r="A34" s="1" t="s">
        <v>62</v>
      </c>
      <c r="B34" s="1" t="s">
        <v>14</v>
      </c>
      <c r="C34" s="3">
        <v>2.00005E-6</v>
      </c>
      <c r="D34" s="3">
        <v>1.54381E-6</v>
      </c>
      <c r="E34" s="3">
        <v>2.115297E-6</v>
      </c>
      <c r="F34" s="3">
        <v>1.60714693E-4</v>
      </c>
      <c r="G34" s="3">
        <v>3.60003247E-4</v>
      </c>
      <c r="H34" s="3">
        <v>5.80289044999999E-4</v>
      </c>
      <c r="I34" s="3">
        <v>7.58516434E-4</v>
      </c>
      <c r="J34" s="3">
        <v>8.55050744999999E-4</v>
      </c>
      <c r="K34" s="3">
        <v>8.992979E-4</v>
      </c>
      <c r="L34" s="3">
        <v>9.042649E-4</v>
      </c>
      <c r="M34" s="3">
        <v>9.06239099999999E-4</v>
      </c>
      <c r="N34" s="3">
        <v>9.081885E-4</v>
      </c>
      <c r="O34" s="3">
        <v>9.12403299999999E-4</v>
      </c>
      <c r="R34" s="1" t="s">
        <v>62</v>
      </c>
      <c r="S34" s="1" t="s">
        <v>14</v>
      </c>
      <c r="T34" s="1">
        <f t="shared" ref="T34:AF34" si="33">(((C34*10^9)/0.037679)/14.2)/(C74*1000)</f>
        <v>0.003889822219</v>
      </c>
      <c r="U34" s="1">
        <f t="shared" si="33"/>
        <v>0.002365082565</v>
      </c>
      <c r="V34" s="1">
        <f t="shared" si="33"/>
        <v>0.002626921778</v>
      </c>
      <c r="W34" s="1">
        <f t="shared" si="33"/>
        <v>0.1656799926</v>
      </c>
      <c r="X34" s="1">
        <f t="shared" si="33"/>
        <v>0.315005007</v>
      </c>
      <c r="Y34" s="1">
        <f t="shared" si="33"/>
        <v>0.4408811717</v>
      </c>
      <c r="Z34" s="1">
        <f t="shared" si="33"/>
        <v>0.5533477607</v>
      </c>
      <c r="AA34" s="1">
        <f t="shared" si="33"/>
        <v>0.6156534185</v>
      </c>
      <c r="AB34" s="1">
        <f t="shared" si="33"/>
        <v>0.6468045855</v>
      </c>
      <c r="AC34" s="1">
        <f t="shared" si="33"/>
        <v>0.6533336627</v>
      </c>
      <c r="AD34" s="1">
        <f t="shared" si="33"/>
        <v>0.6643782381</v>
      </c>
      <c r="AE34" s="1">
        <f t="shared" si="33"/>
        <v>0.6800790003</v>
      </c>
      <c r="AF34" s="1">
        <f t="shared" si="33"/>
        <v>0.709616454</v>
      </c>
    </row>
    <row r="35" ht="14.25" customHeight="1">
      <c r="A35" s="1" t="s">
        <v>63</v>
      </c>
      <c r="B35" s="1" t="s">
        <v>14</v>
      </c>
      <c r="C35" s="3">
        <v>0.0</v>
      </c>
      <c r="D35" s="3">
        <v>1.81243E-6</v>
      </c>
      <c r="E35" s="3">
        <v>4.571793E-5</v>
      </c>
      <c r="F35" s="3">
        <v>0.00339516471999999</v>
      </c>
      <c r="G35" s="3">
        <v>0.008643027015</v>
      </c>
      <c r="H35" s="3">
        <v>0.0130203901149999</v>
      </c>
      <c r="I35" s="3">
        <v>0.0170925320989999</v>
      </c>
      <c r="J35" s="3">
        <v>0.02030523084</v>
      </c>
      <c r="K35" s="3">
        <v>0.023456887</v>
      </c>
      <c r="L35" s="3">
        <v>0.02612962</v>
      </c>
      <c r="M35" s="3">
        <v>0.028870383</v>
      </c>
      <c r="N35" s="3">
        <v>0.031390082</v>
      </c>
      <c r="O35" s="3">
        <v>0.033626636</v>
      </c>
      <c r="R35" s="1" t="s">
        <v>63</v>
      </c>
      <c r="S35" s="1" t="s">
        <v>14</v>
      </c>
      <c r="T35" s="1">
        <f t="shared" ref="T35:AF35" si="34">(((C35*10^9)/0.037679)/14.2)/(C75*1000)</f>
        <v>0</v>
      </c>
      <c r="U35" s="1">
        <f t="shared" si="34"/>
        <v>0.0002169776429</v>
      </c>
      <c r="V35" s="1">
        <f t="shared" si="34"/>
        <v>0.004878805452</v>
      </c>
      <c r="W35" s="1">
        <f t="shared" si="34"/>
        <v>0.3279552686</v>
      </c>
      <c r="X35" s="1">
        <f t="shared" si="34"/>
        <v>0.7659520418</v>
      </c>
      <c r="Y35" s="1">
        <f t="shared" si="34"/>
        <v>1.070482402</v>
      </c>
      <c r="Z35" s="1">
        <f t="shared" si="34"/>
        <v>1.351514858</v>
      </c>
      <c r="AA35" s="1">
        <f t="shared" si="34"/>
        <v>1.555931999</v>
      </c>
      <c r="AB35" s="1">
        <f t="shared" si="34"/>
        <v>1.752653423</v>
      </c>
      <c r="AC35" s="1">
        <f t="shared" si="34"/>
        <v>1.910358494</v>
      </c>
      <c r="AD35" s="1">
        <f t="shared" si="34"/>
        <v>2.076660541</v>
      </c>
      <c r="AE35" s="1">
        <f t="shared" si="34"/>
        <v>2.234750832</v>
      </c>
      <c r="AF35" s="1">
        <f t="shared" si="34"/>
        <v>2.383491344</v>
      </c>
    </row>
    <row r="36" ht="14.25" customHeight="1">
      <c r="A36" s="1" t="s">
        <v>64</v>
      </c>
      <c r="B36" s="1" t="s">
        <v>14</v>
      </c>
      <c r="C36" s="3">
        <v>0.0</v>
      </c>
      <c r="D36" s="3">
        <v>0.0</v>
      </c>
      <c r="E36" s="3">
        <v>6.25561E-8</v>
      </c>
      <c r="F36" s="3">
        <v>2.295323174E-4</v>
      </c>
      <c r="G36" s="3">
        <v>5.74206022E-4</v>
      </c>
      <c r="H36" s="3">
        <v>9.208502781E-4</v>
      </c>
      <c r="I36" s="3">
        <v>0.0012606805342</v>
      </c>
      <c r="J36" s="3">
        <v>0.00147194463871999</v>
      </c>
      <c r="K36" s="3">
        <v>0.00161218849999999</v>
      </c>
      <c r="L36" s="3">
        <v>0.0016919206</v>
      </c>
      <c r="M36" s="3">
        <v>0.00178484</v>
      </c>
      <c r="N36" s="3">
        <v>0.0018804094</v>
      </c>
      <c r="O36" s="3">
        <v>0.00199839679999999</v>
      </c>
      <c r="R36" s="1" t="s">
        <v>64</v>
      </c>
      <c r="S36" s="1" t="s">
        <v>14</v>
      </c>
      <c r="T36" s="1">
        <f t="shared" ref="T36:AF36" si="35">(((C36*10^9)/0.037679)/14.2)/(C76*1000)</f>
        <v>0</v>
      </c>
      <c r="U36" s="1">
        <f t="shared" si="35"/>
        <v>0</v>
      </c>
      <c r="V36" s="1">
        <f t="shared" si="35"/>
        <v>0.00002933956206</v>
      </c>
      <c r="W36" s="1">
        <f t="shared" si="35"/>
        <v>0.09590852916</v>
      </c>
      <c r="X36" s="1">
        <f t="shared" si="35"/>
        <v>0.2161527561</v>
      </c>
      <c r="Y36" s="1">
        <f t="shared" si="35"/>
        <v>0.3158526342</v>
      </c>
      <c r="Z36" s="1">
        <f t="shared" si="35"/>
        <v>0.3909408916</v>
      </c>
      <c r="AA36" s="1">
        <f t="shared" si="35"/>
        <v>0.4340692952</v>
      </c>
      <c r="AB36" s="1">
        <f t="shared" si="35"/>
        <v>0.4550975721</v>
      </c>
      <c r="AC36" s="1">
        <f t="shared" si="35"/>
        <v>0.4602513513</v>
      </c>
      <c r="AD36" s="1">
        <f t="shared" si="35"/>
        <v>0.4704106496</v>
      </c>
      <c r="AE36" s="1">
        <f t="shared" si="35"/>
        <v>0.4826270295</v>
      </c>
      <c r="AF36" s="1">
        <f t="shared" si="35"/>
        <v>0.5020173683</v>
      </c>
    </row>
    <row r="37" ht="14.25" customHeight="1">
      <c r="A37" s="1" t="s">
        <v>65</v>
      </c>
      <c r="B37" s="1" t="s">
        <v>14</v>
      </c>
      <c r="C37" s="3">
        <v>4.99999E-7</v>
      </c>
      <c r="D37" s="3">
        <v>3.971756E-7</v>
      </c>
      <c r="E37" s="3">
        <v>0.00217638366621</v>
      </c>
      <c r="F37" s="3">
        <v>0.01564281808413</v>
      </c>
      <c r="G37" s="3">
        <v>0.03120579170228</v>
      </c>
      <c r="H37" s="3">
        <v>0.04373712720443</v>
      </c>
      <c r="I37" s="3">
        <v>0.05967959547934</v>
      </c>
      <c r="J37" s="3">
        <v>0.071059188</v>
      </c>
      <c r="K37" s="3">
        <v>0.08277123</v>
      </c>
      <c r="L37" s="3">
        <v>0.09345582</v>
      </c>
      <c r="M37" s="3">
        <v>0.10546469</v>
      </c>
      <c r="N37" s="3">
        <v>0.118164479999999</v>
      </c>
      <c r="O37" s="3">
        <v>0.13164852</v>
      </c>
      <c r="R37" s="1" t="s">
        <v>65</v>
      </c>
      <c r="S37" s="1" t="s">
        <v>14</v>
      </c>
      <c r="T37" s="1">
        <f t="shared" ref="T37:AF37" si="36">(((C37*10^9)/0.037679)/14.2)/(C77*1000)</f>
        <v>0.00002100246222</v>
      </c>
      <c r="U37" s="1">
        <f t="shared" si="36"/>
        <v>0.00001492743269</v>
      </c>
      <c r="V37" s="1">
        <f t="shared" si="36"/>
        <v>0.07420758991</v>
      </c>
      <c r="W37" s="1">
        <f t="shared" si="36"/>
        <v>0.4922488471</v>
      </c>
      <c r="X37" s="1">
        <f t="shared" si="36"/>
        <v>0.9195022184</v>
      </c>
      <c r="Y37" s="1">
        <f t="shared" si="36"/>
        <v>1.218605161</v>
      </c>
      <c r="Z37" s="1">
        <f t="shared" si="36"/>
        <v>1.571296387</v>
      </c>
      <c r="AA37" s="1">
        <f t="shared" si="36"/>
        <v>1.782871236</v>
      </c>
      <c r="AB37" s="1">
        <f t="shared" si="36"/>
        <v>1.992795206</v>
      </c>
      <c r="AC37" s="1">
        <f t="shared" si="36"/>
        <v>2.178850046</v>
      </c>
      <c r="AD37" s="1">
        <f t="shared" si="36"/>
        <v>2.39650704</v>
      </c>
      <c r="AE37" s="1">
        <f t="shared" si="36"/>
        <v>2.63193816</v>
      </c>
      <c r="AF37" s="1">
        <f t="shared" si="36"/>
        <v>2.890443678</v>
      </c>
    </row>
    <row r="38" ht="14.25" customHeight="1">
      <c r="A38" s="1" t="s">
        <v>66</v>
      </c>
      <c r="B38" s="1" t="s">
        <v>14</v>
      </c>
      <c r="C38" s="3">
        <v>0.0</v>
      </c>
      <c r="D38" s="3">
        <v>0.0</v>
      </c>
      <c r="E38" s="3">
        <v>9.81556E-6</v>
      </c>
      <c r="F38" s="3">
        <v>0.01105772284</v>
      </c>
      <c r="G38" s="3">
        <v>0.02175746431</v>
      </c>
      <c r="H38" s="3">
        <v>0.03017786778</v>
      </c>
      <c r="I38" s="3">
        <v>0.04040978125</v>
      </c>
      <c r="J38" s="3">
        <v>0.04656656272</v>
      </c>
      <c r="K38" s="3">
        <v>0.05272977</v>
      </c>
      <c r="L38" s="3">
        <v>0.05770508</v>
      </c>
      <c r="M38" s="3">
        <v>0.0630024</v>
      </c>
      <c r="N38" s="3">
        <v>0.06824541</v>
      </c>
      <c r="O38" s="3">
        <v>0.07342275</v>
      </c>
      <c r="R38" s="1" t="s">
        <v>66</v>
      </c>
      <c r="S38" s="1" t="s">
        <v>14</v>
      </c>
      <c r="T38" s="1">
        <f t="shared" ref="T38:AF38" si="37">(((C38*10^9)/0.037679)/14.2)/(C78*1000)</f>
        <v>0</v>
      </c>
      <c r="U38" s="1">
        <f t="shared" si="37"/>
        <v>0</v>
      </c>
      <c r="V38" s="1">
        <f t="shared" si="37"/>
        <v>0.0005199945516</v>
      </c>
      <c r="W38" s="1">
        <f t="shared" si="37"/>
        <v>0.5403567885</v>
      </c>
      <c r="X38" s="1">
        <f t="shared" si="37"/>
        <v>0.9901865296</v>
      </c>
      <c r="Y38" s="1">
        <f t="shared" si="37"/>
        <v>1.291924108</v>
      </c>
      <c r="Z38" s="1">
        <f t="shared" si="37"/>
        <v>1.628633234</v>
      </c>
      <c r="AA38" s="1">
        <f t="shared" si="37"/>
        <v>1.844270112</v>
      </c>
      <c r="AB38" s="1">
        <f t="shared" si="37"/>
        <v>2.062970049</v>
      </c>
      <c r="AC38" s="1">
        <f t="shared" si="37"/>
        <v>2.239521247</v>
      </c>
      <c r="AD38" s="1">
        <f t="shared" si="37"/>
        <v>2.438511269</v>
      </c>
      <c r="AE38" s="1">
        <f t="shared" si="37"/>
        <v>2.649117179</v>
      </c>
      <c r="AF38" s="1">
        <f t="shared" si="37"/>
        <v>2.874355671</v>
      </c>
    </row>
    <row r="39" ht="14.25" customHeight="1"/>
    <row r="40" ht="14.25" customHeight="1">
      <c r="R40" s="1" t="s">
        <v>67</v>
      </c>
    </row>
    <row r="41" ht="14.25" customHeight="1">
      <c r="A41" s="1" t="s">
        <v>2</v>
      </c>
      <c r="B41" s="1" t="s">
        <v>68</v>
      </c>
      <c r="C41" s="1">
        <v>2010.0</v>
      </c>
      <c r="D41" s="1">
        <v>2015.0</v>
      </c>
      <c r="E41" s="1">
        <v>2020.0</v>
      </c>
      <c r="F41" s="1">
        <v>2025.0</v>
      </c>
      <c r="G41" s="1">
        <v>2030.0</v>
      </c>
      <c r="H41" s="1">
        <v>2035.0</v>
      </c>
      <c r="I41" s="1">
        <v>2040.0</v>
      </c>
      <c r="J41" s="1">
        <v>2045.0</v>
      </c>
      <c r="K41" s="1">
        <v>2050.0</v>
      </c>
      <c r="L41" s="1">
        <v>2055.0</v>
      </c>
      <c r="M41" s="1">
        <v>2060.0</v>
      </c>
      <c r="N41" s="1">
        <v>2065.0</v>
      </c>
      <c r="O41" s="1">
        <v>2070.0</v>
      </c>
      <c r="R41" s="1" t="s">
        <v>2</v>
      </c>
      <c r="S41" s="1" t="s">
        <v>4</v>
      </c>
      <c r="T41" s="1">
        <v>2010.0</v>
      </c>
      <c r="U41" s="1">
        <v>2015.0</v>
      </c>
      <c r="V41" s="1">
        <v>2020.0</v>
      </c>
      <c r="W41" s="1">
        <v>2025.0</v>
      </c>
      <c r="X41" s="1">
        <v>2030.0</v>
      </c>
      <c r="Y41" s="1">
        <v>2035.0</v>
      </c>
      <c r="Z41" s="1">
        <v>2040.0</v>
      </c>
      <c r="AA41" s="1">
        <v>2045.0</v>
      </c>
      <c r="AB41" s="1">
        <v>2050.0</v>
      </c>
      <c r="AC41" s="1">
        <v>2055.0</v>
      </c>
      <c r="AD41" s="1">
        <v>2060.0</v>
      </c>
      <c r="AE41" s="1">
        <v>2065.0</v>
      </c>
      <c r="AF41" s="1">
        <v>2070.0</v>
      </c>
    </row>
    <row r="42" ht="14.25" customHeight="1">
      <c r="A42" s="1" t="s">
        <v>6</v>
      </c>
      <c r="B42" s="1" t="s">
        <v>69</v>
      </c>
      <c r="C42" s="1">
        <v>143.0</v>
      </c>
      <c r="D42" s="1">
        <v>157.597</v>
      </c>
      <c r="E42" s="1">
        <v>172.0</v>
      </c>
      <c r="F42" s="1">
        <v>187.833</v>
      </c>
      <c r="G42" s="1">
        <v>204.39</v>
      </c>
      <c r="H42" s="1">
        <v>221.252</v>
      </c>
      <c r="I42" s="1">
        <v>240.717</v>
      </c>
      <c r="J42" s="1">
        <v>253.127</v>
      </c>
      <c r="K42" s="1">
        <v>267.206</v>
      </c>
      <c r="L42" s="1">
        <v>280.682</v>
      </c>
      <c r="M42" s="1">
        <v>293.476</v>
      </c>
      <c r="N42" s="1">
        <v>304.242</v>
      </c>
      <c r="O42" s="1">
        <v>314.084</v>
      </c>
      <c r="R42" s="1" t="s">
        <v>6</v>
      </c>
      <c r="S42" s="1" t="s">
        <v>14</v>
      </c>
      <c r="T42" s="4">
        <f t="shared" ref="T42:AF42" si="38">T2*4</f>
        <v>0</v>
      </c>
      <c r="U42" s="4">
        <f t="shared" si="38"/>
        <v>0</v>
      </c>
      <c r="V42" s="4">
        <f t="shared" si="38"/>
        <v>0.08997819053</v>
      </c>
      <c r="W42" s="4">
        <f t="shared" si="38"/>
        <v>1.338892734</v>
      </c>
      <c r="X42" s="4">
        <f t="shared" si="38"/>
        <v>5.22701673</v>
      </c>
      <c r="Y42" s="4">
        <f t="shared" si="38"/>
        <v>7.987606705</v>
      </c>
      <c r="Z42" s="4">
        <f t="shared" si="38"/>
        <v>9.900054071</v>
      </c>
      <c r="AA42" s="4">
        <f t="shared" si="38"/>
        <v>11.01461973</v>
      </c>
      <c r="AB42" s="4">
        <f t="shared" si="38"/>
        <v>11.84981511</v>
      </c>
      <c r="AC42" s="4">
        <f t="shared" si="38"/>
        <v>12.41358487</v>
      </c>
      <c r="AD42" s="4">
        <f t="shared" si="38"/>
        <v>13.06368375</v>
      </c>
      <c r="AE42" s="4">
        <f t="shared" si="38"/>
        <v>13.7831813</v>
      </c>
      <c r="AF42" s="4">
        <f t="shared" si="38"/>
        <v>14.5614622</v>
      </c>
    </row>
    <row r="43" ht="14.25" customHeight="1">
      <c r="A43" s="1" t="s">
        <v>30</v>
      </c>
      <c r="B43" s="1" t="s">
        <v>69</v>
      </c>
      <c r="C43" s="1">
        <v>14610.0</v>
      </c>
      <c r="D43" s="1">
        <v>16609.0</v>
      </c>
      <c r="E43" s="1">
        <v>18618.0</v>
      </c>
      <c r="F43" s="1">
        <v>20573.0</v>
      </c>
      <c r="G43" s="1">
        <v>22475.6</v>
      </c>
      <c r="H43" s="1">
        <v>24379.8</v>
      </c>
      <c r="I43" s="1">
        <v>26290.1</v>
      </c>
      <c r="J43" s="1">
        <v>28011.2</v>
      </c>
      <c r="K43" s="1">
        <v>29033.4</v>
      </c>
      <c r="L43" s="1">
        <v>29968.4</v>
      </c>
      <c r="M43" s="1">
        <v>30207.0</v>
      </c>
      <c r="N43" s="1">
        <v>30276.7</v>
      </c>
      <c r="O43" s="1">
        <v>30178.0</v>
      </c>
      <c r="R43" s="1" t="s">
        <v>30</v>
      </c>
      <c r="S43" s="1" t="s">
        <v>14</v>
      </c>
      <c r="T43" s="4">
        <f t="shared" ref="T43:AF43" si="39">T3*4</f>
        <v>0</v>
      </c>
      <c r="U43" s="4">
        <f t="shared" si="39"/>
        <v>0.03140675286</v>
      </c>
      <c r="V43" s="4">
        <f t="shared" si="39"/>
        <v>0.2257675971</v>
      </c>
      <c r="W43" s="4">
        <f t="shared" si="39"/>
        <v>2.249150714</v>
      </c>
      <c r="X43" s="4">
        <f t="shared" si="39"/>
        <v>3.773424817</v>
      </c>
      <c r="Y43" s="4">
        <f t="shared" si="39"/>
        <v>5.151193557</v>
      </c>
      <c r="Z43" s="4">
        <f t="shared" si="39"/>
        <v>6.624646797</v>
      </c>
      <c r="AA43" s="4">
        <f t="shared" si="39"/>
        <v>7.567390559</v>
      </c>
      <c r="AB43" s="4">
        <f t="shared" si="39"/>
        <v>8.550007584</v>
      </c>
      <c r="AC43" s="4">
        <f t="shared" si="39"/>
        <v>9.260805381</v>
      </c>
      <c r="AD43" s="4">
        <f t="shared" si="39"/>
        <v>10.12746755</v>
      </c>
      <c r="AE43" s="4">
        <f t="shared" si="39"/>
        <v>11.03805715</v>
      </c>
      <c r="AF43" s="4">
        <f t="shared" si="39"/>
        <v>12.01884141</v>
      </c>
    </row>
    <row r="44" ht="14.25" customHeight="1">
      <c r="A44" s="1" t="s">
        <v>32</v>
      </c>
      <c r="B44" s="1" t="s">
        <v>69</v>
      </c>
      <c r="C44" s="1">
        <v>317.0</v>
      </c>
      <c r="D44" s="1">
        <v>351.0</v>
      </c>
      <c r="E44" s="1">
        <v>386.0</v>
      </c>
      <c r="F44" s="1">
        <v>422.0</v>
      </c>
      <c r="G44" s="1">
        <v>458.0</v>
      </c>
      <c r="H44" s="1">
        <v>495.57</v>
      </c>
      <c r="I44" s="1">
        <v>537.645</v>
      </c>
      <c r="J44" s="1">
        <v>564.561</v>
      </c>
      <c r="K44" s="1">
        <v>588.354</v>
      </c>
      <c r="L44" s="1">
        <v>604.275</v>
      </c>
      <c r="M44" s="1">
        <v>615.798</v>
      </c>
      <c r="N44" s="1">
        <v>624.662</v>
      </c>
      <c r="O44" s="1">
        <v>630.134</v>
      </c>
      <c r="R44" s="1" t="s">
        <v>32</v>
      </c>
      <c r="S44" s="1" t="s">
        <v>14</v>
      </c>
      <c r="T44" s="4">
        <f t="shared" ref="T44:AF44" si="40">T4*4</f>
        <v>0</v>
      </c>
      <c r="U44" s="4">
        <f t="shared" si="40"/>
        <v>0</v>
      </c>
      <c r="V44" s="4">
        <f t="shared" si="40"/>
        <v>0.04005652848</v>
      </c>
      <c r="W44" s="4">
        <f t="shared" si="40"/>
        <v>3.205787532</v>
      </c>
      <c r="X44" s="4">
        <f t="shared" si="40"/>
        <v>5.968753425</v>
      </c>
      <c r="Y44" s="4">
        <f t="shared" si="40"/>
        <v>8.566979689</v>
      </c>
      <c r="Z44" s="4">
        <f t="shared" si="40"/>
        <v>11.02536712</v>
      </c>
      <c r="AA44" s="4">
        <f t="shared" si="40"/>
        <v>13.07069035</v>
      </c>
      <c r="AB44" s="4">
        <f t="shared" si="40"/>
        <v>14.92108443</v>
      </c>
      <c r="AC44" s="4">
        <f t="shared" si="40"/>
        <v>16.32606193</v>
      </c>
      <c r="AD44" s="4">
        <f t="shared" si="40"/>
        <v>17.85233941</v>
      </c>
      <c r="AE44" s="4">
        <f t="shared" si="40"/>
        <v>19.359882</v>
      </c>
      <c r="AF44" s="4">
        <f t="shared" si="40"/>
        <v>20.9176984</v>
      </c>
    </row>
    <row r="45" ht="14.25" customHeight="1">
      <c r="A45" s="1" t="s">
        <v>33</v>
      </c>
      <c r="B45" s="1" t="s">
        <v>69</v>
      </c>
      <c r="C45" s="1">
        <v>4399.0</v>
      </c>
      <c r="D45" s="1">
        <v>4879.0</v>
      </c>
      <c r="E45" s="1">
        <v>5368.0</v>
      </c>
      <c r="F45" s="1">
        <v>5848.0</v>
      </c>
      <c r="G45" s="1">
        <v>6318.0</v>
      </c>
      <c r="H45" s="1">
        <v>6762.0</v>
      </c>
      <c r="I45" s="1">
        <v>7638.4</v>
      </c>
      <c r="J45" s="1">
        <v>8490.92</v>
      </c>
      <c r="K45" s="1">
        <v>9314.85</v>
      </c>
      <c r="L45" s="1">
        <v>10135.7</v>
      </c>
      <c r="M45" s="1">
        <v>10923.7</v>
      </c>
      <c r="N45" s="1">
        <v>11659.4</v>
      </c>
      <c r="O45" s="1">
        <v>12331.9</v>
      </c>
      <c r="R45" s="1" t="s">
        <v>33</v>
      </c>
      <c r="S45" s="1" t="s">
        <v>14</v>
      </c>
      <c r="T45" s="4">
        <f t="shared" ref="T45:AF45" si="41">T5*4</f>
        <v>0.006967921236</v>
      </c>
      <c r="U45" s="4">
        <f t="shared" si="41"/>
        <v>0.004849304964</v>
      </c>
      <c r="V45" s="4">
        <f t="shared" si="41"/>
        <v>0.06177726725</v>
      </c>
      <c r="W45" s="4">
        <f t="shared" si="41"/>
        <v>4.288412146</v>
      </c>
      <c r="X45" s="4">
        <f t="shared" si="41"/>
        <v>8.065872231</v>
      </c>
      <c r="Y45" s="4">
        <f t="shared" si="41"/>
        <v>11.58664811</v>
      </c>
      <c r="Z45" s="4">
        <f t="shared" si="41"/>
        <v>15.55051646</v>
      </c>
      <c r="AA45" s="4">
        <f t="shared" si="41"/>
        <v>17.47922407</v>
      </c>
      <c r="AB45" s="4">
        <f t="shared" si="41"/>
        <v>19.20863052</v>
      </c>
      <c r="AC45" s="4">
        <f t="shared" si="41"/>
        <v>20.25837997</v>
      </c>
      <c r="AD45" s="4">
        <f t="shared" si="41"/>
        <v>21.40548456</v>
      </c>
      <c r="AE45" s="4">
        <f t="shared" si="41"/>
        <v>22.61099924</v>
      </c>
      <c r="AF45" s="4">
        <f t="shared" si="41"/>
        <v>23.90956654</v>
      </c>
    </row>
    <row r="46" ht="14.25" customHeight="1">
      <c r="A46" s="1" t="s">
        <v>34</v>
      </c>
      <c r="B46" s="1" t="s">
        <v>69</v>
      </c>
      <c r="C46" s="1">
        <v>11758.0</v>
      </c>
      <c r="D46" s="1">
        <v>13375.0</v>
      </c>
      <c r="E46" s="1">
        <v>14917.0</v>
      </c>
      <c r="F46" s="1">
        <v>16554.0</v>
      </c>
      <c r="G46" s="1">
        <v>18199.0</v>
      </c>
      <c r="H46" s="1">
        <v>19741.0</v>
      </c>
      <c r="I46" s="1">
        <v>21527.9</v>
      </c>
      <c r="J46" s="1">
        <v>23681.5</v>
      </c>
      <c r="K46" s="1">
        <v>25765.0</v>
      </c>
      <c r="L46" s="1">
        <v>28508.4</v>
      </c>
      <c r="M46" s="1">
        <v>31131.7</v>
      </c>
      <c r="N46" s="1">
        <v>34432.0</v>
      </c>
      <c r="O46" s="1">
        <v>37545.7</v>
      </c>
      <c r="R46" s="1" t="s">
        <v>34</v>
      </c>
      <c r="S46" s="1" t="s">
        <v>14</v>
      </c>
      <c r="T46" s="4">
        <f t="shared" ref="T46:AF46" si="42">T6*4</f>
        <v>0</v>
      </c>
      <c r="U46" s="4">
        <f t="shared" si="42"/>
        <v>0</v>
      </c>
      <c r="V46" s="4">
        <f t="shared" si="42"/>
        <v>0</v>
      </c>
      <c r="W46" s="4">
        <f t="shared" si="42"/>
        <v>2.323844365</v>
      </c>
      <c r="X46" s="4">
        <f t="shared" si="42"/>
        <v>8.675953752</v>
      </c>
      <c r="Y46" s="4">
        <f t="shared" si="42"/>
        <v>10.29369455</v>
      </c>
      <c r="Z46" s="4">
        <f t="shared" si="42"/>
        <v>12.26821984</v>
      </c>
      <c r="AA46" s="4">
        <f t="shared" si="42"/>
        <v>12.93659799</v>
      </c>
      <c r="AB46" s="4">
        <f t="shared" si="42"/>
        <v>13.54256143</v>
      </c>
      <c r="AC46" s="4">
        <f t="shared" si="42"/>
        <v>14.1392785</v>
      </c>
      <c r="AD46" s="4">
        <f t="shared" si="42"/>
        <v>14.84316686</v>
      </c>
      <c r="AE46" s="4">
        <f t="shared" si="42"/>
        <v>15.59448478</v>
      </c>
      <c r="AF46" s="4">
        <f t="shared" si="42"/>
        <v>16.43492591</v>
      </c>
    </row>
    <row r="47" ht="14.25" customHeight="1">
      <c r="A47" s="1" t="s">
        <v>35</v>
      </c>
      <c r="B47" s="1" t="s">
        <v>69</v>
      </c>
      <c r="C47" s="1">
        <v>5937.0</v>
      </c>
      <c r="D47" s="1">
        <v>6858.0</v>
      </c>
      <c r="E47" s="1">
        <v>7810.0</v>
      </c>
      <c r="F47" s="1">
        <v>8763.0</v>
      </c>
      <c r="G47" s="1">
        <v>9708.0</v>
      </c>
      <c r="H47" s="1">
        <v>10660.0</v>
      </c>
      <c r="I47" s="1">
        <v>11597.2</v>
      </c>
      <c r="J47" s="1">
        <v>11991.7</v>
      </c>
      <c r="K47" s="1">
        <v>12324.9</v>
      </c>
      <c r="L47" s="1">
        <v>12633.4</v>
      </c>
      <c r="M47" s="1">
        <v>12891.7</v>
      </c>
      <c r="N47" s="1">
        <v>13088.8</v>
      </c>
      <c r="O47" s="1">
        <v>13221.4</v>
      </c>
      <c r="R47" s="1" t="s">
        <v>35</v>
      </c>
      <c r="S47" s="1" t="s">
        <v>14</v>
      </c>
      <c r="T47" s="4">
        <f t="shared" ref="T47:AF47" si="43">T7*4</f>
        <v>0</v>
      </c>
      <c r="U47" s="4">
        <f t="shared" si="43"/>
        <v>0</v>
      </c>
      <c r="V47" s="4">
        <f t="shared" si="43"/>
        <v>0</v>
      </c>
      <c r="W47" s="4">
        <f t="shared" si="43"/>
        <v>0</v>
      </c>
      <c r="X47" s="4">
        <f t="shared" si="43"/>
        <v>5.427399234</v>
      </c>
      <c r="Y47" s="4">
        <f t="shared" si="43"/>
        <v>6.883704074</v>
      </c>
      <c r="Z47" s="4">
        <f t="shared" si="43"/>
        <v>8.594197222</v>
      </c>
      <c r="AA47" s="4">
        <f t="shared" si="43"/>
        <v>9.956433154</v>
      </c>
      <c r="AB47" s="4">
        <f t="shared" si="43"/>
        <v>11.36848839</v>
      </c>
      <c r="AC47" s="4">
        <f t="shared" si="43"/>
        <v>12.62740079</v>
      </c>
      <c r="AD47" s="4">
        <f t="shared" si="43"/>
        <v>13.9344025</v>
      </c>
      <c r="AE47" s="4">
        <f t="shared" si="43"/>
        <v>15.26926952</v>
      </c>
      <c r="AF47" s="4">
        <f t="shared" si="43"/>
        <v>16.61904502</v>
      </c>
    </row>
    <row r="48" ht="14.25" customHeight="1">
      <c r="A48" s="1" t="s">
        <v>36</v>
      </c>
      <c r="B48" s="1" t="s">
        <v>69</v>
      </c>
      <c r="C48" s="1">
        <v>1026.0</v>
      </c>
      <c r="D48" s="1">
        <v>1123.0</v>
      </c>
      <c r="E48" s="1">
        <v>1195.92</v>
      </c>
      <c r="F48" s="1">
        <v>1254.33</v>
      </c>
      <c r="G48" s="1">
        <v>1317.69</v>
      </c>
      <c r="H48" s="1">
        <v>1382.04</v>
      </c>
      <c r="I48" s="1">
        <v>1445.4</v>
      </c>
      <c r="J48" s="1">
        <v>1533.51</v>
      </c>
      <c r="K48" s="1">
        <v>1609.74</v>
      </c>
      <c r="L48" s="1">
        <v>1670.13</v>
      </c>
      <c r="M48" s="1">
        <v>1718.64</v>
      </c>
      <c r="N48" s="1">
        <v>1759.23</v>
      </c>
      <c r="O48" s="1">
        <v>1790.91</v>
      </c>
      <c r="R48" s="1" t="s">
        <v>36</v>
      </c>
      <c r="S48" s="1" t="s">
        <v>14</v>
      </c>
      <c r="T48" s="4">
        <f t="shared" ref="T48:AF48" si="44">T8*4</f>
        <v>0</v>
      </c>
      <c r="U48" s="4">
        <f t="shared" si="44"/>
        <v>0</v>
      </c>
      <c r="V48" s="4">
        <f t="shared" si="44"/>
        <v>0.001782788708</v>
      </c>
      <c r="W48" s="4">
        <f t="shared" si="44"/>
        <v>0.755756464</v>
      </c>
      <c r="X48" s="4">
        <f t="shared" si="44"/>
        <v>1.447683918</v>
      </c>
      <c r="Y48" s="4">
        <f t="shared" si="44"/>
        <v>1.924000771</v>
      </c>
      <c r="Z48" s="4">
        <f t="shared" si="44"/>
        <v>2.391106663</v>
      </c>
      <c r="AA48" s="4">
        <f t="shared" si="44"/>
        <v>2.626654211</v>
      </c>
      <c r="AB48" s="4">
        <f t="shared" si="44"/>
        <v>2.822323422</v>
      </c>
      <c r="AC48" s="4">
        <f t="shared" si="44"/>
        <v>2.993422835</v>
      </c>
      <c r="AD48" s="4">
        <f t="shared" si="44"/>
        <v>3.186612536</v>
      </c>
      <c r="AE48" s="4">
        <f t="shared" si="44"/>
        <v>3.383957497</v>
      </c>
      <c r="AF48" s="4">
        <f t="shared" si="44"/>
        <v>3.594570557</v>
      </c>
    </row>
    <row r="49" ht="14.25" customHeight="1">
      <c r="A49" s="1" t="s">
        <v>37</v>
      </c>
      <c r="B49" s="1" t="s">
        <v>69</v>
      </c>
      <c r="C49" s="1">
        <v>183.0</v>
      </c>
      <c r="D49" s="1">
        <v>287.0</v>
      </c>
      <c r="E49" s="1">
        <v>441.0</v>
      </c>
      <c r="F49" s="1">
        <v>686.0</v>
      </c>
      <c r="G49" s="1">
        <v>1056.87</v>
      </c>
      <c r="H49" s="1">
        <v>1426.78</v>
      </c>
      <c r="I49" s="1">
        <v>1784.97</v>
      </c>
      <c r="J49" s="1">
        <v>2147.31</v>
      </c>
      <c r="K49" s="1">
        <v>2385.9</v>
      </c>
      <c r="L49" s="1">
        <v>2625.48</v>
      </c>
      <c r="M49" s="1">
        <v>2723.49</v>
      </c>
      <c r="N49" s="1">
        <v>2807.64</v>
      </c>
      <c r="O49" s="1">
        <v>2876.94</v>
      </c>
      <c r="R49" s="1" t="s">
        <v>37</v>
      </c>
      <c r="S49" s="1" t="s">
        <v>14</v>
      </c>
      <c r="T49" s="4">
        <f t="shared" ref="T49:AF49" si="45">T9*4</f>
        <v>0</v>
      </c>
      <c r="U49" s="4">
        <f t="shared" si="45"/>
        <v>0</v>
      </c>
      <c r="V49" s="4">
        <f t="shared" si="45"/>
        <v>0</v>
      </c>
      <c r="W49" s="4">
        <f t="shared" si="45"/>
        <v>0.01855586473</v>
      </c>
      <c r="X49" s="4">
        <f t="shared" si="45"/>
        <v>0.8614463741</v>
      </c>
      <c r="Y49" s="4">
        <f t="shared" si="45"/>
        <v>1.692538414</v>
      </c>
      <c r="Z49" s="4">
        <f t="shared" si="45"/>
        <v>2.255297253</v>
      </c>
      <c r="AA49" s="4">
        <f t="shared" si="45"/>
        <v>2.461149901</v>
      </c>
      <c r="AB49" s="4">
        <f t="shared" si="45"/>
        <v>2.596232664</v>
      </c>
      <c r="AC49" s="4">
        <f t="shared" si="45"/>
        <v>2.643047907</v>
      </c>
      <c r="AD49" s="4">
        <f t="shared" si="45"/>
        <v>2.717749698</v>
      </c>
      <c r="AE49" s="4">
        <f t="shared" si="45"/>
        <v>2.783639164</v>
      </c>
      <c r="AF49" s="4">
        <f t="shared" si="45"/>
        <v>2.85502429</v>
      </c>
    </row>
    <row r="50" ht="14.25" customHeight="1">
      <c r="A50" s="1" t="s">
        <v>38</v>
      </c>
      <c r="B50" s="1" t="s">
        <v>69</v>
      </c>
      <c r="C50" s="1">
        <v>16369.0</v>
      </c>
      <c r="D50" s="1">
        <v>18417.0</v>
      </c>
      <c r="E50" s="1">
        <v>20438.0</v>
      </c>
      <c r="F50" s="1">
        <v>22314.6</v>
      </c>
      <c r="G50" s="1">
        <v>24306.5</v>
      </c>
      <c r="H50" s="1">
        <v>26325.1</v>
      </c>
      <c r="I50" s="1">
        <v>28238.8</v>
      </c>
      <c r="J50" s="1">
        <v>29936.6</v>
      </c>
      <c r="K50" s="1">
        <v>31429.5</v>
      </c>
      <c r="L50" s="1">
        <v>32707.6</v>
      </c>
      <c r="M50" s="1">
        <v>33823.3</v>
      </c>
      <c r="N50" s="1">
        <v>34768.8</v>
      </c>
      <c r="O50" s="1">
        <v>35532.1</v>
      </c>
      <c r="R50" s="1" t="s">
        <v>38</v>
      </c>
      <c r="S50" s="1" t="s">
        <v>14</v>
      </c>
      <c r="T50" s="4">
        <f t="shared" ref="T50:AF50" si="46">T10*4</f>
        <v>0.02361192705</v>
      </c>
      <c r="U50" s="4">
        <f t="shared" si="46"/>
        <v>0.02204052965</v>
      </c>
      <c r="V50" s="4">
        <f t="shared" si="46"/>
        <v>0.762052853</v>
      </c>
      <c r="W50" s="4">
        <f t="shared" si="46"/>
        <v>1.372125835</v>
      </c>
      <c r="X50" s="4">
        <f t="shared" si="46"/>
        <v>1.918992788</v>
      </c>
      <c r="Y50" s="4">
        <f t="shared" si="46"/>
        <v>2.416019681</v>
      </c>
      <c r="Z50" s="4">
        <f t="shared" si="46"/>
        <v>2.954479249</v>
      </c>
      <c r="AA50" s="4">
        <f t="shared" si="46"/>
        <v>3.270376293</v>
      </c>
      <c r="AB50" s="4">
        <f t="shared" si="46"/>
        <v>3.541971876</v>
      </c>
      <c r="AC50" s="4">
        <f t="shared" si="46"/>
        <v>3.796262267</v>
      </c>
      <c r="AD50" s="4">
        <f t="shared" si="46"/>
        <v>4.054699748</v>
      </c>
      <c r="AE50" s="4">
        <f t="shared" si="46"/>
        <v>4.305834524</v>
      </c>
      <c r="AF50" s="4">
        <f t="shared" si="46"/>
        <v>4.560416184</v>
      </c>
    </row>
    <row r="51" ht="14.25" customHeight="1">
      <c r="A51" s="1" t="s">
        <v>39</v>
      </c>
      <c r="B51" s="1" t="s">
        <v>69</v>
      </c>
      <c r="C51" s="1">
        <v>161.0</v>
      </c>
      <c r="D51" s="1">
        <v>264.0</v>
      </c>
      <c r="E51" s="1">
        <v>408.0</v>
      </c>
      <c r="F51" s="1">
        <v>613.0</v>
      </c>
      <c r="G51" s="1">
        <v>916.0</v>
      </c>
      <c r="H51" s="1">
        <v>1227.16</v>
      </c>
      <c r="I51" s="1">
        <v>1481.76</v>
      </c>
      <c r="J51" s="1">
        <v>1677.86</v>
      </c>
      <c r="K51" s="1">
        <v>1880.56</v>
      </c>
      <c r="L51" s="1">
        <v>2007.9</v>
      </c>
      <c r="M51" s="1">
        <v>2097.55</v>
      </c>
      <c r="N51" s="1">
        <v>2156.7</v>
      </c>
      <c r="O51" s="1">
        <v>2204.93</v>
      </c>
      <c r="R51" s="1" t="s">
        <v>39</v>
      </c>
      <c r="S51" s="1" t="s">
        <v>14</v>
      </c>
      <c r="T51" s="4">
        <f t="shared" ref="T51:AF51" si="47">T11*4</f>
        <v>0</v>
      </c>
      <c r="U51" s="4">
        <f t="shared" si="47"/>
        <v>0</v>
      </c>
      <c r="V51" s="4">
        <f t="shared" si="47"/>
        <v>0</v>
      </c>
      <c r="W51" s="4">
        <f t="shared" si="47"/>
        <v>0.1055690414</v>
      </c>
      <c r="X51" s="4">
        <f t="shared" si="47"/>
        <v>0.9653338745</v>
      </c>
      <c r="Y51" s="4">
        <f t="shared" si="47"/>
        <v>1.87966121</v>
      </c>
      <c r="Z51" s="4">
        <f t="shared" si="47"/>
        <v>2.486192589</v>
      </c>
      <c r="AA51" s="4">
        <f t="shared" si="47"/>
        <v>2.799863236</v>
      </c>
      <c r="AB51" s="4">
        <f t="shared" si="47"/>
        <v>2.973703165</v>
      </c>
      <c r="AC51" s="4">
        <f t="shared" si="47"/>
        <v>3.086741697</v>
      </c>
      <c r="AD51" s="4">
        <f t="shared" si="47"/>
        <v>3.216952172</v>
      </c>
      <c r="AE51" s="4">
        <f t="shared" si="47"/>
        <v>3.356923175</v>
      </c>
      <c r="AF51" s="4">
        <f t="shared" si="47"/>
        <v>3.513167078</v>
      </c>
    </row>
    <row r="52" ht="14.25" customHeight="1">
      <c r="A52" s="1" t="s">
        <v>40</v>
      </c>
      <c r="B52" s="1" t="s">
        <v>69</v>
      </c>
      <c r="C52" s="1">
        <v>907.0</v>
      </c>
      <c r="D52" s="1">
        <v>1029.0</v>
      </c>
      <c r="E52" s="1">
        <v>1148.0</v>
      </c>
      <c r="F52" s="1">
        <v>1262.0</v>
      </c>
      <c r="G52" s="1">
        <v>1369.0</v>
      </c>
      <c r="H52" s="1">
        <v>1482.0</v>
      </c>
      <c r="I52" s="1">
        <v>1545.66</v>
      </c>
      <c r="J52" s="1">
        <v>1600.2</v>
      </c>
      <c r="K52" s="1">
        <v>1655.29</v>
      </c>
      <c r="L52" s="1">
        <v>1699.24</v>
      </c>
      <c r="M52" s="1">
        <v>1716.72</v>
      </c>
      <c r="N52" s="1">
        <v>1725.92</v>
      </c>
      <c r="O52" s="1">
        <v>1725.0</v>
      </c>
      <c r="R52" s="1" t="s">
        <v>40</v>
      </c>
      <c r="S52" s="1" t="s">
        <v>14</v>
      </c>
      <c r="T52" s="4">
        <f t="shared" ref="T52:AF52" si="48">T12*4</f>
        <v>0</v>
      </c>
      <c r="U52" s="4">
        <f t="shared" si="48"/>
        <v>0</v>
      </c>
      <c r="V52" s="4">
        <f t="shared" si="48"/>
        <v>0</v>
      </c>
      <c r="W52" s="4">
        <f t="shared" si="48"/>
        <v>0</v>
      </c>
      <c r="X52" s="4">
        <f t="shared" si="48"/>
        <v>0.0008436470075</v>
      </c>
      <c r="Y52" s="4">
        <f t="shared" si="48"/>
        <v>2.418493251</v>
      </c>
      <c r="Z52" s="4">
        <f t="shared" si="48"/>
        <v>4.668820777</v>
      </c>
      <c r="AA52" s="4">
        <f t="shared" si="48"/>
        <v>5.701604594</v>
      </c>
      <c r="AB52" s="4">
        <f t="shared" si="48"/>
        <v>6.413429045</v>
      </c>
      <c r="AC52" s="4">
        <f t="shared" si="48"/>
        <v>6.776276319</v>
      </c>
      <c r="AD52" s="4">
        <f t="shared" si="48"/>
        <v>7.151459466</v>
      </c>
      <c r="AE52" s="4">
        <f t="shared" si="48"/>
        <v>7.51262641</v>
      </c>
      <c r="AF52" s="4">
        <f t="shared" si="48"/>
        <v>7.935654341</v>
      </c>
    </row>
    <row r="53" ht="14.25" customHeight="1">
      <c r="A53" s="1" t="s">
        <v>41</v>
      </c>
      <c r="B53" s="1" t="s">
        <v>69</v>
      </c>
      <c r="C53" s="1">
        <v>25745.0</v>
      </c>
      <c r="D53" s="1">
        <v>29457.0</v>
      </c>
      <c r="E53" s="1">
        <v>33315.0</v>
      </c>
      <c r="F53" s="1">
        <v>37192.0</v>
      </c>
      <c r="G53" s="1">
        <v>41002.0</v>
      </c>
      <c r="H53" s="1">
        <v>44717.0</v>
      </c>
      <c r="I53" s="1">
        <v>48300.9</v>
      </c>
      <c r="J53" s="1">
        <v>50425.4</v>
      </c>
      <c r="K53" s="1">
        <v>52324.6</v>
      </c>
      <c r="L53" s="1">
        <v>53993.0</v>
      </c>
      <c r="M53" s="1">
        <v>55426.0</v>
      </c>
      <c r="N53" s="1">
        <v>56607.2</v>
      </c>
      <c r="O53" s="1">
        <v>57520.5</v>
      </c>
      <c r="R53" s="1" t="s">
        <v>41</v>
      </c>
      <c r="S53" s="1" t="s">
        <v>14</v>
      </c>
      <c r="T53" s="4">
        <f t="shared" ref="T53:AF53" si="49">T13*4</f>
        <v>0.02808065308</v>
      </c>
      <c r="U53" s="4">
        <f t="shared" si="49"/>
        <v>0.01917747331</v>
      </c>
      <c r="V53" s="4">
        <f t="shared" si="49"/>
        <v>0.4152781368</v>
      </c>
      <c r="W53" s="4">
        <f t="shared" si="49"/>
        <v>3.69190804</v>
      </c>
      <c r="X53" s="4">
        <f t="shared" si="49"/>
        <v>5.853048044</v>
      </c>
      <c r="Y53" s="4">
        <f t="shared" si="49"/>
        <v>7.128117779</v>
      </c>
      <c r="Z53" s="4">
        <f t="shared" si="49"/>
        <v>8.695610146</v>
      </c>
      <c r="AA53" s="4">
        <f t="shared" si="49"/>
        <v>9.892731937</v>
      </c>
      <c r="AB53" s="4">
        <f t="shared" si="49"/>
        <v>11.07922282</v>
      </c>
      <c r="AC53" s="4">
        <f t="shared" si="49"/>
        <v>12.1098311</v>
      </c>
      <c r="AD53" s="4">
        <f t="shared" si="49"/>
        <v>13.15100379</v>
      </c>
      <c r="AE53" s="4">
        <f t="shared" si="49"/>
        <v>14.18247518</v>
      </c>
      <c r="AF53" s="4">
        <f t="shared" si="49"/>
        <v>15.2208419</v>
      </c>
    </row>
    <row r="54" ht="14.25" customHeight="1">
      <c r="A54" s="1" t="s">
        <v>42</v>
      </c>
      <c r="B54" s="1" t="s">
        <v>69</v>
      </c>
      <c r="C54" s="1">
        <v>689.0</v>
      </c>
      <c r="D54" s="1">
        <v>726.0</v>
      </c>
      <c r="E54" s="1">
        <v>759.0</v>
      </c>
      <c r="F54" s="1">
        <v>787.0</v>
      </c>
      <c r="G54" s="1">
        <v>810.0</v>
      </c>
      <c r="H54" s="1">
        <v>831.568</v>
      </c>
      <c r="I54" s="1">
        <v>870.528</v>
      </c>
      <c r="J54" s="1">
        <v>909.02</v>
      </c>
      <c r="K54" s="1">
        <v>942.86</v>
      </c>
      <c r="L54" s="1">
        <v>973.98</v>
      </c>
      <c r="M54" s="1">
        <v>1000.76</v>
      </c>
      <c r="N54" s="1">
        <v>1022.33</v>
      </c>
      <c r="O54" s="1">
        <v>1038.13</v>
      </c>
      <c r="R54" s="1" t="s">
        <v>42</v>
      </c>
      <c r="S54" s="1" t="s">
        <v>14</v>
      </c>
      <c r="T54" s="4">
        <f t="shared" ref="T54:AF54" si="50">T14*4</f>
        <v>0</v>
      </c>
      <c r="U54" s="4">
        <f t="shared" si="50"/>
        <v>0</v>
      </c>
      <c r="V54" s="4">
        <f t="shared" si="50"/>
        <v>0</v>
      </c>
      <c r="W54" s="4">
        <f t="shared" si="50"/>
        <v>4.895255763</v>
      </c>
      <c r="X54" s="4">
        <f t="shared" si="50"/>
        <v>10.35264216</v>
      </c>
      <c r="Y54" s="4">
        <f t="shared" si="50"/>
        <v>13.68517979</v>
      </c>
      <c r="Z54" s="4">
        <f t="shared" si="50"/>
        <v>16.95195309</v>
      </c>
      <c r="AA54" s="4">
        <f t="shared" si="50"/>
        <v>18.38731808</v>
      </c>
      <c r="AB54" s="4">
        <f t="shared" si="50"/>
        <v>19.46503679</v>
      </c>
      <c r="AC54" s="4">
        <f t="shared" si="50"/>
        <v>20.15398171</v>
      </c>
      <c r="AD54" s="4">
        <f t="shared" si="50"/>
        <v>20.978251</v>
      </c>
      <c r="AE54" s="4">
        <f t="shared" si="50"/>
        <v>21.83914596</v>
      </c>
      <c r="AF54" s="4">
        <f t="shared" si="50"/>
        <v>22.79011038</v>
      </c>
    </row>
    <row r="55" ht="14.25" customHeight="1">
      <c r="A55" s="1" t="s">
        <v>43</v>
      </c>
      <c r="B55" s="1" t="s">
        <v>69</v>
      </c>
      <c r="C55" s="1">
        <v>8842.0</v>
      </c>
      <c r="D55" s="1">
        <v>10415.0</v>
      </c>
      <c r="E55" s="1">
        <v>12064.0</v>
      </c>
      <c r="F55" s="1">
        <v>13723.0</v>
      </c>
      <c r="G55" s="1">
        <v>15397.0</v>
      </c>
      <c r="H55" s="1">
        <v>17094.0</v>
      </c>
      <c r="I55" s="1">
        <v>19183.5</v>
      </c>
      <c r="J55" s="1">
        <v>20472.7</v>
      </c>
      <c r="K55" s="1">
        <v>21688.1</v>
      </c>
      <c r="L55" s="1">
        <v>22827.3</v>
      </c>
      <c r="M55" s="1">
        <v>23897.0</v>
      </c>
      <c r="N55" s="1">
        <v>24885.7</v>
      </c>
      <c r="O55" s="1">
        <v>25779.5</v>
      </c>
      <c r="R55" s="1" t="s">
        <v>43</v>
      </c>
      <c r="S55" s="1" t="s">
        <v>14</v>
      </c>
      <c r="T55" s="4">
        <f t="shared" ref="T55:AF55" si="51">T15*4</f>
        <v>0.0002536589913</v>
      </c>
      <c r="U55" s="4">
        <f t="shared" si="51"/>
        <v>0.0003993891139</v>
      </c>
      <c r="V55" s="4">
        <f t="shared" si="51"/>
        <v>0.06852224738</v>
      </c>
      <c r="W55" s="4">
        <f t="shared" si="51"/>
        <v>2.623629605</v>
      </c>
      <c r="X55" s="4">
        <f t="shared" si="51"/>
        <v>4.341565029</v>
      </c>
      <c r="Y55" s="4">
        <f t="shared" si="51"/>
        <v>5.59657181</v>
      </c>
      <c r="Z55" s="4">
        <f t="shared" si="51"/>
        <v>6.853989165</v>
      </c>
      <c r="AA55" s="4">
        <f t="shared" si="51"/>
        <v>7.630106331</v>
      </c>
      <c r="AB55" s="4">
        <f t="shared" si="51"/>
        <v>8.294422243</v>
      </c>
      <c r="AC55" s="4">
        <f t="shared" si="51"/>
        <v>8.716044035</v>
      </c>
      <c r="AD55" s="4">
        <f t="shared" si="51"/>
        <v>9.154530529</v>
      </c>
      <c r="AE55" s="4">
        <f t="shared" si="51"/>
        <v>9.594557872</v>
      </c>
      <c r="AF55" s="4">
        <f t="shared" si="51"/>
        <v>10.06645689</v>
      </c>
    </row>
    <row r="56" ht="14.25" customHeight="1">
      <c r="A56" s="1" t="s">
        <v>44</v>
      </c>
      <c r="B56" s="1" t="s">
        <v>69</v>
      </c>
      <c r="C56" s="1">
        <v>7933.0</v>
      </c>
      <c r="D56" s="1">
        <v>8933.0</v>
      </c>
      <c r="E56" s="1">
        <v>9938.0</v>
      </c>
      <c r="F56" s="1">
        <v>10932.0</v>
      </c>
      <c r="G56" s="1">
        <v>11899.0</v>
      </c>
      <c r="H56" s="1">
        <v>12816.0</v>
      </c>
      <c r="I56" s="1">
        <v>13618.6</v>
      </c>
      <c r="J56" s="1">
        <v>14346.8</v>
      </c>
      <c r="K56" s="1">
        <v>15006.0</v>
      </c>
      <c r="L56" s="1">
        <v>15564.3</v>
      </c>
      <c r="M56" s="1">
        <v>16039.6</v>
      </c>
      <c r="N56" s="1">
        <v>16432.5</v>
      </c>
      <c r="O56" s="1">
        <v>16738.8</v>
      </c>
      <c r="R56" s="1" t="s">
        <v>44</v>
      </c>
      <c r="S56" s="1" t="s">
        <v>14</v>
      </c>
      <c r="T56" s="4">
        <f t="shared" ref="T56:AF56" si="52">T16*4</f>
        <v>0</v>
      </c>
      <c r="U56" s="4">
        <f t="shared" si="52"/>
        <v>0</v>
      </c>
      <c r="V56" s="4">
        <f t="shared" si="52"/>
        <v>0</v>
      </c>
      <c r="W56" s="4">
        <f t="shared" si="52"/>
        <v>0</v>
      </c>
      <c r="X56" s="4">
        <f t="shared" si="52"/>
        <v>0.00000006478637201</v>
      </c>
      <c r="Y56" s="4">
        <f t="shared" si="52"/>
        <v>0.00000006502869712</v>
      </c>
      <c r="Z56" s="4">
        <f t="shared" si="52"/>
        <v>0.00000009107118028</v>
      </c>
      <c r="AA56" s="4">
        <f t="shared" si="52"/>
        <v>0.00000016375058</v>
      </c>
      <c r="AB56" s="4">
        <f t="shared" si="52"/>
        <v>0.004022389258</v>
      </c>
      <c r="AC56" s="4">
        <f t="shared" si="52"/>
        <v>0.0280261709</v>
      </c>
      <c r="AD56" s="4">
        <f t="shared" si="52"/>
        <v>0.165266549</v>
      </c>
      <c r="AE56" s="4">
        <f t="shared" si="52"/>
        <v>0.5298277516</v>
      </c>
      <c r="AF56" s="4">
        <f t="shared" si="52"/>
        <v>1.197716897</v>
      </c>
    </row>
    <row r="57" ht="14.25" customHeight="1">
      <c r="A57" s="1" t="s">
        <v>45</v>
      </c>
      <c r="B57" s="1" t="s">
        <v>69</v>
      </c>
      <c r="C57" s="1">
        <v>3371.0</v>
      </c>
      <c r="D57" s="1">
        <v>3708.0</v>
      </c>
      <c r="E57" s="1">
        <v>4026.0</v>
      </c>
      <c r="F57" s="1">
        <v>4351.0</v>
      </c>
      <c r="G57" s="1">
        <v>4684.0</v>
      </c>
      <c r="H57" s="1">
        <v>5005.0</v>
      </c>
      <c r="I57" s="1">
        <v>5411.66</v>
      </c>
      <c r="J57" s="1">
        <v>5636.12</v>
      </c>
      <c r="K57" s="1">
        <v>5830.61</v>
      </c>
      <c r="L57" s="1">
        <v>5997.91</v>
      </c>
      <c r="M57" s="1">
        <v>6137.63</v>
      </c>
      <c r="N57" s="1">
        <v>6248.24</v>
      </c>
      <c r="O57" s="1">
        <v>6328.57</v>
      </c>
      <c r="R57" s="1" t="s">
        <v>45</v>
      </c>
      <c r="S57" s="1" t="s">
        <v>14</v>
      </c>
      <c r="T57" s="4">
        <f t="shared" ref="T57:AF57" si="53">T17*4</f>
        <v>0</v>
      </c>
      <c r="U57" s="4">
        <f t="shared" si="53"/>
        <v>0</v>
      </c>
      <c r="V57" s="4">
        <f t="shared" si="53"/>
        <v>0</v>
      </c>
      <c r="W57" s="4">
        <f t="shared" si="53"/>
        <v>0.9774864185</v>
      </c>
      <c r="X57" s="4">
        <f t="shared" si="53"/>
        <v>5.446911555</v>
      </c>
      <c r="Y57" s="4">
        <f t="shared" si="53"/>
        <v>7.422863144</v>
      </c>
      <c r="Z57" s="4">
        <f t="shared" si="53"/>
        <v>9.105736836</v>
      </c>
      <c r="AA57" s="4">
        <f t="shared" si="53"/>
        <v>10.00973289</v>
      </c>
      <c r="AB57" s="4">
        <f t="shared" si="53"/>
        <v>10.64642644</v>
      </c>
      <c r="AC57" s="4">
        <f t="shared" si="53"/>
        <v>11.13425616</v>
      </c>
      <c r="AD57" s="4">
        <f t="shared" si="53"/>
        <v>11.6743278</v>
      </c>
      <c r="AE57" s="4">
        <f t="shared" si="53"/>
        <v>12.26429874</v>
      </c>
      <c r="AF57" s="4">
        <f t="shared" si="53"/>
        <v>12.91757849</v>
      </c>
    </row>
    <row r="58" ht="14.25" customHeight="1">
      <c r="A58" s="1" t="s">
        <v>46</v>
      </c>
      <c r="B58" s="1" t="s">
        <v>69</v>
      </c>
      <c r="C58" s="1">
        <v>23626.0</v>
      </c>
      <c r="D58" s="1">
        <v>26373.0</v>
      </c>
      <c r="E58" s="1">
        <v>29044.0</v>
      </c>
      <c r="F58" s="1">
        <v>31620.0</v>
      </c>
      <c r="G58" s="1">
        <v>34111.0</v>
      </c>
      <c r="H58" s="1">
        <v>36511.0</v>
      </c>
      <c r="I58" s="1">
        <v>39144.0</v>
      </c>
      <c r="J58" s="1">
        <v>40425.2</v>
      </c>
      <c r="K58" s="1">
        <v>41517.3</v>
      </c>
      <c r="L58" s="1">
        <v>42526.8</v>
      </c>
      <c r="M58" s="1">
        <v>43363.5</v>
      </c>
      <c r="N58" s="1">
        <v>43988.2</v>
      </c>
      <c r="O58" s="1">
        <v>44393.3</v>
      </c>
      <c r="R58" s="1" t="s">
        <v>46</v>
      </c>
      <c r="S58" s="1" t="s">
        <v>14</v>
      </c>
      <c r="T58" s="4">
        <f t="shared" ref="T58:AF58" si="54">T18*4</f>
        <v>0</v>
      </c>
      <c r="U58" s="4">
        <f t="shared" si="54"/>
        <v>0</v>
      </c>
      <c r="V58" s="4">
        <f t="shared" si="54"/>
        <v>0.05755123265</v>
      </c>
      <c r="W58" s="4">
        <f t="shared" si="54"/>
        <v>1.742004384</v>
      </c>
      <c r="X58" s="4">
        <f t="shared" si="54"/>
        <v>3.095698953</v>
      </c>
      <c r="Y58" s="4">
        <f t="shared" si="54"/>
        <v>4.400667262</v>
      </c>
      <c r="Z58" s="4">
        <f t="shared" si="54"/>
        <v>5.806476147</v>
      </c>
      <c r="AA58" s="4">
        <f t="shared" si="54"/>
        <v>6.722618227</v>
      </c>
      <c r="AB58" s="4">
        <f t="shared" si="54"/>
        <v>7.503618795</v>
      </c>
      <c r="AC58" s="4">
        <f t="shared" si="54"/>
        <v>7.985197739</v>
      </c>
      <c r="AD58" s="4">
        <f t="shared" si="54"/>
        <v>8.459067642</v>
      </c>
      <c r="AE58" s="4">
        <f t="shared" si="54"/>
        <v>8.930735715</v>
      </c>
      <c r="AF58" s="4">
        <f t="shared" si="54"/>
        <v>9.434538646</v>
      </c>
    </row>
    <row r="59" ht="14.25" customHeight="1">
      <c r="A59" s="1" t="s">
        <v>47</v>
      </c>
      <c r="B59" s="1" t="s">
        <v>69</v>
      </c>
      <c r="C59" s="1">
        <v>15935.0</v>
      </c>
      <c r="D59" s="1">
        <v>20602.0</v>
      </c>
      <c r="E59" s="1">
        <v>25200.0</v>
      </c>
      <c r="F59" s="1">
        <v>29465.0</v>
      </c>
      <c r="G59" s="1">
        <v>33051.0</v>
      </c>
      <c r="H59" s="1">
        <v>35630.0</v>
      </c>
      <c r="I59" s="1">
        <v>35611.6</v>
      </c>
      <c r="J59" s="1">
        <v>35152.8</v>
      </c>
      <c r="K59" s="1">
        <v>34521.3</v>
      </c>
      <c r="L59" s="1">
        <v>33952.9</v>
      </c>
      <c r="M59" s="1">
        <v>33256.4</v>
      </c>
      <c r="N59" s="1">
        <v>32390.2</v>
      </c>
      <c r="O59" s="1">
        <v>31365.9</v>
      </c>
      <c r="R59" s="1" t="s">
        <v>47</v>
      </c>
      <c r="S59" s="1" t="s">
        <v>14</v>
      </c>
      <c r="T59" s="4">
        <f t="shared" ref="T59:AF59" si="55">T19*4</f>
        <v>0</v>
      </c>
      <c r="U59" s="4">
        <f t="shared" si="55"/>
        <v>0</v>
      </c>
      <c r="V59" s="4">
        <f t="shared" si="55"/>
        <v>0.1727498911</v>
      </c>
      <c r="W59" s="4">
        <f t="shared" si="55"/>
        <v>1.320321677</v>
      </c>
      <c r="X59" s="4">
        <f t="shared" si="55"/>
        <v>2.153049874</v>
      </c>
      <c r="Y59" s="4">
        <f t="shared" si="55"/>
        <v>2.797142706</v>
      </c>
      <c r="Z59" s="4">
        <f t="shared" si="55"/>
        <v>3.475184289</v>
      </c>
      <c r="AA59" s="4">
        <f t="shared" si="55"/>
        <v>3.815797985</v>
      </c>
      <c r="AB59" s="4">
        <f t="shared" si="55"/>
        <v>4.122693476</v>
      </c>
      <c r="AC59" s="4">
        <f t="shared" si="55"/>
        <v>4.280322537</v>
      </c>
      <c r="AD59" s="4">
        <f t="shared" si="55"/>
        <v>4.441936842</v>
      </c>
      <c r="AE59" s="4">
        <f t="shared" si="55"/>
        <v>4.603573307</v>
      </c>
      <c r="AF59" s="4">
        <f t="shared" si="55"/>
        <v>4.773587971</v>
      </c>
    </row>
    <row r="60" ht="14.25" customHeight="1">
      <c r="A60" s="1" t="s">
        <v>48</v>
      </c>
      <c r="B60" s="1" t="s">
        <v>69</v>
      </c>
      <c r="C60" s="1">
        <v>62.0</v>
      </c>
      <c r="D60" s="1">
        <v>75.0</v>
      </c>
      <c r="E60" s="1">
        <v>88.0</v>
      </c>
      <c r="F60" s="1">
        <v>101.0</v>
      </c>
      <c r="G60" s="1">
        <v>115.0</v>
      </c>
      <c r="H60" s="1">
        <v>130.633</v>
      </c>
      <c r="I60" s="1">
        <v>150.88</v>
      </c>
      <c r="J60" s="1">
        <v>168.5</v>
      </c>
      <c r="K60" s="1">
        <v>182.32</v>
      </c>
      <c r="L60" s="1">
        <v>196.0</v>
      </c>
      <c r="M60" s="1">
        <v>204.74</v>
      </c>
      <c r="N60" s="1">
        <v>213.0</v>
      </c>
      <c r="O60" s="1">
        <v>216.55</v>
      </c>
      <c r="R60" s="1" t="s">
        <v>48</v>
      </c>
      <c r="S60" s="1" t="s">
        <v>14</v>
      </c>
      <c r="T60" s="4">
        <f t="shared" ref="T60:AF60" si="56">T20*4</f>
        <v>0.04778655883</v>
      </c>
      <c r="U60" s="4">
        <f t="shared" si="56"/>
        <v>0.03049232166</v>
      </c>
      <c r="V60" s="4">
        <f t="shared" si="56"/>
        <v>0.02230257439</v>
      </c>
      <c r="W60" s="4">
        <f t="shared" si="56"/>
        <v>0.4251412577</v>
      </c>
      <c r="X60" s="4">
        <f t="shared" si="56"/>
        <v>0.6852140329</v>
      </c>
      <c r="Y60" s="4">
        <f t="shared" si="56"/>
        <v>0.8027139056</v>
      </c>
      <c r="Z60" s="4">
        <f t="shared" si="56"/>
        <v>0.88150029</v>
      </c>
      <c r="AA60" s="4">
        <f t="shared" si="56"/>
        <v>0.9659529662</v>
      </c>
      <c r="AB60" s="4">
        <f t="shared" si="56"/>
        <v>1.020735576</v>
      </c>
      <c r="AC60" s="4">
        <f t="shared" si="56"/>
        <v>1.070237076</v>
      </c>
      <c r="AD60" s="4">
        <f t="shared" si="56"/>
        <v>1.134655008</v>
      </c>
      <c r="AE60" s="4">
        <f t="shared" si="56"/>
        <v>1.194497696</v>
      </c>
      <c r="AF60" s="4">
        <f t="shared" si="56"/>
        <v>1.266639546</v>
      </c>
    </row>
    <row r="61" ht="14.25" customHeight="1">
      <c r="A61" s="1" t="s">
        <v>49</v>
      </c>
      <c r="B61" s="1" t="s">
        <v>69</v>
      </c>
      <c r="C61" s="1">
        <v>50.0</v>
      </c>
      <c r="D61" s="1">
        <v>60.0</v>
      </c>
      <c r="E61" s="1">
        <v>66.0</v>
      </c>
      <c r="F61" s="1">
        <v>69.3</v>
      </c>
      <c r="G61" s="1">
        <v>70.29</v>
      </c>
      <c r="H61" s="1">
        <v>72.27</v>
      </c>
      <c r="I61" s="1">
        <v>74.25</v>
      </c>
      <c r="J61" s="1">
        <v>77.22</v>
      </c>
      <c r="K61" s="1">
        <v>79.2</v>
      </c>
      <c r="L61" s="1">
        <v>81.18</v>
      </c>
      <c r="M61" s="1">
        <v>82.17</v>
      </c>
      <c r="N61" s="1">
        <v>83.16</v>
      </c>
      <c r="O61" s="1">
        <v>0.0</v>
      </c>
      <c r="R61" s="1" t="s">
        <v>49</v>
      </c>
      <c r="S61" s="1" t="s">
        <v>14</v>
      </c>
      <c r="T61" s="4">
        <f t="shared" ref="T61:AF61" si="57">T21*4</f>
        <v>0</v>
      </c>
      <c r="U61" s="4">
        <f t="shared" si="57"/>
        <v>0</v>
      </c>
      <c r="V61" s="4">
        <f t="shared" si="57"/>
        <v>0.03066166555</v>
      </c>
      <c r="W61" s="4">
        <f t="shared" si="57"/>
        <v>0.5069557924</v>
      </c>
      <c r="X61" s="4">
        <f t="shared" si="57"/>
        <v>1.520770208</v>
      </c>
      <c r="Y61" s="4">
        <f t="shared" si="57"/>
        <v>2.148044703</v>
      </c>
      <c r="Z61" s="4">
        <f t="shared" si="57"/>
        <v>2.483005819</v>
      </c>
      <c r="AA61" s="4">
        <f t="shared" si="57"/>
        <v>2.609547575</v>
      </c>
      <c r="AB61" s="4">
        <f t="shared" si="57"/>
        <v>2.682832586</v>
      </c>
      <c r="AC61" s="4">
        <f t="shared" si="57"/>
        <v>2.719134198</v>
      </c>
      <c r="AD61" s="4">
        <f t="shared" si="57"/>
        <v>2.799468725</v>
      </c>
      <c r="AE61" s="4">
        <f t="shared" si="57"/>
        <v>2.901260647</v>
      </c>
      <c r="AF61" s="4" t="str">
        <f t="shared" si="57"/>
        <v>#DIV/0!</v>
      </c>
    </row>
    <row r="62" ht="14.25" customHeight="1">
      <c r="A62" s="1" t="s">
        <v>50</v>
      </c>
      <c r="B62" s="1" t="s">
        <v>69</v>
      </c>
      <c r="C62" s="1">
        <v>50818.0</v>
      </c>
      <c r="D62" s="1">
        <v>55342.0</v>
      </c>
      <c r="E62" s="1">
        <v>59710.0</v>
      </c>
      <c r="F62" s="1">
        <v>63809.0</v>
      </c>
      <c r="G62" s="1">
        <v>67671.0</v>
      </c>
      <c r="H62" s="1">
        <v>71225.0</v>
      </c>
      <c r="I62" s="1">
        <v>75396.7</v>
      </c>
      <c r="J62" s="1">
        <v>79143.0</v>
      </c>
      <c r="K62" s="1">
        <v>82498.6</v>
      </c>
      <c r="L62" s="1">
        <v>85481.8</v>
      </c>
      <c r="M62" s="1">
        <v>88072.8</v>
      </c>
      <c r="N62" s="1">
        <v>90228.8</v>
      </c>
      <c r="O62" s="1">
        <v>91922.0</v>
      </c>
      <c r="R62" s="1" t="s">
        <v>50</v>
      </c>
      <c r="S62" s="1" t="s">
        <v>14</v>
      </c>
      <c r="T62" s="4">
        <f t="shared" ref="T62:AF62" si="58">T22*4</f>
        <v>0.017594863</v>
      </c>
      <c r="U62" s="4">
        <f t="shared" si="58"/>
        <v>1.396260562</v>
      </c>
      <c r="V62" s="4">
        <f t="shared" si="58"/>
        <v>1.126444498</v>
      </c>
      <c r="W62" s="4">
        <f t="shared" si="58"/>
        <v>3.791939246</v>
      </c>
      <c r="X62" s="4">
        <f t="shared" si="58"/>
        <v>6.044114418</v>
      </c>
      <c r="Y62" s="4">
        <f t="shared" si="58"/>
        <v>7.784979608</v>
      </c>
      <c r="Z62" s="4">
        <f t="shared" si="58"/>
        <v>10.00385336</v>
      </c>
      <c r="AA62" s="4">
        <f t="shared" si="58"/>
        <v>11.47472668</v>
      </c>
      <c r="AB62" s="4">
        <f t="shared" si="58"/>
        <v>13.03981059</v>
      </c>
      <c r="AC62" s="4">
        <f t="shared" si="58"/>
        <v>14.36180541</v>
      </c>
      <c r="AD62" s="4">
        <f t="shared" si="58"/>
        <v>15.67908176</v>
      </c>
      <c r="AE62" s="4">
        <f t="shared" si="58"/>
        <v>16.98691668</v>
      </c>
      <c r="AF62" s="4">
        <f t="shared" si="58"/>
        <v>18.31045389</v>
      </c>
    </row>
    <row r="63" ht="14.25" customHeight="1">
      <c r="A63" s="1" t="s">
        <v>51</v>
      </c>
      <c r="B63" s="1" t="s">
        <v>69</v>
      </c>
      <c r="C63" s="1">
        <v>595.0</v>
      </c>
      <c r="D63" s="1">
        <v>636.0</v>
      </c>
      <c r="E63" s="1">
        <v>676.0</v>
      </c>
      <c r="F63" s="1">
        <v>715.0</v>
      </c>
      <c r="G63" s="1">
        <v>752.0</v>
      </c>
      <c r="H63" s="1">
        <v>784.0</v>
      </c>
      <c r="I63" s="1">
        <v>835.961</v>
      </c>
      <c r="J63" s="1">
        <v>883.708</v>
      </c>
      <c r="K63" s="1">
        <v>927.416</v>
      </c>
      <c r="L63" s="1">
        <v>959.435</v>
      </c>
      <c r="M63" s="1">
        <v>985.592</v>
      </c>
      <c r="N63" s="1">
        <v>1006.14</v>
      </c>
      <c r="O63" s="1">
        <v>1021.42</v>
      </c>
      <c r="R63" s="1" t="s">
        <v>51</v>
      </c>
      <c r="S63" s="1" t="s">
        <v>14</v>
      </c>
      <c r="T63" s="4">
        <f t="shared" ref="T63:AF63" si="59">T23*4</f>
        <v>0</v>
      </c>
      <c r="U63" s="4">
        <f t="shared" si="59"/>
        <v>0</v>
      </c>
      <c r="V63" s="4">
        <f t="shared" si="59"/>
        <v>0.03763329261</v>
      </c>
      <c r="W63" s="4">
        <f t="shared" si="59"/>
        <v>2.781830572</v>
      </c>
      <c r="X63" s="4">
        <f t="shared" si="59"/>
        <v>5.113639739</v>
      </c>
      <c r="Y63" s="4">
        <f t="shared" si="59"/>
        <v>7.205086879</v>
      </c>
      <c r="Z63" s="4">
        <f t="shared" si="59"/>
        <v>9.432299885</v>
      </c>
      <c r="AA63" s="4">
        <f t="shared" si="59"/>
        <v>10.62082445</v>
      </c>
      <c r="AB63" s="4">
        <f t="shared" si="59"/>
        <v>11.58399339</v>
      </c>
      <c r="AC63" s="4">
        <f t="shared" si="59"/>
        <v>12.16774927</v>
      </c>
      <c r="AD63" s="4">
        <f t="shared" si="59"/>
        <v>12.83367257</v>
      </c>
      <c r="AE63" s="4">
        <f t="shared" si="59"/>
        <v>13.51846775</v>
      </c>
      <c r="AF63" s="4">
        <f t="shared" si="59"/>
        <v>14.26410729</v>
      </c>
    </row>
    <row r="64" ht="14.25" customHeight="1">
      <c r="A64" s="1" t="s">
        <v>52</v>
      </c>
      <c r="B64" s="1" t="s">
        <v>69</v>
      </c>
      <c r="C64" s="1">
        <v>834.0</v>
      </c>
      <c r="D64" s="1">
        <v>920.0</v>
      </c>
      <c r="E64" s="1">
        <v>1009.0</v>
      </c>
      <c r="F64" s="1">
        <v>1100.0</v>
      </c>
      <c r="G64" s="1">
        <v>1190.0</v>
      </c>
      <c r="H64" s="1">
        <v>1252.1</v>
      </c>
      <c r="I64" s="1">
        <v>1321.04</v>
      </c>
      <c r="J64" s="1">
        <v>1323.59</v>
      </c>
      <c r="K64" s="1">
        <v>1319.43</v>
      </c>
      <c r="L64" s="1">
        <v>1296.62</v>
      </c>
      <c r="M64" s="1">
        <v>1262.7</v>
      </c>
      <c r="N64" s="1">
        <v>1221.23</v>
      </c>
      <c r="O64" s="1">
        <v>1172.75</v>
      </c>
      <c r="R64" s="1" t="s">
        <v>52</v>
      </c>
      <c r="S64" s="1" t="s">
        <v>14</v>
      </c>
      <c r="T64" s="4">
        <f t="shared" ref="T64:AF64" si="60">T24*4</f>
        <v>0</v>
      </c>
      <c r="U64" s="4">
        <f t="shared" si="60"/>
        <v>0</v>
      </c>
      <c r="V64" s="4">
        <f t="shared" si="60"/>
        <v>0.01706621752</v>
      </c>
      <c r="W64" s="4">
        <f t="shared" si="60"/>
        <v>0.9893601176</v>
      </c>
      <c r="X64" s="4">
        <f t="shared" si="60"/>
        <v>1.794633804</v>
      </c>
      <c r="Y64" s="4">
        <f t="shared" si="60"/>
        <v>2.432518031</v>
      </c>
      <c r="Z64" s="4">
        <f t="shared" si="60"/>
        <v>3.116062593</v>
      </c>
      <c r="AA64" s="4">
        <f t="shared" si="60"/>
        <v>3.411501505</v>
      </c>
      <c r="AB64" s="4">
        <f t="shared" si="60"/>
        <v>3.598400556</v>
      </c>
      <c r="AC64" s="4">
        <f t="shared" si="60"/>
        <v>3.692402657</v>
      </c>
      <c r="AD64" s="4">
        <f t="shared" si="60"/>
        <v>3.822871514</v>
      </c>
      <c r="AE64" s="4">
        <f t="shared" si="60"/>
        <v>3.977668524</v>
      </c>
      <c r="AF64" s="4">
        <f t="shared" si="60"/>
        <v>4.153470404</v>
      </c>
    </row>
    <row r="65" ht="14.25" customHeight="1">
      <c r="A65" s="1" t="s">
        <v>53</v>
      </c>
      <c r="B65" s="1" t="s">
        <v>69</v>
      </c>
      <c r="C65" s="1">
        <v>20069.0</v>
      </c>
      <c r="D65" s="1">
        <v>22234.0</v>
      </c>
      <c r="E65" s="1">
        <v>24318.0</v>
      </c>
      <c r="F65" s="1">
        <v>26292.0</v>
      </c>
      <c r="G65" s="1">
        <v>28085.0</v>
      </c>
      <c r="H65" s="1">
        <v>29730.0</v>
      </c>
      <c r="I65" s="1">
        <v>31475.6</v>
      </c>
      <c r="J65" s="1">
        <v>33042.1</v>
      </c>
      <c r="K65" s="1">
        <v>34444.1</v>
      </c>
      <c r="L65" s="1">
        <v>35701.1</v>
      </c>
      <c r="M65" s="1">
        <v>36800.0</v>
      </c>
      <c r="N65" s="1">
        <v>37720.6</v>
      </c>
      <c r="O65" s="1">
        <v>38450.5</v>
      </c>
      <c r="R65" s="1" t="s">
        <v>53</v>
      </c>
      <c r="S65" s="1" t="s">
        <v>14</v>
      </c>
      <c r="T65" s="4">
        <f t="shared" ref="T65:AF65" si="61">T25*4</f>
        <v>0</v>
      </c>
      <c r="U65" s="4">
        <f t="shared" si="61"/>
        <v>0</v>
      </c>
      <c r="V65" s="4">
        <f t="shared" si="61"/>
        <v>0</v>
      </c>
      <c r="W65" s="4">
        <f t="shared" si="61"/>
        <v>2.049942849</v>
      </c>
      <c r="X65" s="4">
        <f t="shared" si="61"/>
        <v>4.264421176</v>
      </c>
      <c r="Y65" s="4">
        <f t="shared" si="61"/>
        <v>5.171632112</v>
      </c>
      <c r="Z65" s="4">
        <f t="shared" si="61"/>
        <v>6.288660929</v>
      </c>
      <c r="AA65" s="4">
        <f t="shared" si="61"/>
        <v>6.817211944</v>
      </c>
      <c r="AB65" s="4">
        <f t="shared" si="61"/>
        <v>7.298530209</v>
      </c>
      <c r="AC65" s="4">
        <f t="shared" si="61"/>
        <v>7.683204939</v>
      </c>
      <c r="AD65" s="4">
        <f t="shared" si="61"/>
        <v>8.093755275</v>
      </c>
      <c r="AE65" s="4">
        <f t="shared" si="61"/>
        <v>8.521367916</v>
      </c>
      <c r="AF65" s="4">
        <f t="shared" si="61"/>
        <v>8.983849286</v>
      </c>
    </row>
    <row r="66" ht="14.25" customHeight="1">
      <c r="A66" s="1" t="s">
        <v>54</v>
      </c>
      <c r="B66" s="1" t="s">
        <v>69</v>
      </c>
      <c r="C66" s="1">
        <v>572.0</v>
      </c>
      <c r="D66" s="1">
        <v>617.0</v>
      </c>
      <c r="E66" s="1">
        <v>663.0</v>
      </c>
      <c r="F66" s="1">
        <v>709.0</v>
      </c>
      <c r="G66" s="1">
        <v>753.0</v>
      </c>
      <c r="H66" s="1">
        <v>780.554</v>
      </c>
      <c r="I66" s="1">
        <v>810.489</v>
      </c>
      <c r="J66" s="1">
        <v>817.64</v>
      </c>
      <c r="K66" s="1">
        <v>820.598</v>
      </c>
      <c r="L66" s="1">
        <v>812.458</v>
      </c>
      <c r="M66" s="1">
        <v>798.42</v>
      </c>
      <c r="N66" s="1">
        <v>778.91</v>
      </c>
      <c r="O66" s="1">
        <v>755.648</v>
      </c>
      <c r="R66" s="1" t="s">
        <v>54</v>
      </c>
      <c r="S66" s="1" t="s">
        <v>14</v>
      </c>
      <c r="T66" s="4">
        <f t="shared" ref="T66:AF66" si="62">T26*4</f>
        <v>0</v>
      </c>
      <c r="U66" s="4">
        <f t="shared" si="62"/>
        <v>0</v>
      </c>
      <c r="V66" s="4">
        <f t="shared" si="62"/>
        <v>0.01940976893</v>
      </c>
      <c r="W66" s="4">
        <f t="shared" si="62"/>
        <v>0.9510203798</v>
      </c>
      <c r="X66" s="4">
        <f t="shared" si="62"/>
        <v>1.708228501</v>
      </c>
      <c r="Y66" s="4">
        <f t="shared" si="62"/>
        <v>2.347754097</v>
      </c>
      <c r="Z66" s="4">
        <f t="shared" si="62"/>
        <v>3.057145821</v>
      </c>
      <c r="AA66" s="4">
        <f t="shared" si="62"/>
        <v>3.440591979</v>
      </c>
      <c r="AB66" s="4">
        <f t="shared" si="62"/>
        <v>3.750755792</v>
      </c>
      <c r="AC66" s="4">
        <f t="shared" si="62"/>
        <v>3.931341081</v>
      </c>
      <c r="AD66" s="4">
        <f t="shared" si="62"/>
        <v>4.143536086</v>
      </c>
      <c r="AE66" s="4">
        <f t="shared" si="62"/>
        <v>4.377740587</v>
      </c>
      <c r="AF66" s="4">
        <f t="shared" si="62"/>
        <v>4.643796272</v>
      </c>
    </row>
    <row r="67" ht="14.25" customHeight="1">
      <c r="A67" s="1" t="s">
        <v>55</v>
      </c>
      <c r="B67" s="1" t="s">
        <v>69</v>
      </c>
      <c r="C67" s="1">
        <v>571.0</v>
      </c>
      <c r="D67" s="1">
        <v>747.0</v>
      </c>
      <c r="E67" s="1">
        <v>941.0</v>
      </c>
      <c r="F67" s="1">
        <v>1150.0</v>
      </c>
      <c r="G67" s="1">
        <v>1367.0</v>
      </c>
      <c r="H67" s="1">
        <v>1581.0</v>
      </c>
      <c r="I67" s="1">
        <v>1691.16</v>
      </c>
      <c r="J67" s="1">
        <v>1748.6</v>
      </c>
      <c r="K67" s="1">
        <v>1772.16</v>
      </c>
      <c r="L67" s="1">
        <v>1764.72</v>
      </c>
      <c r="M67" s="1">
        <v>1729.12</v>
      </c>
      <c r="N67" s="1">
        <v>1694.91</v>
      </c>
      <c r="O67" s="1">
        <v>1650.92</v>
      </c>
      <c r="R67" s="1" t="s">
        <v>55</v>
      </c>
      <c r="S67" s="1" t="s">
        <v>14</v>
      </c>
      <c r="T67" s="4">
        <f t="shared" ref="T67:AF67" si="63">T27*4</f>
        <v>0</v>
      </c>
      <c r="U67" s="4">
        <f t="shared" si="63"/>
        <v>0</v>
      </c>
      <c r="V67" s="4">
        <f t="shared" si="63"/>
        <v>0.01806749498</v>
      </c>
      <c r="W67" s="4">
        <f t="shared" si="63"/>
        <v>1.212996621</v>
      </c>
      <c r="X67" s="4">
        <f t="shared" si="63"/>
        <v>2.212318929</v>
      </c>
      <c r="Y67" s="4">
        <f t="shared" si="63"/>
        <v>3.095553705</v>
      </c>
      <c r="Z67" s="4">
        <f t="shared" si="63"/>
        <v>3.841355315</v>
      </c>
      <c r="AA67" s="4">
        <f t="shared" si="63"/>
        <v>4.337878589</v>
      </c>
      <c r="AB67" s="4">
        <f t="shared" si="63"/>
        <v>4.639338419</v>
      </c>
      <c r="AC67" s="4">
        <f t="shared" si="63"/>
        <v>4.781220236</v>
      </c>
      <c r="AD67" s="4">
        <f t="shared" si="63"/>
        <v>5.01596259</v>
      </c>
      <c r="AE67" s="4">
        <f t="shared" si="63"/>
        <v>5.269439636</v>
      </c>
      <c r="AF67" s="4">
        <f t="shared" si="63"/>
        <v>5.600040793</v>
      </c>
    </row>
    <row r="68" ht="14.25" customHeight="1">
      <c r="A68" s="1" t="s">
        <v>56</v>
      </c>
      <c r="B68" s="1" t="s">
        <v>69</v>
      </c>
      <c r="C68" s="1">
        <v>7004.0</v>
      </c>
      <c r="D68" s="1">
        <v>7582.0</v>
      </c>
      <c r="E68" s="1">
        <v>8148.0</v>
      </c>
      <c r="F68" s="1">
        <v>8696.0</v>
      </c>
      <c r="G68" s="1">
        <v>9210.0</v>
      </c>
      <c r="H68" s="1">
        <v>9754.77</v>
      </c>
      <c r="I68" s="1">
        <v>10300.0</v>
      </c>
      <c r="J68" s="1">
        <v>10853.5</v>
      </c>
      <c r="K68" s="1">
        <v>11351.7</v>
      </c>
      <c r="L68" s="1">
        <v>11858.6</v>
      </c>
      <c r="M68" s="1">
        <v>12321.3</v>
      </c>
      <c r="N68" s="1">
        <v>12717.6</v>
      </c>
      <c r="O68" s="1">
        <v>13041.6</v>
      </c>
      <c r="R68" s="1" t="s">
        <v>56</v>
      </c>
      <c r="S68" s="1" t="s">
        <v>14</v>
      </c>
      <c r="T68" s="4">
        <f t="shared" ref="T68:AF68" si="64">T28*4</f>
        <v>0</v>
      </c>
      <c r="U68" s="4">
        <f t="shared" si="64"/>
        <v>0</v>
      </c>
      <c r="V68" s="4">
        <f t="shared" si="64"/>
        <v>0</v>
      </c>
      <c r="W68" s="4">
        <f t="shared" si="64"/>
        <v>4.050023611</v>
      </c>
      <c r="X68" s="4">
        <f t="shared" si="64"/>
        <v>8.481162276</v>
      </c>
      <c r="Y68" s="4">
        <f t="shared" si="64"/>
        <v>10.8842149</v>
      </c>
      <c r="Z68" s="4">
        <f t="shared" si="64"/>
        <v>13.81017588</v>
      </c>
      <c r="AA68" s="4">
        <f t="shared" si="64"/>
        <v>15.73612559</v>
      </c>
      <c r="AB68" s="4">
        <f t="shared" si="64"/>
        <v>17.63856169</v>
      </c>
      <c r="AC68" s="4">
        <f t="shared" si="64"/>
        <v>19.07952988</v>
      </c>
      <c r="AD68" s="4">
        <f t="shared" si="64"/>
        <v>20.58875602</v>
      </c>
      <c r="AE68" s="4">
        <f t="shared" si="64"/>
        <v>22.12355403</v>
      </c>
      <c r="AF68" s="4">
        <f t="shared" si="64"/>
        <v>23.72589254</v>
      </c>
    </row>
    <row r="69" ht="14.25" customHeight="1">
      <c r="A69" s="1" t="s">
        <v>57</v>
      </c>
      <c r="B69" s="1" t="s">
        <v>69</v>
      </c>
      <c r="C69" s="1">
        <v>10399.0</v>
      </c>
      <c r="D69" s="1">
        <v>11450.0</v>
      </c>
      <c r="E69" s="1">
        <v>12469.0</v>
      </c>
      <c r="F69" s="1">
        <v>13441.0</v>
      </c>
      <c r="G69" s="1">
        <v>14360.0</v>
      </c>
      <c r="H69" s="1">
        <v>15227.0</v>
      </c>
      <c r="I69" s="1">
        <v>16307.7</v>
      </c>
      <c r="J69" s="1">
        <v>16899.5</v>
      </c>
      <c r="K69" s="1">
        <v>17407.5</v>
      </c>
      <c r="L69" s="1">
        <v>17859.0</v>
      </c>
      <c r="M69" s="1">
        <v>18233.2</v>
      </c>
      <c r="N69" s="1">
        <v>18520.7</v>
      </c>
      <c r="O69" s="1">
        <v>18717.1</v>
      </c>
      <c r="R69" s="1" t="s">
        <v>57</v>
      </c>
      <c r="S69" s="1" t="s">
        <v>14</v>
      </c>
      <c r="T69" s="4">
        <f t="shared" ref="T69:AF69" si="65">T29*4</f>
        <v>0</v>
      </c>
      <c r="U69" s="4">
        <f t="shared" si="65"/>
        <v>0.007312427082</v>
      </c>
      <c r="V69" s="4">
        <f t="shared" si="65"/>
        <v>0.2026924576</v>
      </c>
      <c r="W69" s="4">
        <f t="shared" si="65"/>
        <v>2.62861343</v>
      </c>
      <c r="X69" s="4">
        <f t="shared" si="65"/>
        <v>4.193172871</v>
      </c>
      <c r="Y69" s="4">
        <f t="shared" si="65"/>
        <v>5.268648978</v>
      </c>
      <c r="Z69" s="4">
        <f t="shared" si="65"/>
        <v>6.606482143</v>
      </c>
      <c r="AA69" s="4">
        <f t="shared" si="65"/>
        <v>7.359511178</v>
      </c>
      <c r="AB69" s="4">
        <f t="shared" si="65"/>
        <v>8.097413383</v>
      </c>
      <c r="AC69" s="4">
        <f t="shared" si="65"/>
        <v>8.61574507</v>
      </c>
      <c r="AD69" s="4">
        <f t="shared" si="65"/>
        <v>9.180921357</v>
      </c>
      <c r="AE69" s="4">
        <f t="shared" si="65"/>
        <v>9.767185238</v>
      </c>
      <c r="AF69" s="4">
        <f t="shared" si="65"/>
        <v>10.39674139</v>
      </c>
    </row>
    <row r="70" ht="14.25" customHeight="1">
      <c r="A70" s="1" t="s">
        <v>58</v>
      </c>
      <c r="B70" s="1" t="s">
        <v>69</v>
      </c>
      <c r="C70" s="1">
        <v>853.0</v>
      </c>
      <c r="D70" s="1">
        <v>970.0</v>
      </c>
      <c r="E70" s="1">
        <v>1098.0</v>
      </c>
      <c r="F70" s="1">
        <v>1241.0</v>
      </c>
      <c r="G70" s="1">
        <v>1397.0</v>
      </c>
      <c r="H70" s="1">
        <v>1516.31</v>
      </c>
      <c r="I70" s="1">
        <v>1641.5</v>
      </c>
      <c r="J70" s="1">
        <v>1699.54</v>
      </c>
      <c r="K70" s="1">
        <v>1747.27</v>
      </c>
      <c r="L70" s="1">
        <v>1786.69</v>
      </c>
      <c r="M70" s="1">
        <v>1817.64</v>
      </c>
      <c r="N70" s="1">
        <v>1839.92</v>
      </c>
      <c r="O70" s="1">
        <v>1851.84</v>
      </c>
      <c r="R70" s="1" t="s">
        <v>58</v>
      </c>
      <c r="S70" s="1" t="s">
        <v>14</v>
      </c>
      <c r="T70" s="4">
        <f t="shared" ref="T70:AF70" si="66">T30*4</f>
        <v>0</v>
      </c>
      <c r="U70" s="4">
        <f t="shared" si="66"/>
        <v>0</v>
      </c>
      <c r="V70" s="4">
        <f t="shared" si="66"/>
        <v>0.001943058442</v>
      </c>
      <c r="W70" s="4">
        <f t="shared" si="66"/>
        <v>0.05191012859</v>
      </c>
      <c r="X70" s="4">
        <f t="shared" si="66"/>
        <v>2.229464949</v>
      </c>
      <c r="Y70" s="4">
        <f t="shared" si="66"/>
        <v>3.672589049</v>
      </c>
      <c r="Z70" s="4">
        <f t="shared" si="66"/>
        <v>4.624674691</v>
      </c>
      <c r="AA70" s="4">
        <f t="shared" si="66"/>
        <v>5.134078488</v>
      </c>
      <c r="AB70" s="4">
        <f t="shared" si="66"/>
        <v>5.520872811</v>
      </c>
      <c r="AC70" s="4">
        <f t="shared" si="66"/>
        <v>5.819667231</v>
      </c>
      <c r="AD70" s="4">
        <f t="shared" si="66"/>
        <v>6.147736925</v>
      </c>
      <c r="AE70" s="4">
        <f t="shared" si="66"/>
        <v>6.515262671</v>
      </c>
      <c r="AF70" s="4">
        <f t="shared" si="66"/>
        <v>6.926691378</v>
      </c>
    </row>
    <row r="71" ht="14.25" customHeight="1">
      <c r="A71" s="1" t="s">
        <v>59</v>
      </c>
      <c r="B71" s="1" t="s">
        <v>69</v>
      </c>
      <c r="C71" s="1">
        <v>17048.0</v>
      </c>
      <c r="D71" s="1">
        <v>19013.0</v>
      </c>
      <c r="E71" s="1">
        <v>20874.0</v>
      </c>
      <c r="F71" s="1">
        <v>22615.0</v>
      </c>
      <c r="G71" s="1">
        <v>24192.0</v>
      </c>
      <c r="H71" s="1">
        <v>25765.0</v>
      </c>
      <c r="I71" s="1">
        <v>28237.5</v>
      </c>
      <c r="J71" s="1">
        <v>30605.5</v>
      </c>
      <c r="K71" s="1">
        <v>32864.1</v>
      </c>
      <c r="L71" s="1">
        <v>34964.2</v>
      </c>
      <c r="M71" s="1">
        <v>36914.3</v>
      </c>
      <c r="N71" s="1">
        <v>38695.2</v>
      </c>
      <c r="O71" s="1">
        <v>40280.5</v>
      </c>
      <c r="R71" s="1" t="s">
        <v>59</v>
      </c>
      <c r="S71" s="1" t="s">
        <v>14</v>
      </c>
      <c r="T71" s="4">
        <f t="shared" ref="T71:AF71" si="67">T31*4</f>
        <v>0</v>
      </c>
      <c r="U71" s="4">
        <f t="shared" si="67"/>
        <v>0</v>
      </c>
      <c r="V71" s="4">
        <f t="shared" si="67"/>
        <v>0.01720279756</v>
      </c>
      <c r="W71" s="4">
        <f t="shared" si="67"/>
        <v>1.659963181</v>
      </c>
      <c r="X71" s="4">
        <f t="shared" si="67"/>
        <v>3.022163804</v>
      </c>
      <c r="Y71" s="4">
        <f t="shared" si="67"/>
        <v>4.193035078</v>
      </c>
      <c r="Z71" s="4">
        <f t="shared" si="67"/>
        <v>5.443196389</v>
      </c>
      <c r="AA71" s="4">
        <f t="shared" si="67"/>
        <v>5.954309794</v>
      </c>
      <c r="AB71" s="4">
        <f t="shared" si="67"/>
        <v>6.329532663</v>
      </c>
      <c r="AC71" s="4">
        <f t="shared" si="67"/>
        <v>6.557622331</v>
      </c>
      <c r="AD71" s="4">
        <f t="shared" si="67"/>
        <v>6.845351728</v>
      </c>
      <c r="AE71" s="4">
        <f t="shared" si="67"/>
        <v>7.147989783</v>
      </c>
      <c r="AF71" s="4">
        <f t="shared" si="67"/>
        <v>7.489880442</v>
      </c>
    </row>
    <row r="72" ht="14.25" customHeight="1">
      <c r="A72" s="1" t="s">
        <v>60</v>
      </c>
      <c r="B72" s="1" t="s">
        <v>69</v>
      </c>
      <c r="C72" s="1">
        <v>154.0</v>
      </c>
      <c r="D72" s="1">
        <v>224.0</v>
      </c>
      <c r="E72" s="1">
        <v>304.0</v>
      </c>
      <c r="F72" s="1">
        <v>391.0</v>
      </c>
      <c r="G72" s="1">
        <v>480.0</v>
      </c>
      <c r="H72" s="1">
        <v>566.0</v>
      </c>
      <c r="I72" s="1">
        <v>600.6</v>
      </c>
      <c r="J72" s="1">
        <v>620.1</v>
      </c>
      <c r="K72" s="1">
        <v>636.74</v>
      </c>
      <c r="L72" s="1">
        <v>645.6</v>
      </c>
      <c r="M72" s="1">
        <v>640.8</v>
      </c>
      <c r="N72" s="1">
        <v>633.6</v>
      </c>
      <c r="O72" s="1">
        <v>623.2</v>
      </c>
      <c r="R72" s="1" t="s">
        <v>60</v>
      </c>
      <c r="S72" s="1" t="s">
        <v>14</v>
      </c>
      <c r="T72" s="4">
        <f t="shared" ref="T72:AF72" si="68">T32*4</f>
        <v>0</v>
      </c>
      <c r="U72" s="4">
        <f t="shared" si="68"/>
        <v>0.1276288801</v>
      </c>
      <c r="V72" s="4">
        <f t="shared" si="68"/>
        <v>0.08165692554</v>
      </c>
      <c r="W72" s="4">
        <f t="shared" si="68"/>
        <v>0.7294637655</v>
      </c>
      <c r="X72" s="4">
        <f t="shared" si="68"/>
        <v>5.508758537</v>
      </c>
      <c r="Y72" s="4">
        <f t="shared" si="68"/>
        <v>7.519014396</v>
      </c>
      <c r="Z72" s="4">
        <f t="shared" si="68"/>
        <v>9.369537979</v>
      </c>
      <c r="AA72" s="4">
        <f t="shared" si="68"/>
        <v>10.42274581</v>
      </c>
      <c r="AB72" s="4">
        <f t="shared" si="68"/>
        <v>11.27514616</v>
      </c>
      <c r="AC72" s="4">
        <f t="shared" si="68"/>
        <v>11.85295179</v>
      </c>
      <c r="AD72" s="4">
        <f t="shared" si="68"/>
        <v>12.54387392</v>
      </c>
      <c r="AE72" s="4">
        <f t="shared" si="68"/>
        <v>13.28277227</v>
      </c>
      <c r="AF72" s="4">
        <f t="shared" si="68"/>
        <v>14.00421818</v>
      </c>
    </row>
    <row r="73" ht="14.25" customHeight="1">
      <c r="A73" s="1" t="s">
        <v>61</v>
      </c>
      <c r="B73" s="1" t="s">
        <v>69</v>
      </c>
      <c r="C73" s="1">
        <v>34917.0</v>
      </c>
      <c r="D73" s="1">
        <v>37756.0</v>
      </c>
      <c r="E73" s="1">
        <v>40334.0</v>
      </c>
      <c r="F73" s="1">
        <v>42669.0</v>
      </c>
      <c r="G73" s="1">
        <v>44742.0</v>
      </c>
      <c r="H73" s="1">
        <v>46554.0</v>
      </c>
      <c r="I73" s="1">
        <v>48632.9</v>
      </c>
      <c r="J73" s="1">
        <v>49495.7</v>
      </c>
      <c r="K73" s="1">
        <v>50110.7</v>
      </c>
      <c r="L73" s="1">
        <v>50810.2</v>
      </c>
      <c r="M73" s="1">
        <v>51326.1</v>
      </c>
      <c r="N73" s="1">
        <v>51570.0</v>
      </c>
      <c r="O73" s="1">
        <v>51539.7</v>
      </c>
      <c r="R73" s="1" t="s">
        <v>61</v>
      </c>
      <c r="S73" s="1" t="s">
        <v>14</v>
      </c>
      <c r="T73" s="4">
        <f t="shared" ref="T73:AF73" si="69">T33*4</f>
        <v>0</v>
      </c>
      <c r="U73" s="4">
        <f t="shared" si="69"/>
        <v>0</v>
      </c>
      <c r="V73" s="4">
        <f t="shared" si="69"/>
        <v>0</v>
      </c>
      <c r="W73" s="4">
        <f t="shared" si="69"/>
        <v>0</v>
      </c>
      <c r="X73" s="4">
        <f t="shared" si="69"/>
        <v>0</v>
      </c>
      <c r="Y73" s="4">
        <f t="shared" si="69"/>
        <v>1.775791047</v>
      </c>
      <c r="Z73" s="4">
        <f t="shared" si="69"/>
        <v>3.970365925</v>
      </c>
      <c r="AA73" s="4">
        <f t="shared" si="69"/>
        <v>5.406215122</v>
      </c>
      <c r="AB73" s="4">
        <f t="shared" si="69"/>
        <v>6.752254119</v>
      </c>
      <c r="AC73" s="4">
        <f t="shared" si="69"/>
        <v>7.357208992</v>
      </c>
      <c r="AD73" s="4">
        <f t="shared" si="69"/>
        <v>7.972734611</v>
      </c>
      <c r="AE73" s="4">
        <f t="shared" si="69"/>
        <v>8.55085158</v>
      </c>
      <c r="AF73" s="4">
        <f t="shared" si="69"/>
        <v>9.10716154</v>
      </c>
    </row>
    <row r="74" ht="14.25" customHeight="1">
      <c r="A74" s="1" t="s">
        <v>62</v>
      </c>
      <c r="B74" s="1" t="s">
        <v>69</v>
      </c>
      <c r="C74" s="1">
        <v>961.0</v>
      </c>
      <c r="D74" s="1">
        <v>1220.0</v>
      </c>
      <c r="E74" s="1">
        <v>1505.0</v>
      </c>
      <c r="F74" s="1">
        <v>1813.0</v>
      </c>
      <c r="G74" s="1">
        <v>2136.0</v>
      </c>
      <c r="H74" s="1">
        <v>2460.0</v>
      </c>
      <c r="I74" s="1">
        <v>2562.0</v>
      </c>
      <c r="J74" s="1">
        <v>2595.78</v>
      </c>
      <c r="K74" s="1">
        <v>2598.62</v>
      </c>
      <c r="L74" s="1">
        <v>2586.86</v>
      </c>
      <c r="M74" s="1">
        <v>2549.41</v>
      </c>
      <c r="N74" s="1">
        <v>2495.91</v>
      </c>
      <c r="O74" s="1">
        <v>2403.12</v>
      </c>
      <c r="R74" s="1" t="s">
        <v>62</v>
      </c>
      <c r="S74" s="1" t="s">
        <v>14</v>
      </c>
      <c r="T74" s="4">
        <f t="shared" ref="T74:AF74" si="70">T34*4</f>
        <v>0.01555928888</v>
      </c>
      <c r="U74" s="4">
        <f t="shared" si="70"/>
        <v>0.00946033026</v>
      </c>
      <c r="V74" s="4">
        <f t="shared" si="70"/>
        <v>0.01050768711</v>
      </c>
      <c r="W74" s="4">
        <f t="shared" si="70"/>
        <v>0.6627199703</v>
      </c>
      <c r="X74" s="4">
        <f t="shared" si="70"/>
        <v>1.260020028</v>
      </c>
      <c r="Y74" s="4">
        <f t="shared" si="70"/>
        <v>1.763524687</v>
      </c>
      <c r="Z74" s="4">
        <f t="shared" si="70"/>
        <v>2.213391043</v>
      </c>
      <c r="AA74" s="4">
        <f t="shared" si="70"/>
        <v>2.462613674</v>
      </c>
      <c r="AB74" s="4">
        <f t="shared" si="70"/>
        <v>2.587218342</v>
      </c>
      <c r="AC74" s="4">
        <f t="shared" si="70"/>
        <v>2.613334651</v>
      </c>
      <c r="AD74" s="4">
        <f t="shared" si="70"/>
        <v>2.657512952</v>
      </c>
      <c r="AE74" s="4">
        <f t="shared" si="70"/>
        <v>2.720316001</v>
      </c>
      <c r="AF74" s="4">
        <f t="shared" si="70"/>
        <v>2.838465816</v>
      </c>
    </row>
    <row r="75" ht="14.25" customHeight="1">
      <c r="A75" s="1" t="s">
        <v>63</v>
      </c>
      <c r="B75" s="1" t="s">
        <v>69</v>
      </c>
      <c r="C75" s="1">
        <v>13731.0</v>
      </c>
      <c r="D75" s="1">
        <v>15612.0</v>
      </c>
      <c r="E75" s="1">
        <v>17514.0</v>
      </c>
      <c r="F75" s="1">
        <v>19349.0</v>
      </c>
      <c r="G75" s="1">
        <v>21090.0</v>
      </c>
      <c r="H75" s="1">
        <v>22733.0</v>
      </c>
      <c r="I75" s="1">
        <v>23637.3</v>
      </c>
      <c r="J75" s="1">
        <v>24391.0</v>
      </c>
      <c r="K75" s="1">
        <v>25014.2</v>
      </c>
      <c r="L75" s="1">
        <v>25564.1</v>
      </c>
      <c r="M75" s="1">
        <v>25983.6</v>
      </c>
      <c r="N75" s="1">
        <v>26252.8</v>
      </c>
      <c r="O75" s="1">
        <v>26368.3</v>
      </c>
      <c r="R75" s="1" t="s">
        <v>63</v>
      </c>
      <c r="S75" s="1" t="s">
        <v>14</v>
      </c>
      <c r="T75" s="4">
        <f t="shared" ref="T75:AF75" si="71">T35*4</f>
        <v>0</v>
      </c>
      <c r="U75" s="4">
        <f t="shared" si="71"/>
        <v>0.0008679105717</v>
      </c>
      <c r="V75" s="4">
        <f t="shared" si="71"/>
        <v>0.01951522181</v>
      </c>
      <c r="W75" s="4">
        <f t="shared" si="71"/>
        <v>1.311821075</v>
      </c>
      <c r="X75" s="4">
        <f t="shared" si="71"/>
        <v>3.063808167</v>
      </c>
      <c r="Y75" s="4">
        <f t="shared" si="71"/>
        <v>4.281929609</v>
      </c>
      <c r="Z75" s="4">
        <f t="shared" si="71"/>
        <v>5.406059431</v>
      </c>
      <c r="AA75" s="4">
        <f t="shared" si="71"/>
        <v>6.223727995</v>
      </c>
      <c r="AB75" s="4">
        <f t="shared" si="71"/>
        <v>7.010613691</v>
      </c>
      <c r="AC75" s="4">
        <f t="shared" si="71"/>
        <v>7.641433975</v>
      </c>
      <c r="AD75" s="4">
        <f t="shared" si="71"/>
        <v>8.306642165</v>
      </c>
      <c r="AE75" s="4">
        <f t="shared" si="71"/>
        <v>8.939003329</v>
      </c>
      <c r="AF75" s="4">
        <f t="shared" si="71"/>
        <v>9.533965378</v>
      </c>
    </row>
    <row r="76" ht="14.25" customHeight="1">
      <c r="A76" s="1" t="s">
        <v>64</v>
      </c>
      <c r="B76" s="1" t="s">
        <v>69</v>
      </c>
      <c r="C76" s="1">
        <v>3049.0</v>
      </c>
      <c r="D76" s="1">
        <v>3506.0</v>
      </c>
      <c r="E76" s="1">
        <v>3985.0</v>
      </c>
      <c r="F76" s="1">
        <v>4473.0</v>
      </c>
      <c r="G76" s="1">
        <v>4965.0</v>
      </c>
      <c r="H76" s="1">
        <v>5449.0</v>
      </c>
      <c r="I76" s="1">
        <v>6027.07</v>
      </c>
      <c r="J76" s="1">
        <v>6337.89</v>
      </c>
      <c r="K76" s="1">
        <v>6621.0</v>
      </c>
      <c r="L76" s="1">
        <v>6870.64</v>
      </c>
      <c r="M76" s="1">
        <v>7091.44</v>
      </c>
      <c r="N76" s="1">
        <v>7282.04</v>
      </c>
      <c r="O76" s="1">
        <v>7440.04</v>
      </c>
      <c r="R76" s="1" t="s">
        <v>64</v>
      </c>
      <c r="S76" s="1" t="s">
        <v>14</v>
      </c>
      <c r="T76" s="4">
        <f t="shared" ref="T76:AF76" si="72">T36*4</f>
        <v>0</v>
      </c>
      <c r="U76" s="4">
        <f t="shared" si="72"/>
        <v>0</v>
      </c>
      <c r="V76" s="4">
        <f t="shared" si="72"/>
        <v>0.0001173582482</v>
      </c>
      <c r="W76" s="4">
        <f t="shared" si="72"/>
        <v>0.3836341166</v>
      </c>
      <c r="X76" s="4">
        <f t="shared" si="72"/>
        <v>0.8646110245</v>
      </c>
      <c r="Y76" s="4">
        <f t="shared" si="72"/>
        <v>1.263410537</v>
      </c>
      <c r="Z76" s="4">
        <f t="shared" si="72"/>
        <v>1.563763566</v>
      </c>
      <c r="AA76" s="4">
        <f t="shared" si="72"/>
        <v>1.736277181</v>
      </c>
      <c r="AB76" s="4">
        <f t="shared" si="72"/>
        <v>1.820390288</v>
      </c>
      <c r="AC76" s="4">
        <f t="shared" si="72"/>
        <v>1.841005405</v>
      </c>
      <c r="AD76" s="4">
        <f t="shared" si="72"/>
        <v>1.881642598</v>
      </c>
      <c r="AE76" s="4">
        <f t="shared" si="72"/>
        <v>1.930508118</v>
      </c>
      <c r="AF76" s="4">
        <f t="shared" si="72"/>
        <v>2.008069473</v>
      </c>
    </row>
    <row r="77" ht="14.25" customHeight="1">
      <c r="A77" s="1" t="s">
        <v>65</v>
      </c>
      <c r="B77" s="1" t="s">
        <v>69</v>
      </c>
      <c r="C77" s="1">
        <v>44495.0</v>
      </c>
      <c r="D77" s="1">
        <v>49729.0</v>
      </c>
      <c r="E77" s="1">
        <v>54815.0</v>
      </c>
      <c r="F77" s="1">
        <v>59394.0</v>
      </c>
      <c r="G77" s="1">
        <v>63430.0</v>
      </c>
      <c r="H77" s="1">
        <v>67081.0</v>
      </c>
      <c r="I77" s="1">
        <v>70987.2</v>
      </c>
      <c r="J77" s="1">
        <v>74492.5</v>
      </c>
      <c r="K77" s="1">
        <v>77629.9</v>
      </c>
      <c r="L77" s="1">
        <v>80166.2</v>
      </c>
      <c r="M77" s="1">
        <v>82250.9</v>
      </c>
      <c r="N77" s="1">
        <v>83911.9</v>
      </c>
      <c r="O77" s="1">
        <v>85126.3</v>
      </c>
      <c r="R77" s="1" t="s">
        <v>65</v>
      </c>
      <c r="S77" s="1" t="s">
        <v>14</v>
      </c>
      <c r="T77" s="4">
        <f t="shared" ref="T77:AF77" si="73">T37*4</f>
        <v>0.00008400984888</v>
      </c>
      <c r="U77" s="4">
        <f t="shared" si="73"/>
        <v>0.00005970973078</v>
      </c>
      <c r="V77" s="4">
        <f t="shared" si="73"/>
        <v>0.2968303596</v>
      </c>
      <c r="W77" s="4">
        <f t="shared" si="73"/>
        <v>1.968995388</v>
      </c>
      <c r="X77" s="4">
        <f t="shared" si="73"/>
        <v>3.678008874</v>
      </c>
      <c r="Y77" s="4">
        <f t="shared" si="73"/>
        <v>4.874420644</v>
      </c>
      <c r="Z77" s="4">
        <f t="shared" si="73"/>
        <v>6.285185548</v>
      </c>
      <c r="AA77" s="4">
        <f t="shared" si="73"/>
        <v>7.131484944</v>
      </c>
      <c r="AB77" s="4">
        <f t="shared" si="73"/>
        <v>7.971180824</v>
      </c>
      <c r="AC77" s="4">
        <f t="shared" si="73"/>
        <v>8.715400185</v>
      </c>
      <c r="AD77" s="4">
        <f t="shared" si="73"/>
        <v>9.586028162</v>
      </c>
      <c r="AE77" s="4">
        <f t="shared" si="73"/>
        <v>10.52775264</v>
      </c>
      <c r="AF77" s="4">
        <f t="shared" si="73"/>
        <v>11.56177471</v>
      </c>
    </row>
    <row r="78" ht="14.25" customHeight="1">
      <c r="A78" s="1" t="s">
        <v>66</v>
      </c>
      <c r="B78" s="1" t="s">
        <v>69</v>
      </c>
      <c r="C78" s="1">
        <v>29093.0</v>
      </c>
      <c r="D78" s="1">
        <v>32232.0</v>
      </c>
      <c r="E78" s="1">
        <v>35280.0</v>
      </c>
      <c r="F78" s="1">
        <v>38247.0</v>
      </c>
      <c r="G78" s="1">
        <v>41068.0</v>
      </c>
      <c r="H78" s="1">
        <v>43658.0</v>
      </c>
      <c r="I78" s="1">
        <v>46374.1</v>
      </c>
      <c r="J78" s="1">
        <v>47191.3</v>
      </c>
      <c r="K78" s="1">
        <v>47772.2</v>
      </c>
      <c r="L78" s="1">
        <v>48158.3</v>
      </c>
      <c r="M78" s="1">
        <v>48288.6</v>
      </c>
      <c r="N78" s="1">
        <v>48148.7</v>
      </c>
      <c r="O78" s="1">
        <v>47742.2</v>
      </c>
      <c r="R78" s="1" t="s">
        <v>66</v>
      </c>
      <c r="S78" s="1" t="s">
        <v>14</v>
      </c>
      <c r="T78" s="4">
        <f t="shared" ref="T78:AF78" si="74">T38*4</f>
        <v>0</v>
      </c>
      <c r="U78" s="4">
        <f t="shared" si="74"/>
        <v>0</v>
      </c>
      <c r="V78" s="4">
        <f t="shared" si="74"/>
        <v>0.002079978206</v>
      </c>
      <c r="W78" s="4">
        <f t="shared" si="74"/>
        <v>2.161427154</v>
      </c>
      <c r="X78" s="4">
        <f t="shared" si="74"/>
        <v>3.960746119</v>
      </c>
      <c r="Y78" s="4">
        <f t="shared" si="74"/>
        <v>5.167696431</v>
      </c>
      <c r="Z78" s="4">
        <f t="shared" si="74"/>
        <v>6.514532936</v>
      </c>
      <c r="AA78" s="4">
        <f t="shared" si="74"/>
        <v>7.377080449</v>
      </c>
      <c r="AB78" s="4">
        <f t="shared" si="74"/>
        <v>8.251880195</v>
      </c>
      <c r="AC78" s="4">
        <f t="shared" si="74"/>
        <v>8.958084989</v>
      </c>
      <c r="AD78" s="4">
        <f t="shared" si="74"/>
        <v>9.754045074</v>
      </c>
      <c r="AE78" s="4">
        <f t="shared" si="74"/>
        <v>10.59646872</v>
      </c>
      <c r="AF78" s="4">
        <f t="shared" si="74"/>
        <v>11.49742268</v>
      </c>
    </row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86"/>
    <col customWidth="1" min="3" max="18" width="8.71"/>
    <col customWidth="1" min="19" max="19" width="18.71"/>
    <col customWidth="1" hidden="1" min="20" max="21" width="8.71"/>
    <col customWidth="1" min="22" max="33" width="8.71"/>
  </cols>
  <sheetData>
    <row r="1" ht="14.25" customHeight="1">
      <c r="A1" s="1" t="s">
        <v>2</v>
      </c>
      <c r="B1" s="1" t="s">
        <v>4</v>
      </c>
      <c r="C1" s="1">
        <v>2010.0</v>
      </c>
      <c r="D1" s="1">
        <v>2015.0</v>
      </c>
      <c r="E1" s="1">
        <v>2020.0</v>
      </c>
      <c r="F1" s="1">
        <v>2025.0</v>
      </c>
      <c r="G1" s="1">
        <v>2030.0</v>
      </c>
      <c r="H1" s="1">
        <v>2035.0</v>
      </c>
      <c r="I1" s="1">
        <v>2040.0</v>
      </c>
      <c r="J1" s="1">
        <v>2045.0</v>
      </c>
      <c r="K1" s="1">
        <v>2050.0</v>
      </c>
      <c r="L1" s="1">
        <v>2055.0</v>
      </c>
      <c r="M1" s="1">
        <v>2060.0</v>
      </c>
      <c r="N1" s="1">
        <v>2065.0</v>
      </c>
      <c r="O1" s="1">
        <v>2070.0</v>
      </c>
      <c r="R1" s="1" t="s">
        <v>2</v>
      </c>
      <c r="S1" s="1" t="s">
        <v>4</v>
      </c>
      <c r="T1" s="1">
        <v>2010.0</v>
      </c>
      <c r="U1" s="1">
        <v>2015.0</v>
      </c>
      <c r="V1" s="1">
        <v>2020.0</v>
      </c>
      <c r="W1" s="1">
        <v>2025.0</v>
      </c>
      <c r="X1" s="1">
        <v>2030.0</v>
      </c>
      <c r="Y1" s="1">
        <v>2035.0</v>
      </c>
      <c r="Z1" s="1">
        <v>2040.0</v>
      </c>
      <c r="AA1" s="1">
        <v>2045.0</v>
      </c>
      <c r="AB1" s="1">
        <v>2050.0</v>
      </c>
      <c r="AC1" s="1">
        <v>2055.0</v>
      </c>
      <c r="AD1" s="1">
        <v>2060.0</v>
      </c>
      <c r="AE1" s="1">
        <v>2065.0</v>
      </c>
      <c r="AF1" s="1">
        <v>2070.0</v>
      </c>
    </row>
    <row r="2" ht="14.25" customHeight="1">
      <c r="A2" s="1" t="s">
        <v>6</v>
      </c>
      <c r="B2" s="1" t="s">
        <v>11</v>
      </c>
      <c r="C2" s="3">
        <v>1.10619E-4</v>
      </c>
      <c r="D2" s="3">
        <v>8.54063401E-5</v>
      </c>
      <c r="E2" s="3">
        <v>7.28476086E-5</v>
      </c>
      <c r="F2" s="3">
        <v>5.77430167E-5</v>
      </c>
      <c r="G2" s="3">
        <v>4.9208883E-5</v>
      </c>
      <c r="H2" s="3">
        <v>4.338588133E-5</v>
      </c>
      <c r="I2" s="3">
        <v>2.660807149E-5</v>
      </c>
      <c r="J2" s="3">
        <v>3.1032846E-5</v>
      </c>
      <c r="K2" s="3">
        <v>3.37173279999999E-5</v>
      </c>
      <c r="L2" s="3">
        <v>3.442616E-5</v>
      </c>
      <c r="M2" s="3">
        <v>3.426355E-5</v>
      </c>
      <c r="N2" s="3">
        <v>3.384056E-5</v>
      </c>
      <c r="O2" s="3">
        <v>3.318604E-5</v>
      </c>
      <c r="R2" s="1" t="s">
        <v>6</v>
      </c>
      <c r="S2" s="1" t="s">
        <v>11</v>
      </c>
      <c r="T2" s="1">
        <f t="shared" ref="T2:AF2" si="1">(((C2*10^9)/0.0496)/14.2)/(C79*1000)</f>
        <v>0.6599070228</v>
      </c>
      <c r="U2" s="1">
        <f t="shared" si="1"/>
        <v>0.51953362</v>
      </c>
      <c r="V2" s="1">
        <f t="shared" si="1"/>
        <v>0.4536390494</v>
      </c>
      <c r="W2" s="1">
        <f t="shared" si="1"/>
        <v>0.3690199942</v>
      </c>
      <c r="X2" s="1">
        <f t="shared" si="1"/>
        <v>0.3255543717</v>
      </c>
      <c r="Y2" s="1">
        <f t="shared" si="1"/>
        <v>0.2965115067</v>
      </c>
      <c r="Z2" s="1">
        <f t="shared" si="1"/>
        <v>0.1914933578</v>
      </c>
      <c r="AA2" s="1">
        <f t="shared" si="1"/>
        <v>0.2260996626</v>
      </c>
      <c r="AB2" s="1">
        <f t="shared" si="1"/>
        <v>0.2483073734</v>
      </c>
      <c r="AC2" s="1">
        <f t="shared" si="1"/>
        <v>0.2581824122</v>
      </c>
      <c r="AD2" s="1">
        <f t="shared" si="1"/>
        <v>0.2636388911</v>
      </c>
      <c r="AE2" s="1">
        <f t="shared" si="1"/>
        <v>0.2702952197</v>
      </c>
      <c r="AF2" s="1">
        <f t="shared" si="1"/>
        <v>0.2773008084</v>
      </c>
    </row>
    <row r="3" ht="14.25" customHeight="1">
      <c r="A3" s="1" t="s">
        <v>30</v>
      </c>
      <c r="B3" s="1" t="s">
        <v>11</v>
      </c>
      <c r="C3" s="3">
        <v>0.00799735</v>
      </c>
      <c r="D3" s="3">
        <v>0.006515958</v>
      </c>
      <c r="E3" s="3">
        <v>0.008379968</v>
      </c>
      <c r="F3" s="3">
        <v>0.010217245</v>
      </c>
      <c r="G3" s="3">
        <v>0.011925969</v>
      </c>
      <c r="H3" s="3">
        <v>0.0119967924999999</v>
      </c>
      <c r="I3" s="3">
        <v>0.0105545071</v>
      </c>
      <c r="J3" s="3">
        <v>0.009980442</v>
      </c>
      <c r="K3" s="3">
        <v>0.00935126599999999</v>
      </c>
      <c r="L3" s="3">
        <v>0.008983531</v>
      </c>
      <c r="M3" s="3">
        <v>0.008827834</v>
      </c>
      <c r="N3" s="3">
        <v>0.008722586</v>
      </c>
      <c r="O3" s="3">
        <v>0.008600044</v>
      </c>
      <c r="R3" s="1" t="s">
        <v>30</v>
      </c>
      <c r="S3" s="1" t="s">
        <v>11</v>
      </c>
      <c r="T3" s="1">
        <f t="shared" ref="T3:AF3" si="2">(((C3*10^9)/0.0496)/14.2)/(C80*1000)</f>
        <v>0.3247264829</v>
      </c>
      <c r="U3" s="1">
        <f t="shared" si="2"/>
        <v>0.2661359234</v>
      </c>
      <c r="V3" s="1">
        <f t="shared" si="2"/>
        <v>0.348209063</v>
      </c>
      <c r="W3" s="1">
        <f t="shared" si="2"/>
        <v>0.4377878507</v>
      </c>
      <c r="X3" s="1">
        <f t="shared" si="2"/>
        <v>0.5334883532</v>
      </c>
      <c r="Y3" s="1">
        <f t="shared" si="2"/>
        <v>0.5656375308</v>
      </c>
      <c r="Z3" s="1">
        <f t="shared" si="2"/>
        <v>0.5261556357</v>
      </c>
      <c r="AA3" s="1">
        <f t="shared" si="2"/>
        <v>0.5265272714</v>
      </c>
      <c r="AB3" s="1">
        <f t="shared" si="2"/>
        <v>0.5156802564</v>
      </c>
      <c r="AC3" s="1">
        <f t="shared" si="2"/>
        <v>0.5201919999</v>
      </c>
      <c r="AD3" s="1">
        <f t="shared" si="2"/>
        <v>0.5280963905</v>
      </c>
      <c r="AE3" s="1">
        <f t="shared" si="2"/>
        <v>0.5422173814</v>
      </c>
      <c r="AF3" s="1">
        <f t="shared" si="2"/>
        <v>0.5587526381</v>
      </c>
    </row>
    <row r="4" ht="14.25" customHeight="1">
      <c r="A4" s="1" t="s">
        <v>32</v>
      </c>
      <c r="B4" s="1" t="s">
        <v>11</v>
      </c>
      <c r="C4" s="3">
        <v>1.95849E-4</v>
      </c>
      <c r="D4" s="3">
        <v>1.5573647E-4</v>
      </c>
      <c r="E4" s="3">
        <v>1.7213708E-4</v>
      </c>
      <c r="F4" s="3">
        <v>1.8249643E-4</v>
      </c>
      <c r="G4" s="3">
        <v>1.8618433E-4</v>
      </c>
      <c r="H4" s="3">
        <v>1.9412024E-4</v>
      </c>
      <c r="I4" s="3">
        <v>1.78401382E-4</v>
      </c>
      <c r="J4" s="3">
        <v>1.9713339E-4</v>
      </c>
      <c r="K4" s="3">
        <v>2.08788209999999E-4</v>
      </c>
      <c r="L4" s="3">
        <v>2.1696268E-4</v>
      </c>
      <c r="M4" s="3">
        <v>2.2596545E-4</v>
      </c>
      <c r="N4" s="3">
        <v>2.3536499E-4</v>
      </c>
      <c r="O4" s="3">
        <v>2.4472213E-4</v>
      </c>
      <c r="R4" s="1" t="s">
        <v>32</v>
      </c>
      <c r="S4" s="1" t="s">
        <v>11</v>
      </c>
      <c r="T4" s="1">
        <f t="shared" ref="T4:AF4" si="3">(((C4*10^9)/0.0496)/14.2)/(C81*1000)</f>
        <v>0.2606075048</v>
      </c>
      <c r="U4" s="1">
        <f t="shared" si="3"/>
        <v>0.1995632395</v>
      </c>
      <c r="V4" s="1">
        <f t="shared" si="3"/>
        <v>0.2130791683</v>
      </c>
      <c r="W4" s="1">
        <f t="shared" si="3"/>
        <v>0.2192132878</v>
      </c>
      <c r="X4" s="1">
        <f t="shared" si="3"/>
        <v>0.2182875479</v>
      </c>
      <c r="Y4" s="1">
        <f t="shared" si="3"/>
        <v>0.2223713306</v>
      </c>
      <c r="Z4" s="1">
        <f t="shared" si="3"/>
        <v>0.2004954442</v>
      </c>
      <c r="AA4" s="1">
        <f t="shared" si="3"/>
        <v>0.2144041828</v>
      </c>
      <c r="AB4" s="1">
        <f t="shared" si="3"/>
        <v>0.2214465445</v>
      </c>
      <c r="AC4" s="1">
        <f t="shared" si="3"/>
        <v>0.2277231092</v>
      </c>
      <c r="AD4" s="1">
        <f t="shared" si="3"/>
        <v>0.2365637957</v>
      </c>
      <c r="AE4" s="1">
        <f t="shared" si="3"/>
        <v>0.2469249212</v>
      </c>
      <c r="AF4" s="1">
        <f t="shared" si="3"/>
        <v>0.2587433826</v>
      </c>
    </row>
    <row r="5" ht="14.25" customHeight="1">
      <c r="A5" s="1" t="s">
        <v>33</v>
      </c>
      <c r="B5" s="1" t="s">
        <v>11</v>
      </c>
      <c r="C5" s="3">
        <v>0.00597252</v>
      </c>
      <c r="D5" s="3">
        <v>0.004859828</v>
      </c>
      <c r="E5" s="3">
        <v>0.00654032</v>
      </c>
      <c r="F5" s="3">
        <v>0.006770394</v>
      </c>
      <c r="G5" s="3">
        <v>0.00663478899999999</v>
      </c>
      <c r="H5" s="3">
        <v>0.0063634947</v>
      </c>
      <c r="I5" s="3">
        <v>0.00547281419999999</v>
      </c>
      <c r="J5" s="3">
        <v>0.005395664</v>
      </c>
      <c r="K5" s="3">
        <v>0.005229223</v>
      </c>
      <c r="L5" s="3">
        <v>0.005145931</v>
      </c>
      <c r="M5" s="3">
        <v>0.005109802</v>
      </c>
      <c r="N5" s="3">
        <v>0.005097396</v>
      </c>
      <c r="O5" s="3">
        <v>0.00508964</v>
      </c>
      <c r="R5" s="1" t="s">
        <v>33</v>
      </c>
      <c r="S5" s="1" t="s">
        <v>11</v>
      </c>
      <c r="T5" s="1">
        <f t="shared" ref="T5:AF5" si="4">(((C5*10^9)/0.0496)/14.2)/(C82*1000)</f>
        <v>0.3163292688</v>
      </c>
      <c r="U5" s="1">
        <f t="shared" si="4"/>
        <v>0.2439120646</v>
      </c>
      <c r="V5" s="1">
        <f t="shared" si="4"/>
        <v>0.3129235505</v>
      </c>
      <c r="W5" s="1">
        <f t="shared" si="4"/>
        <v>0.3114019741</v>
      </c>
      <c r="X5" s="1">
        <f t="shared" si="4"/>
        <v>0.2955058132</v>
      </c>
      <c r="Y5" s="1">
        <f t="shared" si="4"/>
        <v>0.2768314544</v>
      </c>
      <c r="Z5" s="1">
        <f t="shared" si="4"/>
        <v>0.2373742715</v>
      </c>
      <c r="AA5" s="1">
        <f t="shared" si="4"/>
        <v>0.2351738987</v>
      </c>
      <c r="AB5" s="1">
        <f t="shared" si="4"/>
        <v>0.2305157943</v>
      </c>
      <c r="AC5" s="1">
        <f t="shared" si="4"/>
        <v>0.2300069592</v>
      </c>
      <c r="AD5" s="1">
        <f t="shared" si="4"/>
        <v>0.2326995531</v>
      </c>
      <c r="AE5" s="1">
        <f t="shared" si="4"/>
        <v>0.2378541069</v>
      </c>
      <c r="AF5" s="1">
        <f t="shared" si="4"/>
        <v>0.2447268054</v>
      </c>
    </row>
    <row r="6" ht="14.25" customHeight="1">
      <c r="A6" s="1" t="s">
        <v>34</v>
      </c>
      <c r="B6" s="1" t="s">
        <v>11</v>
      </c>
      <c r="C6" s="3">
        <v>0.0144475</v>
      </c>
      <c r="D6" s="3">
        <v>0.0111765503</v>
      </c>
      <c r="E6" s="3">
        <v>0.009380961148242</v>
      </c>
      <c r="F6" s="3">
        <v>0.036037263376038</v>
      </c>
      <c r="G6" s="3">
        <v>0.065609995494572</v>
      </c>
      <c r="H6" s="3">
        <v>0.104861087644121</v>
      </c>
      <c r="I6" s="3">
        <v>0.135565859793669</v>
      </c>
      <c r="J6" s="3">
        <v>0.16769859</v>
      </c>
      <c r="K6" s="3">
        <v>0.200312669999999</v>
      </c>
      <c r="L6" s="3">
        <v>0.21329013</v>
      </c>
      <c r="M6" s="3">
        <v>0.22227689</v>
      </c>
      <c r="N6" s="3">
        <v>0.22519507</v>
      </c>
      <c r="O6" s="3">
        <v>0.225422909999999</v>
      </c>
      <c r="R6" s="1" t="s">
        <v>34</v>
      </c>
      <c r="S6" s="1" t="s">
        <v>11</v>
      </c>
      <c r="T6" s="1">
        <f t="shared" ref="T6:AF6" si="5">(((C6*10^9)/0.0496)/14.2)/(C83*1000)</f>
        <v>0.2221406861</v>
      </c>
      <c r="U6" s="1">
        <f t="shared" si="5"/>
        <v>0.1574247149</v>
      </c>
      <c r="V6" s="1">
        <f t="shared" si="5"/>
        <v>0.1231364267</v>
      </c>
      <c r="W6" s="1">
        <f t="shared" si="5"/>
        <v>0.4421881868</v>
      </c>
      <c r="X6" s="1">
        <f t="shared" si="5"/>
        <v>0.7583210445</v>
      </c>
      <c r="Y6" s="1">
        <f t="shared" si="5"/>
        <v>1.155607829</v>
      </c>
      <c r="Z6" s="1">
        <f t="shared" si="5"/>
        <v>1.455484615</v>
      </c>
      <c r="AA6" s="1">
        <f t="shared" si="5"/>
        <v>1.77428367</v>
      </c>
      <c r="AB6" s="1">
        <f t="shared" si="5"/>
        <v>2.102566552</v>
      </c>
      <c r="AC6" s="1">
        <f t="shared" si="5"/>
        <v>2.253259255</v>
      </c>
      <c r="AD6" s="1">
        <f t="shared" si="5"/>
        <v>2.377886877</v>
      </c>
      <c r="AE6" s="1">
        <f t="shared" si="5"/>
        <v>2.468416793</v>
      </c>
      <c r="AF6" s="1">
        <f t="shared" si="5"/>
        <v>2.546282431</v>
      </c>
    </row>
    <row r="7" ht="14.25" customHeight="1">
      <c r="A7" s="1" t="s">
        <v>35</v>
      </c>
      <c r="B7" s="1" t="s">
        <v>11</v>
      </c>
      <c r="C7" s="3">
        <v>0.0034731</v>
      </c>
      <c r="D7" s="3">
        <v>0.00268084420424</v>
      </c>
      <c r="E7" s="3">
        <v>0.00224997365053</v>
      </c>
      <c r="F7" s="3">
        <v>0.00241821502580999</v>
      </c>
      <c r="G7" s="3">
        <v>0.00394153810212</v>
      </c>
      <c r="H7" s="3">
        <v>0.01047414417843</v>
      </c>
      <c r="I7" s="3">
        <v>0.016355631553703</v>
      </c>
      <c r="J7" s="3">
        <v>0.022845216</v>
      </c>
      <c r="K7" s="3">
        <v>0.0288634976999999</v>
      </c>
      <c r="L7" s="3">
        <v>0.032454075</v>
      </c>
      <c r="M7" s="3">
        <v>0.035043685</v>
      </c>
      <c r="N7" s="3">
        <v>0.03667983</v>
      </c>
      <c r="O7" s="3">
        <v>0.03789538</v>
      </c>
      <c r="R7" s="1" t="s">
        <v>35</v>
      </c>
      <c r="S7" s="1" t="s">
        <v>11</v>
      </c>
      <c r="T7" s="1">
        <f t="shared" ref="T7:AF7" si="6">(((C7*10^9)/0.0496)/14.2)/(C84*1000)</f>
        <v>0.2514860901</v>
      </c>
      <c r="U7" s="1">
        <f t="shared" si="6"/>
        <v>0.1837632021</v>
      </c>
      <c r="V7" s="1">
        <f t="shared" si="6"/>
        <v>0.1473289323</v>
      </c>
      <c r="W7" s="1">
        <f t="shared" si="6"/>
        <v>0.1529492109</v>
      </c>
      <c r="X7" s="1">
        <f t="shared" si="6"/>
        <v>0.2431981214</v>
      </c>
      <c r="Y7" s="1">
        <f t="shared" si="6"/>
        <v>0.6349552125</v>
      </c>
      <c r="Z7" s="1">
        <f t="shared" si="6"/>
        <v>0.9948622551</v>
      </c>
      <c r="AA7" s="1">
        <f t="shared" si="6"/>
        <v>1.376482533</v>
      </c>
      <c r="AB7" s="1">
        <f t="shared" si="6"/>
        <v>1.733449752</v>
      </c>
      <c r="AC7" s="1">
        <f t="shared" si="6"/>
        <v>1.94838786</v>
      </c>
      <c r="AD7" s="1">
        <f t="shared" si="6"/>
        <v>2.112995782</v>
      </c>
      <c r="AE7" s="1">
        <f t="shared" si="6"/>
        <v>2.232995141</v>
      </c>
      <c r="AF7" s="1">
        <f t="shared" si="6"/>
        <v>2.341695826</v>
      </c>
    </row>
    <row r="8" ht="14.25" customHeight="1">
      <c r="A8" s="1" t="s">
        <v>36</v>
      </c>
      <c r="B8" s="1" t="s">
        <v>11</v>
      </c>
      <c r="C8" s="3">
        <v>1.66637E-4</v>
      </c>
      <c r="D8" s="3">
        <v>1.356532E-4</v>
      </c>
      <c r="E8" s="3">
        <v>1.5654848E-4</v>
      </c>
      <c r="F8" s="3">
        <v>1.9941803E-4</v>
      </c>
      <c r="G8" s="3">
        <v>2.17837899999999E-4</v>
      </c>
      <c r="H8" s="3">
        <v>2.1932587E-4</v>
      </c>
      <c r="I8" s="3">
        <v>2.03524423E-4</v>
      </c>
      <c r="J8" s="3">
        <v>2.119867E-4</v>
      </c>
      <c r="K8" s="3">
        <v>2.18275439999999E-4</v>
      </c>
      <c r="L8" s="3">
        <v>2.2592797E-4</v>
      </c>
      <c r="M8" s="3">
        <v>2.3629422E-4</v>
      </c>
      <c r="N8" s="3">
        <v>2.4879582E-4</v>
      </c>
      <c r="O8" s="3">
        <v>2.62440539999999E-4</v>
      </c>
      <c r="R8" s="1" t="s">
        <v>36</v>
      </c>
      <c r="S8" s="1" t="s">
        <v>11</v>
      </c>
      <c r="T8" s="1">
        <f t="shared" ref="T8:AF8" si="7">(((C8*10^9)/0.0496)/14.2)/(C85*1000)</f>
        <v>8.158370412</v>
      </c>
      <c r="U8" s="1">
        <f t="shared" si="7"/>
        <v>14.81551218</v>
      </c>
      <c r="V8" s="1">
        <f t="shared" si="7"/>
        <v>18.39974906</v>
      </c>
      <c r="W8" s="1">
        <f t="shared" si="7"/>
        <v>22.34692574</v>
      </c>
      <c r="X8" s="1">
        <f t="shared" si="7"/>
        <v>23.23728397</v>
      </c>
      <c r="Y8" s="1">
        <f t="shared" si="7"/>
        <v>22.30665352</v>
      </c>
      <c r="Z8" s="1">
        <f t="shared" si="7"/>
        <v>19.79218107</v>
      </c>
      <c r="AA8" s="1">
        <f t="shared" si="7"/>
        <v>19.43064314</v>
      </c>
      <c r="AB8" s="1">
        <f t="shared" si="7"/>
        <v>19.05962318</v>
      </c>
      <c r="AC8" s="1">
        <f t="shared" si="7"/>
        <v>19.01449942</v>
      </c>
      <c r="AD8" s="1">
        <f t="shared" si="7"/>
        <v>19.32561649</v>
      </c>
      <c r="AE8" s="1">
        <f t="shared" si="7"/>
        <v>19.87859249</v>
      </c>
      <c r="AF8" s="1">
        <f t="shared" si="7"/>
        <v>20.59787105</v>
      </c>
    </row>
    <row r="9" ht="14.25" customHeight="1">
      <c r="A9" s="1" t="s">
        <v>37</v>
      </c>
      <c r="B9" s="1" t="s">
        <v>11</v>
      </c>
      <c r="C9" s="3">
        <v>3.33953E-5</v>
      </c>
      <c r="D9" s="3">
        <v>2.57774E-5</v>
      </c>
      <c r="E9" s="3">
        <v>2.16343E-5</v>
      </c>
      <c r="F9" s="3">
        <v>9.62831E-6</v>
      </c>
      <c r="G9" s="3">
        <v>1.298082E-5</v>
      </c>
      <c r="H9" s="3">
        <v>9.574585E-6</v>
      </c>
      <c r="I9" s="3">
        <v>5.527166E-6</v>
      </c>
      <c r="J9" s="3">
        <v>8.258458E-6</v>
      </c>
      <c r="K9" s="3">
        <v>1.136221E-5</v>
      </c>
      <c r="L9" s="3">
        <v>1.3762904E-5</v>
      </c>
      <c r="M9" s="3">
        <v>1.5341525E-5</v>
      </c>
      <c r="N9" s="3">
        <v>1.6376875E-5</v>
      </c>
      <c r="O9" s="3">
        <v>1.6657541E-5</v>
      </c>
      <c r="R9" s="1" t="s">
        <v>37</v>
      </c>
      <c r="S9" s="1" t="s">
        <v>11</v>
      </c>
      <c r="T9" s="1">
        <f t="shared" ref="T9:AF9" si="8">(((C9*10^9)/0.0496)/14.2)/(C86*1000)</f>
        <v>0.7902492238</v>
      </c>
      <c r="U9" s="1">
        <f t="shared" si="8"/>
        <v>0.8714045023</v>
      </c>
      <c r="V9" s="1">
        <f t="shared" si="8"/>
        <v>1.097020632</v>
      </c>
      <c r="W9" s="1">
        <f t="shared" si="8"/>
        <v>0.7194927844</v>
      </c>
      <c r="X9" s="1">
        <f t="shared" si="8"/>
        <v>1.304402014</v>
      </c>
      <c r="Y9" s="1">
        <f t="shared" si="8"/>
        <v>1.330483651</v>
      </c>
      <c r="Z9" s="1">
        <f t="shared" si="8"/>
        <v>0.4352479763</v>
      </c>
      <c r="AA9" s="1">
        <f t="shared" si="8"/>
        <v>0.5405917225</v>
      </c>
      <c r="AB9" s="1">
        <f t="shared" si="8"/>
        <v>0.6693846488</v>
      </c>
      <c r="AC9" s="1">
        <f t="shared" si="8"/>
        <v>0.7368287108</v>
      </c>
      <c r="AD9" s="1">
        <f t="shared" si="8"/>
        <v>0.7917861866</v>
      </c>
      <c r="AE9" s="1">
        <f t="shared" si="8"/>
        <v>0.8198884847</v>
      </c>
      <c r="AF9" s="1">
        <f t="shared" si="8"/>
        <v>0.813851672</v>
      </c>
    </row>
    <row r="10" ht="14.25" customHeight="1">
      <c r="A10" s="1" t="s">
        <v>38</v>
      </c>
      <c r="B10" s="1" t="s">
        <v>11</v>
      </c>
      <c r="C10" s="3">
        <v>0.00301666</v>
      </c>
      <c r="D10" s="3">
        <v>0.0023579291</v>
      </c>
      <c r="E10" s="3">
        <v>0.0021105682</v>
      </c>
      <c r="F10" s="3">
        <v>0.0028358287</v>
      </c>
      <c r="G10" s="3">
        <v>0.0028843791</v>
      </c>
      <c r="H10" s="3">
        <v>0.00292268302</v>
      </c>
      <c r="I10" s="3">
        <v>0.0026360496</v>
      </c>
      <c r="J10" s="3">
        <v>0.0027245744</v>
      </c>
      <c r="K10" s="3">
        <v>0.002770392</v>
      </c>
      <c r="L10" s="3">
        <v>0.0028031637</v>
      </c>
      <c r="M10" s="3">
        <v>0.0028764913</v>
      </c>
      <c r="N10" s="3">
        <v>0.002962182</v>
      </c>
      <c r="O10" s="3">
        <v>0.0030496736</v>
      </c>
      <c r="R10" s="1" t="s">
        <v>38</v>
      </c>
      <c r="S10" s="1" t="s">
        <v>11</v>
      </c>
      <c r="T10" s="1">
        <f t="shared" ref="T10:AF10" si="9">(((C10*10^9)/0.0496)/14.2)/(C87*1000)</f>
        <v>10.22215168</v>
      </c>
      <c r="U10" s="1">
        <f t="shared" si="9"/>
        <v>12.87618991</v>
      </c>
      <c r="V10" s="1">
        <f t="shared" si="9"/>
        <v>22.5308579</v>
      </c>
      <c r="W10" s="1">
        <f t="shared" si="9"/>
        <v>17.86306839</v>
      </c>
      <c r="X10" s="1">
        <f t="shared" si="9"/>
        <v>16.67997686</v>
      </c>
      <c r="Y10" s="1">
        <f t="shared" si="9"/>
        <v>15.6054762</v>
      </c>
      <c r="Z10" s="1">
        <f t="shared" si="9"/>
        <v>13.12118712</v>
      </c>
      <c r="AA10" s="1">
        <f t="shared" si="9"/>
        <v>12.79267085</v>
      </c>
      <c r="AB10" s="1">
        <f t="shared" si="9"/>
        <v>12.38992027</v>
      </c>
      <c r="AC10" s="1">
        <f t="shared" si="9"/>
        <v>12.04660557</v>
      </c>
      <c r="AD10" s="1">
        <f t="shared" si="9"/>
        <v>11.95395506</v>
      </c>
      <c r="AE10" s="1">
        <f t="shared" si="9"/>
        <v>11.97532229</v>
      </c>
      <c r="AF10" s="1">
        <f t="shared" si="9"/>
        <v>12.06417923</v>
      </c>
    </row>
    <row r="11" ht="14.25" customHeight="1">
      <c r="A11" s="1" t="s">
        <v>39</v>
      </c>
      <c r="B11" s="1" t="s">
        <v>11</v>
      </c>
      <c r="C11" s="3">
        <v>3.5197E-5</v>
      </c>
      <c r="D11" s="3">
        <v>2.71681E-5</v>
      </c>
      <c r="E11" s="3">
        <v>2.28016E-5</v>
      </c>
      <c r="F11" s="3">
        <v>1.8008439E-5</v>
      </c>
      <c r="G11" s="3">
        <v>2.093161E-5</v>
      </c>
      <c r="H11" s="3">
        <v>3.2578015E-5</v>
      </c>
      <c r="I11" s="3">
        <v>4.219605E-5</v>
      </c>
      <c r="J11" s="3">
        <v>4.63716339999999E-5</v>
      </c>
      <c r="K11" s="3">
        <v>5.68935195E-5</v>
      </c>
      <c r="L11" s="3">
        <v>6.09211499999999E-5</v>
      </c>
      <c r="M11" s="3">
        <v>6.521529E-5</v>
      </c>
      <c r="N11" s="3">
        <v>6.968434E-5</v>
      </c>
      <c r="O11" s="3">
        <v>7.39571299999999E-5</v>
      </c>
      <c r="R11" s="1" t="s">
        <v>39</v>
      </c>
      <c r="S11" s="1" t="s">
        <v>11</v>
      </c>
      <c r="T11" s="1">
        <f t="shared" ref="T11:AF11" si="10">(((C11*10^9)/0.0496)/14.2)/(C88*1000)</f>
        <v>0.2730766318</v>
      </c>
      <c r="U11" s="1">
        <f t="shared" si="10"/>
        <v>0.2051782857</v>
      </c>
      <c r="V11" s="1">
        <f t="shared" si="10"/>
        <v>0.1618696047</v>
      </c>
      <c r="W11" s="1">
        <f t="shared" si="10"/>
        <v>0.1146571613</v>
      </c>
      <c r="X11" s="1">
        <f t="shared" si="10"/>
        <v>0.1134308854</v>
      </c>
      <c r="Y11" s="1">
        <f t="shared" si="10"/>
        <v>0.1574141189</v>
      </c>
      <c r="Z11" s="1">
        <f t="shared" si="10"/>
        <v>0.2122673577</v>
      </c>
      <c r="AA11" s="1">
        <f t="shared" si="10"/>
        <v>0.2410444151</v>
      </c>
      <c r="AB11" s="1">
        <f t="shared" si="10"/>
        <v>0.3149974307</v>
      </c>
      <c r="AC11" s="1">
        <f t="shared" si="10"/>
        <v>0.3877024109</v>
      </c>
      <c r="AD11" s="1">
        <f t="shared" si="10"/>
        <v>0.4463401652</v>
      </c>
      <c r="AE11" s="1">
        <f t="shared" si="10"/>
        <v>0.4638465329</v>
      </c>
      <c r="AF11" s="1">
        <f t="shared" si="10"/>
        <v>0.4815197502</v>
      </c>
    </row>
    <row r="12" ht="14.25" customHeight="1">
      <c r="A12" s="1" t="s">
        <v>40</v>
      </c>
      <c r="B12" s="1" t="s">
        <v>11</v>
      </c>
      <c r="C12" s="3">
        <v>4.37544E-4</v>
      </c>
      <c r="D12" s="3">
        <v>3.37735E-4</v>
      </c>
      <c r="E12" s="3">
        <v>2.83453E-4</v>
      </c>
      <c r="F12" s="3">
        <v>1.95626E-4</v>
      </c>
      <c r="G12" s="3">
        <v>1.5409327796E-4</v>
      </c>
      <c r="H12" s="3">
        <v>1.0640352795E-4</v>
      </c>
      <c r="I12" s="3">
        <v>2.50320694599999E-5</v>
      </c>
      <c r="J12" s="3">
        <v>3.702258898E-5</v>
      </c>
      <c r="K12" s="3">
        <v>4.94305184999999E-5</v>
      </c>
      <c r="L12" s="3">
        <v>5.395843001E-5</v>
      </c>
      <c r="M12" s="3">
        <v>5.8314531E-5</v>
      </c>
      <c r="N12" s="3">
        <v>6.12027E-5</v>
      </c>
      <c r="O12" s="3">
        <v>6.37538699999999E-5</v>
      </c>
      <c r="R12" s="1" t="s">
        <v>40</v>
      </c>
      <c r="S12" s="1" t="s">
        <v>11</v>
      </c>
      <c r="T12" s="1">
        <f t="shared" ref="T12:AF12" si="11">(((C12*10^9)/0.0496)/14.2)/(C89*1000)</f>
        <v>1.125414831</v>
      </c>
      <c r="U12" s="1">
        <f t="shared" si="11"/>
        <v>0.9927934837</v>
      </c>
      <c r="V12" s="1">
        <f t="shared" si="11"/>
        <v>0.9791950629</v>
      </c>
      <c r="W12" s="1">
        <f t="shared" si="11"/>
        <v>0.8241886949</v>
      </c>
      <c r="X12" s="1">
        <f t="shared" si="11"/>
        <v>0.8287236752</v>
      </c>
      <c r="Y12" s="1">
        <f t="shared" si="11"/>
        <v>0.7629780485</v>
      </c>
      <c r="Z12" s="1">
        <f t="shared" si="11"/>
        <v>0.1959950476</v>
      </c>
      <c r="AA12" s="1">
        <f t="shared" si="11"/>
        <v>0.2956412352</v>
      </c>
      <c r="AB12" s="1">
        <f t="shared" si="11"/>
        <v>0.4286964988</v>
      </c>
      <c r="AC12" s="1">
        <f t="shared" si="11"/>
        <v>0.5184804693</v>
      </c>
      <c r="AD12" s="1">
        <f t="shared" si="11"/>
        <v>0.554632277</v>
      </c>
      <c r="AE12" s="1">
        <f t="shared" si="11"/>
        <v>0.5789989016</v>
      </c>
      <c r="AF12" s="1">
        <f t="shared" si="11"/>
        <v>0.6034555316</v>
      </c>
    </row>
    <row r="13" ht="14.25" customHeight="1">
      <c r="A13" s="1" t="s">
        <v>41</v>
      </c>
      <c r="B13" s="1" t="s">
        <v>11</v>
      </c>
      <c r="C13" s="3">
        <v>0.0165675</v>
      </c>
      <c r="D13" s="3">
        <v>0.0128022205</v>
      </c>
      <c r="E13" s="3">
        <v>0.010745074</v>
      </c>
      <c r="F13" s="3">
        <v>0.0173909307</v>
      </c>
      <c r="G13" s="3">
        <v>0.02177886027</v>
      </c>
      <c r="H13" s="3">
        <v>0.02912328988</v>
      </c>
      <c r="I13" s="3">
        <v>0.0300889165199999</v>
      </c>
      <c r="J13" s="3">
        <v>0.03174838</v>
      </c>
      <c r="K13" s="3">
        <v>0.03164692</v>
      </c>
      <c r="L13" s="3">
        <v>0.03036951</v>
      </c>
      <c r="M13" s="3">
        <v>0.02940467</v>
      </c>
      <c r="N13" s="3">
        <v>0.02844642</v>
      </c>
      <c r="O13" s="3">
        <v>0.02752517</v>
      </c>
      <c r="R13" s="1" t="s">
        <v>41</v>
      </c>
      <c r="S13" s="1" t="s">
        <v>11</v>
      </c>
      <c r="T13" s="1">
        <f t="shared" ref="T13:AF13" si="12">(((C13*10^9)/0.0496)/14.2)/(C90*1000)</f>
        <v>0.6779849705</v>
      </c>
      <c r="U13" s="1">
        <f t="shared" si="12"/>
        <v>0.5091372836</v>
      </c>
      <c r="V13" s="1">
        <f t="shared" si="12"/>
        <v>0.4182807743</v>
      </c>
      <c r="W13" s="1">
        <f t="shared" si="12"/>
        <v>0.6692633766</v>
      </c>
      <c r="X13" s="1">
        <f t="shared" si="12"/>
        <v>0.8373317905</v>
      </c>
      <c r="Y13" s="1">
        <f t="shared" si="12"/>
        <v>1.129799018</v>
      </c>
      <c r="Z13" s="1">
        <f t="shared" si="12"/>
        <v>1.215097512</v>
      </c>
      <c r="AA13" s="1">
        <f t="shared" si="12"/>
        <v>1.302921134</v>
      </c>
      <c r="AB13" s="1">
        <f t="shared" si="12"/>
        <v>1.330728718</v>
      </c>
      <c r="AC13" s="1">
        <f t="shared" si="12"/>
        <v>1.318903405</v>
      </c>
      <c r="AD13" s="1">
        <f t="shared" si="12"/>
        <v>1.329247973</v>
      </c>
      <c r="AE13" s="1">
        <f t="shared" si="12"/>
        <v>1.349350463</v>
      </c>
      <c r="AF13" s="1">
        <f t="shared" si="12"/>
        <v>1.38154623</v>
      </c>
    </row>
    <row r="14" ht="14.25" customHeight="1">
      <c r="A14" s="1" t="s">
        <v>42</v>
      </c>
      <c r="B14" s="1" t="s">
        <v>11</v>
      </c>
      <c r="C14" s="3">
        <v>9.41957E-4</v>
      </c>
      <c r="D14" s="3">
        <v>9.72734E-4</v>
      </c>
      <c r="E14" s="3">
        <v>8.23522E-4</v>
      </c>
      <c r="F14" s="3">
        <v>0.002129603</v>
      </c>
      <c r="G14" s="3">
        <v>0.003689157</v>
      </c>
      <c r="H14" s="3">
        <v>0.0045836863</v>
      </c>
      <c r="I14" s="3">
        <v>0.0049239884</v>
      </c>
      <c r="J14" s="3">
        <v>0.00502220599999999</v>
      </c>
      <c r="K14" s="3">
        <v>0.004970667</v>
      </c>
      <c r="L14" s="3">
        <v>0.004894609</v>
      </c>
      <c r="M14" s="3">
        <v>0.00489304699999999</v>
      </c>
      <c r="N14" s="3">
        <v>0.004945841</v>
      </c>
      <c r="O14" s="3">
        <v>0.005006525</v>
      </c>
      <c r="R14" s="1" t="s">
        <v>42</v>
      </c>
      <c r="S14" s="1" t="s">
        <v>11</v>
      </c>
      <c r="T14" s="1">
        <f t="shared" ref="T14:AF14" si="13">(((C14*10^9)/0.0496)/14.2)/(C91*1000)</f>
        <v>0.2165477969</v>
      </c>
      <c r="U14" s="1">
        <f t="shared" si="13"/>
        <v>0.2147227395</v>
      </c>
      <c r="V14" s="1">
        <f t="shared" si="13"/>
        <v>0.1762236765</v>
      </c>
      <c r="W14" s="1">
        <f t="shared" si="13"/>
        <v>0.4451751891</v>
      </c>
      <c r="X14" s="1">
        <f t="shared" si="13"/>
        <v>0.7588958224</v>
      </c>
      <c r="Y14" s="1">
        <f t="shared" si="13"/>
        <v>0.930182947</v>
      </c>
      <c r="Z14" s="1">
        <f t="shared" si="13"/>
        <v>0.988498208</v>
      </c>
      <c r="AA14" s="1">
        <f t="shared" si="13"/>
        <v>0.9989624755</v>
      </c>
      <c r="AB14" s="1">
        <f t="shared" si="13"/>
        <v>0.9853756874</v>
      </c>
      <c r="AC14" s="1">
        <f t="shared" si="13"/>
        <v>0.9701788881</v>
      </c>
      <c r="AD14" s="1">
        <f t="shared" si="13"/>
        <v>0.9741914502</v>
      </c>
      <c r="AE14" s="1">
        <f t="shared" si="13"/>
        <v>0.9941220984</v>
      </c>
      <c r="AF14" s="1">
        <f t="shared" si="13"/>
        <v>1.021328005</v>
      </c>
    </row>
    <row r="15" ht="14.25" customHeight="1">
      <c r="A15" s="1" t="s">
        <v>43</v>
      </c>
      <c r="B15" s="1" t="s">
        <v>11</v>
      </c>
      <c r="C15" s="3">
        <v>0.00532919</v>
      </c>
      <c r="D15" s="3">
        <v>0.00415226549999999</v>
      </c>
      <c r="E15" s="3">
        <v>0.00348601541307399</v>
      </c>
      <c r="F15" s="3">
        <v>0.058910571</v>
      </c>
      <c r="G15" s="3">
        <v>0.0939672628</v>
      </c>
      <c r="H15" s="3">
        <v>0.1185422146</v>
      </c>
      <c r="I15" s="3">
        <v>0.1286329002</v>
      </c>
      <c r="J15" s="3">
        <v>0.1342759</v>
      </c>
      <c r="K15" s="3">
        <v>0.1347825</v>
      </c>
      <c r="L15" s="3">
        <v>0.1317388</v>
      </c>
      <c r="M15" s="3">
        <v>0.12981133</v>
      </c>
      <c r="N15" s="3">
        <v>0.127282039999999</v>
      </c>
      <c r="O15" s="3">
        <v>0.12365843</v>
      </c>
      <c r="R15" s="1" t="s">
        <v>43</v>
      </c>
      <c r="S15" s="1" t="s">
        <v>11</v>
      </c>
      <c r="T15" s="1">
        <f t="shared" ref="T15:AF15" si="14">(((C15*10^9)/0.0496)/14.2)/(C92*1000)</f>
        <v>0.4583216955</v>
      </c>
      <c r="U15" s="1">
        <f t="shared" si="14"/>
        <v>0.3459756259</v>
      </c>
      <c r="V15" s="1">
        <f t="shared" si="14"/>
        <v>0.2841424121</v>
      </c>
      <c r="W15" s="1">
        <f t="shared" si="14"/>
        <v>4.758862618</v>
      </c>
      <c r="X15" s="1">
        <f t="shared" si="14"/>
        <v>7.60246066</v>
      </c>
      <c r="Y15" s="1">
        <f t="shared" si="14"/>
        <v>9.686752474</v>
      </c>
      <c r="Z15" s="1">
        <f t="shared" si="14"/>
        <v>10.82629433</v>
      </c>
      <c r="AA15" s="1">
        <f t="shared" si="14"/>
        <v>11.27863525</v>
      </c>
      <c r="AB15" s="1">
        <f t="shared" si="14"/>
        <v>11.40784329</v>
      </c>
      <c r="AC15" s="1">
        <f t="shared" si="14"/>
        <v>11.33689062</v>
      </c>
      <c r="AD15" s="1">
        <f t="shared" si="14"/>
        <v>11.45121576</v>
      </c>
      <c r="AE15" s="1">
        <f t="shared" si="14"/>
        <v>11.60646927</v>
      </c>
      <c r="AF15" s="1">
        <f t="shared" si="14"/>
        <v>11.7584552</v>
      </c>
    </row>
    <row r="16" ht="14.25" customHeight="1">
      <c r="A16" s="1" t="s">
        <v>44</v>
      </c>
      <c r="B16" s="1" t="s">
        <v>11</v>
      </c>
      <c r="C16" s="3">
        <v>0.0046852</v>
      </c>
      <c r="D16" s="3">
        <v>0.00361645</v>
      </c>
      <c r="E16" s="3">
        <v>0.0030352</v>
      </c>
      <c r="F16" s="3">
        <v>0.0023426</v>
      </c>
      <c r="G16" s="3">
        <v>0.00165</v>
      </c>
      <c r="H16" s="3">
        <v>0.00106875</v>
      </c>
      <c r="I16" s="3">
        <v>0.0</v>
      </c>
      <c r="J16" s="3">
        <v>0.0</v>
      </c>
      <c r="K16" s="3">
        <v>2.83417E-7</v>
      </c>
      <c r="L16" s="3">
        <v>2.11906099999999E-6</v>
      </c>
      <c r="M16" s="3">
        <v>1.2309777E-5</v>
      </c>
      <c r="N16" s="3">
        <v>4.1002969E-5</v>
      </c>
      <c r="O16" s="3">
        <v>9.60581054E-5</v>
      </c>
      <c r="R16" s="1" t="s">
        <v>44</v>
      </c>
      <c r="S16" s="1" t="s">
        <v>11</v>
      </c>
      <c r="T16" s="1">
        <f t="shared" ref="T16:AF16" si="15">(((C16*10^9)/0.0496)/14.2)/(C93*1000)</f>
        <v>0.2654994995</v>
      </c>
      <c r="U16" s="1">
        <f t="shared" si="15"/>
        <v>0.1911143373</v>
      </c>
      <c r="V16" s="1">
        <f t="shared" si="15"/>
        <v>0.151032307</v>
      </c>
      <c r="W16" s="1">
        <f t="shared" si="15"/>
        <v>0.1107721634</v>
      </c>
      <c r="X16" s="1">
        <f t="shared" si="15"/>
        <v>0.07482226583</v>
      </c>
      <c r="Y16" s="1">
        <f t="shared" si="15"/>
        <v>0.0469223247</v>
      </c>
      <c r="Z16" s="1">
        <f t="shared" si="15"/>
        <v>0</v>
      </c>
      <c r="AA16" s="1">
        <f t="shared" si="15"/>
        <v>0</v>
      </c>
      <c r="AB16" s="1">
        <f t="shared" si="15"/>
        <v>0.00001208330003</v>
      </c>
      <c r="AC16" s="1">
        <f t="shared" si="15"/>
        <v>0.00009078725081</v>
      </c>
      <c r="AD16" s="1">
        <f t="shared" si="15"/>
        <v>0.0005330726874</v>
      </c>
      <c r="AE16" s="1">
        <f t="shared" si="15"/>
        <v>0.001804348175</v>
      </c>
      <c r="AF16" s="1">
        <f t="shared" si="15"/>
        <v>0.004317840691</v>
      </c>
    </row>
    <row r="17" ht="14.25" customHeight="1">
      <c r="A17" s="1" t="s">
        <v>45</v>
      </c>
      <c r="B17" s="1" t="s">
        <v>11</v>
      </c>
      <c r="C17" s="3">
        <v>0.0017615</v>
      </c>
      <c r="D17" s="3">
        <v>0.0013795562</v>
      </c>
      <c r="E17" s="3">
        <v>0.0011584085</v>
      </c>
      <c r="F17" s="3">
        <v>0.001554289</v>
      </c>
      <c r="G17" s="3">
        <v>0.0020124811</v>
      </c>
      <c r="H17" s="3">
        <v>0.00324967519</v>
      </c>
      <c r="I17" s="3">
        <v>0.00396353571999999</v>
      </c>
      <c r="J17" s="3">
        <v>0.004890139</v>
      </c>
      <c r="K17" s="3">
        <v>0.00546876999999999</v>
      </c>
      <c r="L17" s="3">
        <v>0.005792738</v>
      </c>
      <c r="M17" s="3">
        <v>0.006071371</v>
      </c>
      <c r="N17" s="3">
        <v>0.00630482099999999</v>
      </c>
      <c r="O17" s="3">
        <v>0.006670693</v>
      </c>
      <c r="R17" s="1" t="s">
        <v>45</v>
      </c>
      <c r="S17" s="1" t="s">
        <v>11</v>
      </c>
      <c r="T17" s="1">
        <f t="shared" ref="T17:AF17" si="16">(((C17*10^9)/0.0496)/14.2)/(C94*1000)</f>
        <v>0.2811369005</v>
      </c>
      <c r="U17" s="1">
        <f t="shared" si="16"/>
        <v>0.2131577488</v>
      </c>
      <c r="V17" s="1">
        <f t="shared" si="16"/>
        <v>0.1753058004</v>
      </c>
      <c r="W17" s="1">
        <f t="shared" si="16"/>
        <v>0.23119893</v>
      </c>
      <c r="X17" s="1">
        <f t="shared" si="16"/>
        <v>0.2952711724</v>
      </c>
      <c r="Y17" s="1">
        <f t="shared" si="16"/>
        <v>0.4736110305</v>
      </c>
      <c r="Z17" s="1">
        <f t="shared" si="16"/>
        <v>0.5699079018</v>
      </c>
      <c r="AA17" s="1">
        <f t="shared" si="16"/>
        <v>0.6887345606</v>
      </c>
      <c r="AB17" s="1">
        <f t="shared" si="16"/>
        <v>0.7596424987</v>
      </c>
      <c r="AC17" s="1">
        <f t="shared" si="16"/>
        <v>0.7981854384</v>
      </c>
      <c r="AD17" s="1">
        <f t="shared" si="16"/>
        <v>0.8343678753</v>
      </c>
      <c r="AE17" s="1">
        <f t="shared" si="16"/>
        <v>0.8687710087</v>
      </c>
      <c r="AF17" s="1">
        <f t="shared" si="16"/>
        <v>0.9265056291</v>
      </c>
    </row>
    <row r="18" ht="14.25" customHeight="1">
      <c r="A18" s="1" t="s">
        <v>46</v>
      </c>
      <c r="B18" s="1" t="s">
        <v>11</v>
      </c>
      <c r="C18" s="3">
        <v>0.0109793</v>
      </c>
      <c r="D18" s="3">
        <v>0.008588195</v>
      </c>
      <c r="E18" s="3">
        <v>0.0105303938999999</v>
      </c>
      <c r="F18" s="3">
        <v>0.0118784667</v>
      </c>
      <c r="G18" s="3">
        <v>0.0123390824</v>
      </c>
      <c r="H18" s="3">
        <v>0.011956528</v>
      </c>
      <c r="I18" s="3">
        <v>0.0100912538</v>
      </c>
      <c r="J18" s="3">
        <v>0.009667687</v>
      </c>
      <c r="K18" s="3">
        <v>0.009056854</v>
      </c>
      <c r="L18" s="3">
        <v>0.0087073</v>
      </c>
      <c r="M18" s="3">
        <v>0.00847492899999999</v>
      </c>
      <c r="N18" s="3">
        <v>0.008275793</v>
      </c>
      <c r="O18" s="3">
        <v>0.008060113</v>
      </c>
      <c r="R18" s="1" t="s">
        <v>46</v>
      </c>
      <c r="S18" s="1" t="s">
        <v>11</v>
      </c>
      <c r="T18" s="1">
        <f t="shared" ref="T18:AF18" si="17">(((C18*10^9)/0.0496)/14.2)/(C95*1000)</f>
        <v>0.4160375485</v>
      </c>
      <c r="U18" s="1">
        <f t="shared" si="17"/>
        <v>0.3221047676</v>
      </c>
      <c r="V18" s="1">
        <f t="shared" si="17"/>
        <v>0.3955226027</v>
      </c>
      <c r="W18" s="1">
        <f t="shared" si="17"/>
        <v>0.4516404059</v>
      </c>
      <c r="X18" s="1">
        <f t="shared" si="17"/>
        <v>0.4794379583</v>
      </c>
      <c r="Y18" s="1">
        <f t="shared" si="17"/>
        <v>0.4790469901</v>
      </c>
      <c r="Z18" s="1">
        <f t="shared" si="17"/>
        <v>0.4224951274</v>
      </c>
      <c r="AA18" s="1">
        <f t="shared" si="17"/>
        <v>0.4129095843</v>
      </c>
      <c r="AB18" s="1">
        <f t="shared" si="17"/>
        <v>0.3974139646</v>
      </c>
      <c r="AC18" s="1">
        <f t="shared" si="17"/>
        <v>0.3942289488</v>
      </c>
      <c r="AD18" s="1">
        <f t="shared" si="17"/>
        <v>0.3984430859</v>
      </c>
      <c r="AE18" s="1">
        <f t="shared" si="17"/>
        <v>0.4069308481</v>
      </c>
      <c r="AF18" s="1">
        <f t="shared" si="17"/>
        <v>0.4175556492</v>
      </c>
    </row>
    <row r="19" ht="14.25" customHeight="1">
      <c r="A19" s="1" t="s">
        <v>47</v>
      </c>
      <c r="B19" s="1" t="s">
        <v>11</v>
      </c>
      <c r="C19" s="3">
        <v>0.00481082</v>
      </c>
      <c r="D19" s="3">
        <v>0.00371851611</v>
      </c>
      <c r="E19" s="3">
        <v>0.00302225334</v>
      </c>
      <c r="F19" s="3">
        <v>0.00209595723</v>
      </c>
      <c r="G19" s="3">
        <v>0.00115763181</v>
      </c>
      <c r="H19" s="3">
        <v>4.29395278E-4</v>
      </c>
      <c r="I19" s="3">
        <v>1.4451048E-4</v>
      </c>
      <c r="J19" s="3">
        <v>1.48810399999999E-4</v>
      </c>
      <c r="K19" s="3">
        <v>1.51357999999999E-4</v>
      </c>
      <c r="L19" s="3">
        <v>1.507127E-4</v>
      </c>
      <c r="M19" s="3">
        <v>1.495529E-4</v>
      </c>
      <c r="N19" s="3">
        <v>1.4885585E-4</v>
      </c>
      <c r="O19" s="3">
        <v>1.4750891E-4</v>
      </c>
      <c r="R19" s="1" t="s">
        <v>47</v>
      </c>
      <c r="S19" s="1" t="s">
        <v>11</v>
      </c>
      <c r="T19" s="1">
        <f t="shared" ref="T19:AF19" si="18">(((C19*10^9)/0.0496)/14.2)/(C96*1000)</f>
        <v>0.3909590972</v>
      </c>
      <c r="U19" s="1">
        <f t="shared" si="18"/>
        <v>0.3777606826</v>
      </c>
      <c r="V19" s="1">
        <f t="shared" si="18"/>
        <v>0.4170495703</v>
      </c>
      <c r="W19" s="1">
        <f t="shared" si="18"/>
        <v>0.4413911764</v>
      </c>
      <c r="X19" s="1">
        <f t="shared" si="18"/>
        <v>0.4510472745</v>
      </c>
      <c r="Y19" s="1">
        <f t="shared" si="18"/>
        <v>0.4622133105</v>
      </c>
      <c r="Z19" s="1">
        <f t="shared" si="18"/>
        <v>0.1862894213</v>
      </c>
      <c r="AA19" s="1">
        <f t="shared" si="18"/>
        <v>0.1943362506</v>
      </c>
      <c r="AB19" s="1">
        <f t="shared" si="18"/>
        <v>0.2012789322</v>
      </c>
      <c r="AC19" s="1">
        <f t="shared" si="18"/>
        <v>0.2037761284</v>
      </c>
      <c r="AD19" s="1">
        <f t="shared" si="18"/>
        <v>0.2064426425</v>
      </c>
      <c r="AE19" s="1">
        <f t="shared" si="18"/>
        <v>0.2109755849</v>
      </c>
      <c r="AF19" s="1">
        <f t="shared" si="18"/>
        <v>0.2158940543</v>
      </c>
    </row>
    <row r="20" ht="14.25" customHeight="1">
      <c r="A20" s="1" t="s">
        <v>48</v>
      </c>
      <c r="B20" s="1" t="s">
        <v>11</v>
      </c>
      <c r="C20" s="3">
        <v>0.0</v>
      </c>
      <c r="D20" s="3">
        <v>3.4755E-7</v>
      </c>
      <c r="E20" s="3">
        <v>3.01777E-7</v>
      </c>
      <c r="F20" s="3">
        <v>2.5096133E-5</v>
      </c>
      <c r="G20" s="3">
        <v>3.9141775E-5</v>
      </c>
      <c r="H20" s="3">
        <v>5.55982163999999E-5</v>
      </c>
      <c r="I20" s="3">
        <v>6.37831727E-5</v>
      </c>
      <c r="J20" s="3">
        <v>6.660903E-5</v>
      </c>
      <c r="K20" s="3">
        <v>6.612267E-5</v>
      </c>
      <c r="L20" s="3">
        <v>6.209509E-5</v>
      </c>
      <c r="M20" s="3">
        <v>5.935343E-5</v>
      </c>
      <c r="N20" s="3">
        <v>5.642754E-5</v>
      </c>
      <c r="O20" s="3">
        <v>5.451943E-5</v>
      </c>
      <c r="R20" s="1" t="s">
        <v>48</v>
      </c>
      <c r="S20" s="1" t="s">
        <v>11</v>
      </c>
      <c r="T20" s="1">
        <f t="shared" ref="T20:AF20" si="19">(((C20*10^9)/0.0496)/14.2)/(C97*1000)</f>
        <v>0</v>
      </c>
      <c r="U20" s="1">
        <f t="shared" si="19"/>
        <v>0.002327616414</v>
      </c>
      <c r="V20" s="1">
        <f t="shared" si="19"/>
        <v>0.002050075379</v>
      </c>
      <c r="W20" s="1">
        <f t="shared" si="19"/>
        <v>0.1746652939</v>
      </c>
      <c r="X20" s="1">
        <f t="shared" si="19"/>
        <v>0.2821007684</v>
      </c>
      <c r="Y20" s="1">
        <f t="shared" si="19"/>
        <v>0.4168564634</v>
      </c>
      <c r="Z20" s="1">
        <f t="shared" si="19"/>
        <v>0.5112914068</v>
      </c>
      <c r="AA20" s="1">
        <f t="shared" si="19"/>
        <v>0.5612588256</v>
      </c>
      <c r="AB20" s="1">
        <f t="shared" si="19"/>
        <v>0.5806628755</v>
      </c>
      <c r="AC20" s="1">
        <f t="shared" si="19"/>
        <v>0.5724881732</v>
      </c>
      <c r="AD20" s="1">
        <f t="shared" si="19"/>
        <v>0.5683970365</v>
      </c>
      <c r="AE20" s="1">
        <f t="shared" si="19"/>
        <v>0.5641995716</v>
      </c>
      <c r="AF20" s="1">
        <f t="shared" si="19"/>
        <v>0.5590984982</v>
      </c>
    </row>
    <row r="21" ht="14.25" customHeight="1">
      <c r="A21" s="1" t="s">
        <v>49</v>
      </c>
      <c r="B21" s="1" t="s">
        <v>11</v>
      </c>
      <c r="C21" s="3">
        <v>1.23415E-5</v>
      </c>
      <c r="D21" s="3">
        <v>7.98329E-6</v>
      </c>
      <c r="E21" s="3">
        <v>3.86987E-6</v>
      </c>
      <c r="F21" s="3">
        <v>1.57321E-6</v>
      </c>
      <c r="G21" s="3">
        <v>1.67472E-6</v>
      </c>
      <c r="H21" s="3">
        <v>1.81079E-6</v>
      </c>
      <c r="I21" s="3">
        <v>5.36532E-7</v>
      </c>
      <c r="J21" s="3">
        <v>6.6068E-7</v>
      </c>
      <c r="K21" s="3">
        <v>7.82131E-7</v>
      </c>
      <c r="L21" s="3">
        <v>8.38691E-7</v>
      </c>
      <c r="M21" s="3">
        <v>8.84944E-7</v>
      </c>
      <c r="N21" s="3">
        <v>9.35804099999999E-7</v>
      </c>
      <c r="O21" s="3">
        <v>9.765569E-7</v>
      </c>
      <c r="R21" s="1" t="s">
        <v>49</v>
      </c>
      <c r="S21" s="1" t="s">
        <v>11</v>
      </c>
      <c r="T21" s="1">
        <f t="shared" ref="T21:AF21" si="20">(((C21*10^9)/0.0496)/14.2)/(C98*1000)</f>
        <v>1.251612498</v>
      </c>
      <c r="U21" s="1">
        <f t="shared" si="20"/>
        <v>1.619249773</v>
      </c>
      <c r="V21" s="1">
        <f t="shared" si="20"/>
        <v>2.747238471</v>
      </c>
      <c r="W21" s="1">
        <f t="shared" si="20"/>
        <v>3.190939995</v>
      </c>
      <c r="X21" s="1">
        <f t="shared" si="20"/>
        <v>3.348989896</v>
      </c>
      <c r="Y21" s="1">
        <f t="shared" si="20"/>
        <v>3.521885289</v>
      </c>
      <c r="Z21" s="1">
        <f t="shared" si="20"/>
        <v>1.01569741</v>
      </c>
      <c r="AA21" s="1">
        <f t="shared" si="20"/>
        <v>1.202614779</v>
      </c>
      <c r="AB21" s="1">
        <f t="shared" si="20"/>
        <v>1.388095965</v>
      </c>
      <c r="AC21" s="1">
        <f t="shared" si="20"/>
        <v>1.45217217</v>
      </c>
      <c r="AD21" s="1">
        <f t="shared" si="20"/>
        <v>1.513797124</v>
      </c>
      <c r="AE21" s="1">
        <f t="shared" si="20"/>
        <v>1.581741964</v>
      </c>
      <c r="AF21" s="1" t="str">
        <f t="shared" si="20"/>
        <v>#DIV/0!</v>
      </c>
    </row>
    <row r="22" ht="14.25" customHeight="1">
      <c r="A22" s="1" t="s">
        <v>50</v>
      </c>
      <c r="B22" s="1" t="s">
        <v>11</v>
      </c>
      <c r="C22" s="3">
        <v>0.0286192</v>
      </c>
      <c r="D22" s="3">
        <v>0.022223629</v>
      </c>
      <c r="E22" s="3">
        <v>0.019601126</v>
      </c>
      <c r="F22" s="3">
        <v>0.0455006666</v>
      </c>
      <c r="G22" s="3">
        <v>0.0583255894</v>
      </c>
      <c r="H22" s="3">
        <v>0.0598004762</v>
      </c>
      <c r="I22" s="3">
        <v>0.0563320097</v>
      </c>
      <c r="J22" s="3">
        <v>0.055055282</v>
      </c>
      <c r="K22" s="3">
        <v>0.05236428</v>
      </c>
      <c r="L22" s="3">
        <v>0.05050992</v>
      </c>
      <c r="M22" s="3">
        <v>0.0495815</v>
      </c>
      <c r="N22" s="3">
        <v>0.04891769</v>
      </c>
      <c r="O22" s="3">
        <v>0.04812009</v>
      </c>
      <c r="R22" s="1" t="s">
        <v>50</v>
      </c>
      <c r="S22" s="1" t="s">
        <v>11</v>
      </c>
      <c r="T22" s="1">
        <f t="shared" ref="T22:AF22" si="21">(((C22*10^9)/0.0496)/14.2)/(C99*1000)</f>
        <v>0.6601111641</v>
      </c>
      <c r="U22" s="1">
        <f t="shared" si="21"/>
        <v>0.4978040927</v>
      </c>
      <c r="V22" s="1">
        <f t="shared" si="21"/>
        <v>0.429957492</v>
      </c>
      <c r="W22" s="1">
        <f t="shared" si="21"/>
        <v>0.9863091654</v>
      </c>
      <c r="X22" s="1">
        <f t="shared" si="21"/>
        <v>1.258911632</v>
      </c>
      <c r="Y22" s="1">
        <f t="shared" si="21"/>
        <v>1.295492225</v>
      </c>
      <c r="Z22" s="1">
        <f t="shared" si="21"/>
        <v>1.218395266</v>
      </c>
      <c r="AA22" s="1">
        <f t="shared" si="21"/>
        <v>1.199189903</v>
      </c>
      <c r="AB22" s="1">
        <f t="shared" si="21"/>
        <v>1.157004926</v>
      </c>
      <c r="AC22" s="1">
        <f t="shared" si="21"/>
        <v>1.139369898</v>
      </c>
      <c r="AD22" s="1">
        <f t="shared" si="21"/>
        <v>1.148854165</v>
      </c>
      <c r="AE22" s="1">
        <f t="shared" si="21"/>
        <v>1.171618605</v>
      </c>
      <c r="AF22" s="1">
        <f t="shared" si="21"/>
        <v>1.198809381</v>
      </c>
    </row>
    <row r="23" ht="14.25" customHeight="1">
      <c r="A23" s="1" t="s">
        <v>51</v>
      </c>
      <c r="B23" s="1" t="s">
        <v>11</v>
      </c>
      <c r="C23" s="3">
        <v>3.91195E-4</v>
      </c>
      <c r="D23" s="3">
        <v>3.0310015E-4</v>
      </c>
      <c r="E23" s="3">
        <v>2.84085361E-4</v>
      </c>
      <c r="F23" s="3">
        <v>2.50130193E-4</v>
      </c>
      <c r="G23" s="3">
        <v>2.20679976E-4</v>
      </c>
      <c r="H23" s="3">
        <v>2.02105259E-4</v>
      </c>
      <c r="I23" s="3">
        <v>1.45185441E-4</v>
      </c>
      <c r="J23" s="3">
        <v>1.7079307E-4</v>
      </c>
      <c r="K23" s="3">
        <v>1.8984933E-4</v>
      </c>
      <c r="L23" s="3">
        <v>2.02160729999999E-4</v>
      </c>
      <c r="M23" s="3">
        <v>2.13155539999999E-4</v>
      </c>
      <c r="N23" s="3">
        <v>2.2258703E-4</v>
      </c>
      <c r="O23" s="3">
        <v>2.3103976E-4</v>
      </c>
      <c r="R23" s="1" t="s">
        <v>51</v>
      </c>
      <c r="S23" s="1" t="s">
        <v>11</v>
      </c>
      <c r="T23" s="1">
        <f t="shared" ref="T23:AF23" si="22">(((C23*10^9)/0.0496)/14.2)/(C100*1000)</f>
        <v>0.2341577788</v>
      </c>
      <c r="U23" s="1">
        <f t="shared" si="22"/>
        <v>0.1726210889</v>
      </c>
      <c r="V23" s="1">
        <f t="shared" si="22"/>
        <v>0.1544207514</v>
      </c>
      <c r="W23" s="1">
        <f t="shared" si="22"/>
        <v>0.1303255573</v>
      </c>
      <c r="X23" s="1">
        <f t="shared" si="22"/>
        <v>0.110871711</v>
      </c>
      <c r="Y23" s="1">
        <f t="shared" si="22"/>
        <v>0.09888039338</v>
      </c>
      <c r="Z23" s="1">
        <f t="shared" si="22"/>
        <v>0.06931165068</v>
      </c>
      <c r="AA23" s="1">
        <f t="shared" si="22"/>
        <v>0.08018198264</v>
      </c>
      <c r="AB23" s="1">
        <f t="shared" si="22"/>
        <v>0.08821559936</v>
      </c>
      <c r="AC23" s="1">
        <f t="shared" si="22"/>
        <v>0.09424497214</v>
      </c>
      <c r="AD23" s="1">
        <f t="shared" si="22"/>
        <v>0.100331252</v>
      </c>
      <c r="AE23" s="1">
        <f t="shared" si="22"/>
        <v>0.1063769777</v>
      </c>
      <c r="AF23" s="1">
        <f t="shared" si="22"/>
        <v>0.112664729</v>
      </c>
    </row>
    <row r="24" ht="14.25" customHeight="1">
      <c r="A24" s="1" t="s">
        <v>52</v>
      </c>
      <c r="B24" s="1" t="s">
        <v>11</v>
      </c>
      <c r="C24" s="3">
        <v>2.73217E-4</v>
      </c>
      <c r="D24" s="3">
        <v>2.1323487E-4</v>
      </c>
      <c r="E24" s="3">
        <v>1.7903044E-4</v>
      </c>
      <c r="F24" s="3">
        <v>2.3146176E-4</v>
      </c>
      <c r="G24" s="3">
        <v>2.2426824E-4</v>
      </c>
      <c r="H24" s="3">
        <v>2.27384914E-4</v>
      </c>
      <c r="I24" s="3">
        <v>1.79173727E-4</v>
      </c>
      <c r="J24" s="3">
        <v>1.829161E-4</v>
      </c>
      <c r="K24" s="3">
        <v>1.769931E-4</v>
      </c>
      <c r="L24" s="3">
        <v>1.59705E-4</v>
      </c>
      <c r="M24" s="3">
        <v>1.4773584E-4</v>
      </c>
      <c r="N24" s="3">
        <v>1.34996769999999E-4</v>
      </c>
      <c r="O24" s="3">
        <v>1.23732509999999E-4</v>
      </c>
      <c r="R24" s="1" t="s">
        <v>52</v>
      </c>
      <c r="S24" s="1" t="s">
        <v>11</v>
      </c>
      <c r="T24" s="1">
        <f t="shared" ref="T24:AF24" si="23">(((C24*10^9)/0.0496)/14.2)/(C101*1000)</f>
        <v>0.1918476776</v>
      </c>
      <c r="U24" s="1">
        <f t="shared" si="23"/>
        <v>0.1447193238</v>
      </c>
      <c r="V24" s="1">
        <f t="shared" si="23"/>
        <v>0.1178984517</v>
      </c>
      <c r="W24" s="1">
        <f t="shared" si="23"/>
        <v>0.1486347947</v>
      </c>
      <c r="X24" s="1">
        <f t="shared" si="23"/>
        <v>0.1412680148</v>
      </c>
      <c r="Y24" s="1">
        <f t="shared" si="23"/>
        <v>0.1444553169</v>
      </c>
      <c r="Z24" s="1">
        <f t="shared" si="23"/>
        <v>0.1151639242</v>
      </c>
      <c r="AA24" s="1">
        <f t="shared" si="23"/>
        <v>0.1198784891</v>
      </c>
      <c r="AB24" s="1">
        <f t="shared" si="23"/>
        <v>0.1188966667</v>
      </c>
      <c r="AC24" s="1">
        <f t="shared" si="23"/>
        <v>0.1115690101</v>
      </c>
      <c r="AD24" s="1">
        <f t="shared" si="23"/>
        <v>0.1083286172</v>
      </c>
      <c r="AE24" s="1">
        <f t="shared" si="23"/>
        <v>0.1046363097</v>
      </c>
      <c r="AF24" s="1">
        <f t="shared" si="23"/>
        <v>0.1021226876</v>
      </c>
    </row>
    <row r="25" ht="14.25" customHeight="1">
      <c r="A25" s="1" t="s">
        <v>53</v>
      </c>
      <c r="B25" s="1" t="s">
        <v>11</v>
      </c>
      <c r="C25" s="3">
        <v>0.0112824</v>
      </c>
      <c r="D25" s="3">
        <v>0.0087197462</v>
      </c>
      <c r="E25" s="3">
        <v>0.007318598134301</v>
      </c>
      <c r="F25" s="3">
        <v>0.030528514153979</v>
      </c>
      <c r="G25" s="3">
        <v>0.0573766582110509</v>
      </c>
      <c r="H25" s="3">
        <v>0.09740114217</v>
      </c>
      <c r="I25" s="3">
        <v>0.12745784821</v>
      </c>
      <c r="J25" s="3">
        <v>0.15326717</v>
      </c>
      <c r="K25" s="3">
        <v>0.17335311</v>
      </c>
      <c r="L25" s="3">
        <v>0.17759524</v>
      </c>
      <c r="M25" s="3">
        <v>0.18017213</v>
      </c>
      <c r="N25" s="3">
        <v>0.181498</v>
      </c>
      <c r="O25" s="3">
        <v>0.18308733</v>
      </c>
      <c r="R25" s="1" t="s">
        <v>53</v>
      </c>
      <c r="S25" s="1" t="s">
        <v>11</v>
      </c>
      <c r="T25" s="1">
        <f t="shared" ref="T25:AF25" si="24">(((C25*10^9)/0.0496)/14.2)/(C102*1000)</f>
        <v>0.3047843348</v>
      </c>
      <c r="U25" s="1">
        <f t="shared" si="24"/>
        <v>0.2188428141</v>
      </c>
      <c r="V25" s="1">
        <f t="shared" si="24"/>
        <v>0.1726139207</v>
      </c>
      <c r="W25" s="1">
        <f t="shared" si="24"/>
        <v>0.6838747349</v>
      </c>
      <c r="X25" s="1">
        <f t="shared" si="24"/>
        <v>1.23482547</v>
      </c>
      <c r="Y25" s="1">
        <f t="shared" si="24"/>
        <v>2.03148097</v>
      </c>
      <c r="Z25" s="1">
        <f t="shared" si="24"/>
        <v>2.599545822</v>
      </c>
      <c r="AA25" s="1">
        <f t="shared" si="24"/>
        <v>3.081427963</v>
      </c>
      <c r="AB25" s="1">
        <f t="shared" si="24"/>
        <v>3.458369267</v>
      </c>
      <c r="AC25" s="1">
        <f t="shared" si="24"/>
        <v>3.534407573</v>
      </c>
      <c r="AD25" s="1">
        <f t="shared" si="24"/>
        <v>3.595514129</v>
      </c>
      <c r="AE25" s="1">
        <f t="shared" si="24"/>
        <v>3.651049387</v>
      </c>
      <c r="AF25" s="1">
        <f t="shared" si="24"/>
        <v>3.732031721</v>
      </c>
    </row>
    <row r="26" ht="14.25" customHeight="1">
      <c r="A26" s="1" t="s">
        <v>54</v>
      </c>
      <c r="B26" s="1" t="s">
        <v>11</v>
      </c>
      <c r="C26" s="3">
        <v>1.25077E-4</v>
      </c>
      <c r="D26" s="3">
        <v>9.793386E-5</v>
      </c>
      <c r="E26" s="3">
        <v>8.22339E-5</v>
      </c>
      <c r="F26" s="3">
        <v>1.24176885E-4</v>
      </c>
      <c r="G26" s="3">
        <v>1.27551732E-4</v>
      </c>
      <c r="H26" s="3">
        <v>1.36326579E-4</v>
      </c>
      <c r="I26" s="3">
        <v>1.17262661999999E-4</v>
      </c>
      <c r="J26" s="3">
        <v>1.195664E-4</v>
      </c>
      <c r="K26" s="3">
        <v>1.15375669999999E-4</v>
      </c>
      <c r="L26" s="3">
        <v>1.0453076E-4</v>
      </c>
      <c r="M26" s="3">
        <v>9.732126E-5</v>
      </c>
      <c r="N26" s="3">
        <v>8.981525E-5</v>
      </c>
      <c r="O26" s="3">
        <v>8.32275399999999E-5</v>
      </c>
      <c r="R26" s="1" t="s">
        <v>54</v>
      </c>
      <c r="S26" s="1" t="s">
        <v>11</v>
      </c>
      <c r="T26" s="1">
        <f t="shared" ref="T26:AF26" si="25">(((C26*10^9)/0.0496)/14.2)/(C103*1000)</f>
        <v>0.3382580429</v>
      </c>
      <c r="U26" s="1">
        <f t="shared" si="25"/>
        <v>0.2574951726</v>
      </c>
      <c r="V26" s="1">
        <f t="shared" si="25"/>
        <v>0.2111328136</v>
      </c>
      <c r="W26" s="1">
        <f t="shared" si="25"/>
        <v>0.3131571598</v>
      </c>
      <c r="X26" s="1">
        <f t="shared" si="25"/>
        <v>0.3177177539</v>
      </c>
      <c r="Y26" s="1">
        <f t="shared" si="25"/>
        <v>0.3429162896</v>
      </c>
      <c r="Z26" s="1">
        <f t="shared" si="25"/>
        <v>0.2991685765</v>
      </c>
      <c r="AA26" s="1">
        <f t="shared" si="25"/>
        <v>0.3112833212</v>
      </c>
      <c r="AB26" s="1">
        <f t="shared" si="25"/>
        <v>0.3082627373</v>
      </c>
      <c r="AC26" s="1">
        <f t="shared" si="25"/>
        <v>0.2906983801</v>
      </c>
      <c r="AD26" s="1">
        <f t="shared" si="25"/>
        <v>0.2839771839</v>
      </c>
      <c r="AE26" s="1">
        <f t="shared" si="25"/>
        <v>0.2771642858</v>
      </c>
      <c r="AF26" s="1">
        <f t="shared" si="25"/>
        <v>0.2733125442</v>
      </c>
    </row>
    <row r="27" ht="14.25" customHeight="1">
      <c r="A27" s="1" t="s">
        <v>55</v>
      </c>
      <c r="B27" s="1" t="s">
        <v>11</v>
      </c>
      <c r="C27" s="3">
        <v>2.86305E-4</v>
      </c>
      <c r="D27" s="3">
        <v>2.2234318E-4</v>
      </c>
      <c r="E27" s="3">
        <v>2.0553052E-4</v>
      </c>
      <c r="F27" s="3">
        <v>1.68041893E-4</v>
      </c>
      <c r="G27" s="3">
        <v>1.3007621E-4</v>
      </c>
      <c r="H27" s="3">
        <v>9.7316958E-5</v>
      </c>
      <c r="I27" s="3">
        <v>3.8740077E-5</v>
      </c>
      <c r="J27" s="3">
        <v>4.157603E-5</v>
      </c>
      <c r="K27" s="3">
        <v>4.3709479E-5</v>
      </c>
      <c r="L27" s="3">
        <v>4.37975899999999E-5</v>
      </c>
      <c r="M27" s="3">
        <v>4.37457599999999E-5</v>
      </c>
      <c r="N27" s="3">
        <v>4.288794E-5</v>
      </c>
      <c r="O27" s="3">
        <v>4.191383E-5</v>
      </c>
      <c r="R27" s="1" t="s">
        <v>55</v>
      </c>
      <c r="S27" s="1" t="s">
        <v>11</v>
      </c>
      <c r="T27" s="1">
        <f t="shared" ref="T27:AF27" si="26">(((C27*10^9)/0.0496)/14.2)/(C104*1000)</f>
        <v>0.2887062973</v>
      </c>
      <c r="U27" s="1">
        <f t="shared" si="26"/>
        <v>0.2357616785</v>
      </c>
      <c r="V27" s="1">
        <f t="shared" si="26"/>
        <v>0.2332646831</v>
      </c>
      <c r="W27" s="1">
        <f t="shared" si="26"/>
        <v>0.2085554387</v>
      </c>
      <c r="X27" s="1">
        <f t="shared" si="26"/>
        <v>0.1812398398</v>
      </c>
      <c r="Y27" s="1">
        <f t="shared" si="26"/>
        <v>0.1575501826</v>
      </c>
      <c r="Z27" s="1">
        <f t="shared" si="26"/>
        <v>0.06911378778</v>
      </c>
      <c r="AA27" s="1">
        <f t="shared" si="26"/>
        <v>0.07876972106</v>
      </c>
      <c r="AB27" s="1">
        <f t="shared" si="26"/>
        <v>0.08573596297</v>
      </c>
      <c r="AC27" s="1">
        <f t="shared" si="26"/>
        <v>0.09061056747</v>
      </c>
      <c r="AD27" s="1">
        <f t="shared" si="26"/>
        <v>0.09469888551</v>
      </c>
      <c r="AE27" s="1">
        <f t="shared" si="26"/>
        <v>0.0996460273</v>
      </c>
      <c r="AF27" s="1">
        <f t="shared" si="26"/>
        <v>0.1053118859</v>
      </c>
    </row>
    <row r="28" ht="14.25" customHeight="1">
      <c r="A28" s="1" t="s">
        <v>56</v>
      </c>
      <c r="B28" s="1" t="s">
        <v>11</v>
      </c>
      <c r="C28" s="3">
        <v>0.00706443</v>
      </c>
      <c r="D28" s="3">
        <v>0.00545981434</v>
      </c>
      <c r="E28" s="3">
        <v>0.00458249029999999</v>
      </c>
      <c r="F28" s="3">
        <v>0.00492979029999999</v>
      </c>
      <c r="G28" s="3">
        <v>0.00727435217</v>
      </c>
      <c r="H28" s="3">
        <v>0.00924822404</v>
      </c>
      <c r="I28" s="3">
        <v>0.010249607042</v>
      </c>
      <c r="J28" s="3">
        <v>0.012142956</v>
      </c>
      <c r="K28" s="3">
        <v>0.01379105</v>
      </c>
      <c r="L28" s="3">
        <v>0.014696679</v>
      </c>
      <c r="M28" s="3">
        <v>0.015402338</v>
      </c>
      <c r="N28" s="3">
        <v>0.015988466</v>
      </c>
      <c r="O28" s="3">
        <v>0.01636121</v>
      </c>
      <c r="R28" s="1" t="s">
        <v>56</v>
      </c>
      <c r="S28" s="1" t="s">
        <v>11</v>
      </c>
      <c r="T28" s="1">
        <f t="shared" ref="T28:AF28" si="27">(((C28*10^9)/0.0496)/14.2)/(C105*1000)</f>
        <v>0.2868213483</v>
      </c>
      <c r="U28" s="1">
        <f t="shared" si="27"/>
        <v>0.2180806422</v>
      </c>
      <c r="V28" s="1">
        <f t="shared" si="27"/>
        <v>0.1813086745</v>
      </c>
      <c r="W28" s="1">
        <f t="shared" si="27"/>
        <v>0.1945293769</v>
      </c>
      <c r="X28" s="1">
        <f t="shared" si="27"/>
        <v>0.2885131005</v>
      </c>
      <c r="Y28" s="1">
        <f t="shared" si="27"/>
        <v>0.368993665</v>
      </c>
      <c r="Z28" s="1">
        <f t="shared" si="27"/>
        <v>0.4114125903</v>
      </c>
      <c r="AA28" s="1">
        <f t="shared" si="27"/>
        <v>0.4903980878</v>
      </c>
      <c r="AB28" s="1">
        <f t="shared" si="27"/>
        <v>0.5635808734</v>
      </c>
      <c r="AC28" s="1">
        <f t="shared" si="27"/>
        <v>0.6074949554</v>
      </c>
      <c r="AD28" s="1">
        <f t="shared" si="27"/>
        <v>0.646540173</v>
      </c>
      <c r="AE28" s="1">
        <f t="shared" si="27"/>
        <v>0.6851885508</v>
      </c>
      <c r="AF28" s="1">
        <f t="shared" si="27"/>
        <v>0.7196477046</v>
      </c>
    </row>
    <row r="29" ht="14.25" customHeight="1">
      <c r="A29" s="1" t="s">
        <v>57</v>
      </c>
      <c r="B29" s="1" t="s">
        <v>11</v>
      </c>
      <c r="C29" s="3">
        <v>0.00613981</v>
      </c>
      <c r="D29" s="3">
        <v>0.00479832189999999</v>
      </c>
      <c r="E29" s="3">
        <v>0.00402883069999999</v>
      </c>
      <c r="F29" s="3">
        <v>0.0896273215</v>
      </c>
      <c r="G29" s="3">
        <v>0.1432044209</v>
      </c>
      <c r="H29" s="3">
        <v>0.1786076303</v>
      </c>
      <c r="I29" s="3">
        <v>0.19441918115</v>
      </c>
      <c r="J29" s="3">
        <v>0.2059637</v>
      </c>
      <c r="K29" s="3">
        <v>0.2145587</v>
      </c>
      <c r="L29" s="3">
        <v>0.21155473</v>
      </c>
      <c r="M29" s="3">
        <v>0.21064426</v>
      </c>
      <c r="N29" s="3">
        <v>0.20917498</v>
      </c>
      <c r="O29" s="3">
        <v>0.20690478</v>
      </c>
      <c r="R29" s="1" t="s">
        <v>57</v>
      </c>
      <c r="S29" s="1" t="s">
        <v>11</v>
      </c>
      <c r="T29" s="1">
        <f t="shared" ref="T29:AF29" si="28">(((C29*10^9)/0.0496)/14.2)/(C106*1000)</f>
        <v>0.5026152322</v>
      </c>
      <c r="U29" s="1">
        <f t="shared" si="28"/>
        <v>0.3851159678</v>
      </c>
      <c r="V29" s="1">
        <f t="shared" si="28"/>
        <v>0.3200990936</v>
      </c>
      <c r="W29" s="1">
        <f t="shared" si="28"/>
        <v>7.118291304</v>
      </c>
      <c r="X29" s="1">
        <f t="shared" si="28"/>
        <v>11.46967626</v>
      </c>
      <c r="Y29" s="1">
        <f t="shared" si="28"/>
        <v>14.54814713</v>
      </c>
      <c r="Z29" s="1">
        <f t="shared" si="28"/>
        <v>16.07274461</v>
      </c>
      <c r="AA29" s="1">
        <f t="shared" si="28"/>
        <v>17.02693828</v>
      </c>
      <c r="AB29" s="1">
        <f t="shared" si="28"/>
        <v>17.85600723</v>
      </c>
      <c r="AC29" s="1">
        <f t="shared" si="28"/>
        <v>17.80693308</v>
      </c>
      <c r="AD29" s="1">
        <f t="shared" si="28"/>
        <v>18.03305759</v>
      </c>
      <c r="AE29" s="1">
        <f t="shared" si="28"/>
        <v>18.31984827</v>
      </c>
      <c r="AF29" s="1">
        <f t="shared" si="28"/>
        <v>18.64833177</v>
      </c>
    </row>
    <row r="30" ht="14.25" customHeight="1">
      <c r="A30" s="1" t="s">
        <v>58</v>
      </c>
      <c r="B30" s="1" t="s">
        <v>11</v>
      </c>
      <c r="C30" s="3">
        <v>3.54171E-4</v>
      </c>
      <c r="D30" s="3">
        <v>2.73516229999999E-4</v>
      </c>
      <c r="E30" s="3">
        <v>2.29782546E-4</v>
      </c>
      <c r="F30" s="3">
        <v>1.776423494E-4</v>
      </c>
      <c r="G30" s="3">
        <v>1.66548650999999E-4</v>
      </c>
      <c r="H30" s="3">
        <v>1.73155563499999E-4</v>
      </c>
      <c r="I30" s="3">
        <v>1.518957985E-4</v>
      </c>
      <c r="J30" s="3">
        <v>1.947206387E-4</v>
      </c>
      <c r="K30" s="3">
        <v>2.300207426E-4</v>
      </c>
      <c r="L30" s="3">
        <v>2.5103339E-4</v>
      </c>
      <c r="M30" s="3">
        <v>2.6535814E-4</v>
      </c>
      <c r="N30" s="3">
        <v>2.7839647E-4</v>
      </c>
      <c r="O30" s="3">
        <v>2.9035152E-4</v>
      </c>
      <c r="R30" s="1" t="s">
        <v>58</v>
      </c>
      <c r="S30" s="1" t="s">
        <v>11</v>
      </c>
      <c r="T30" s="1">
        <f t="shared" ref="T30:AF30" si="29">(((C30*10^9)/0.0496)/14.2)/(C107*1000)</f>
        <v>1.273051231</v>
      </c>
      <c r="U30" s="1">
        <f t="shared" si="29"/>
        <v>0.8989371611</v>
      </c>
      <c r="V30" s="1">
        <f t="shared" si="29"/>
        <v>0.689740735</v>
      </c>
      <c r="W30" s="1">
        <f t="shared" si="29"/>
        <v>0.4887950349</v>
      </c>
      <c r="X30" s="1">
        <f t="shared" si="29"/>
        <v>0.4192682681</v>
      </c>
      <c r="Y30" s="1">
        <f t="shared" si="29"/>
        <v>0.4127096859</v>
      </c>
      <c r="Z30" s="1">
        <f t="shared" si="29"/>
        <v>0.3464483343</v>
      </c>
      <c r="AA30" s="1">
        <f t="shared" si="29"/>
        <v>0.4399083954</v>
      </c>
      <c r="AB30" s="1">
        <f t="shared" si="29"/>
        <v>0.5186095717</v>
      </c>
      <c r="AC30" s="1">
        <f t="shared" si="29"/>
        <v>0.5681739739</v>
      </c>
      <c r="AD30" s="1">
        <f t="shared" si="29"/>
        <v>0.6063401203</v>
      </c>
      <c r="AE30" s="1">
        <f t="shared" si="29"/>
        <v>0.6457771533</v>
      </c>
      <c r="AF30" s="1">
        <f t="shared" si="29"/>
        <v>0.688036172</v>
      </c>
    </row>
    <row r="31" ht="14.25" customHeight="1">
      <c r="A31" s="1" t="s">
        <v>59</v>
      </c>
      <c r="B31" s="1" t="s">
        <v>11</v>
      </c>
      <c r="C31" s="3">
        <v>0.00966509</v>
      </c>
      <c r="D31" s="3">
        <v>0.0075017313</v>
      </c>
      <c r="E31" s="3">
        <v>0.00629722288182</v>
      </c>
      <c r="F31" s="3">
        <v>0.051551415344704</v>
      </c>
      <c r="G31" s="3">
        <v>0.076260675802827</v>
      </c>
      <c r="H31" s="3">
        <v>0.09511392634091</v>
      </c>
      <c r="I31" s="3">
        <v>0.10372924865</v>
      </c>
      <c r="J31" s="3">
        <v>0.1100853</v>
      </c>
      <c r="K31" s="3">
        <v>0.11481385</v>
      </c>
      <c r="L31" s="3">
        <v>0.11408826</v>
      </c>
      <c r="M31" s="3">
        <v>0.11519529</v>
      </c>
      <c r="N31" s="3">
        <v>0.11612396</v>
      </c>
      <c r="O31" s="3">
        <v>0.116861949999999</v>
      </c>
      <c r="R31" s="1" t="s">
        <v>59</v>
      </c>
      <c r="S31" s="1" t="s">
        <v>11</v>
      </c>
      <c r="T31" s="1">
        <f t="shared" ref="T31:AF31" si="30">(((C31*10^9)/0.0496)/14.2)/(C108*1000)</f>
        <v>0.2664579317</v>
      </c>
      <c r="U31" s="1">
        <f t="shared" si="30"/>
        <v>0.1928590535</v>
      </c>
      <c r="V31" s="1">
        <f t="shared" si="30"/>
        <v>0.153078481</v>
      </c>
      <c r="W31" s="1">
        <f t="shared" si="30"/>
        <v>1.199357213</v>
      </c>
      <c r="X31" s="1">
        <f t="shared" si="30"/>
        <v>1.718496769</v>
      </c>
      <c r="Y31" s="1">
        <f t="shared" si="30"/>
        <v>2.08407089</v>
      </c>
      <c r="Z31" s="1">
        <f t="shared" si="30"/>
        <v>2.246718065</v>
      </c>
      <c r="AA31" s="1">
        <f t="shared" si="30"/>
        <v>2.377423156</v>
      </c>
      <c r="AB31" s="1">
        <f t="shared" si="30"/>
        <v>2.490132087</v>
      </c>
      <c r="AC31" s="1">
        <f t="shared" si="30"/>
        <v>2.503462835</v>
      </c>
      <c r="AD31" s="1">
        <f t="shared" si="30"/>
        <v>2.57305281</v>
      </c>
      <c r="AE31" s="1">
        <f t="shared" si="30"/>
        <v>2.65566644</v>
      </c>
      <c r="AF31" s="1">
        <f t="shared" si="30"/>
        <v>2.752264958</v>
      </c>
    </row>
    <row r="32" ht="14.25" customHeight="1">
      <c r="A32" s="1" t="s">
        <v>60</v>
      </c>
      <c r="B32" s="1" t="s">
        <v>11</v>
      </c>
      <c r="C32" s="3">
        <v>1.18081E-4</v>
      </c>
      <c r="D32" s="3">
        <v>9.114850974E-5</v>
      </c>
      <c r="E32" s="3">
        <v>7.649886068E-5</v>
      </c>
      <c r="F32" s="3">
        <v>4.679444493E-5</v>
      </c>
      <c r="G32" s="3">
        <v>4.921168487E-5</v>
      </c>
      <c r="H32" s="3">
        <v>3.6528555733E-5</v>
      </c>
      <c r="I32" s="3">
        <v>1.6265529067E-5</v>
      </c>
      <c r="J32" s="3">
        <v>1.874441E-5</v>
      </c>
      <c r="K32" s="3">
        <v>2.1796E-5</v>
      </c>
      <c r="L32" s="3">
        <v>2.29762509999999E-5</v>
      </c>
      <c r="M32" s="3">
        <v>2.4165982E-5</v>
      </c>
      <c r="N32" s="3">
        <v>2.54709499999999E-5</v>
      </c>
      <c r="O32" s="3">
        <v>2.64697169999999E-5</v>
      </c>
      <c r="R32" s="1" t="s">
        <v>60</v>
      </c>
      <c r="S32" s="1" t="s">
        <v>11</v>
      </c>
      <c r="T32" s="1">
        <f t="shared" ref="T32:AF32" si="31">(((C32*10^9)/0.0496)/14.2)/(C109*1000)</f>
        <v>0.3668544584</v>
      </c>
      <c r="U32" s="1">
        <f t="shared" si="31"/>
        <v>0.3081273587</v>
      </c>
      <c r="V32" s="1">
        <f t="shared" si="31"/>
        <v>0.2911897707</v>
      </c>
      <c r="W32" s="1">
        <f t="shared" si="31"/>
        <v>0.2095873261</v>
      </c>
      <c r="X32" s="1">
        <f t="shared" si="31"/>
        <v>0.2729343821</v>
      </c>
      <c r="Y32" s="1">
        <f t="shared" si="31"/>
        <v>0.2687232056</v>
      </c>
      <c r="Z32" s="1">
        <f t="shared" si="31"/>
        <v>0.1287288041</v>
      </c>
      <c r="AA32" s="1">
        <f t="shared" si="31"/>
        <v>0.15216401</v>
      </c>
      <c r="AB32" s="1">
        <f t="shared" si="31"/>
        <v>0.1828320976</v>
      </c>
      <c r="AC32" s="1">
        <f t="shared" si="31"/>
        <v>0.2021182902</v>
      </c>
      <c r="AD32" s="1">
        <f t="shared" si="31"/>
        <v>0.2141765483</v>
      </c>
      <c r="AE32" s="1">
        <f t="shared" si="31"/>
        <v>0.2283073774</v>
      </c>
      <c r="AF32" s="1">
        <f t="shared" si="31"/>
        <v>0.2412191728</v>
      </c>
    </row>
    <row r="33" ht="14.25" customHeight="1">
      <c r="A33" s="1" t="s">
        <v>61</v>
      </c>
      <c r="B33" s="1" t="s">
        <v>11</v>
      </c>
      <c r="C33" s="3">
        <v>0.013525</v>
      </c>
      <c r="D33" s="3">
        <v>0.010595948</v>
      </c>
      <c r="E33" s="3">
        <v>0.0313265729999999</v>
      </c>
      <c r="F33" s="3">
        <v>0.0102760162</v>
      </c>
      <c r="G33" s="3">
        <v>0.010171164</v>
      </c>
      <c r="H33" s="3">
        <v>0.010135778</v>
      </c>
      <c r="I33" s="3">
        <v>0.0083278149</v>
      </c>
      <c r="J33" s="3">
        <v>0.00733192</v>
      </c>
      <c r="K33" s="3">
        <v>0.00622233</v>
      </c>
      <c r="L33" s="3">
        <v>0.00622337</v>
      </c>
      <c r="M33" s="3">
        <v>0.006134122</v>
      </c>
      <c r="N33" s="3">
        <v>0.006053575</v>
      </c>
      <c r="O33" s="3">
        <v>0.006056456</v>
      </c>
      <c r="R33" s="1" t="s">
        <v>61</v>
      </c>
      <c r="S33" s="1" t="s">
        <v>11</v>
      </c>
      <c r="T33" s="1">
        <f t="shared" ref="T33:AF33" si="32">(((C33*10^9)/0.0496)/14.2)/(C110*1000)</f>
        <v>0.5157915425</v>
      </c>
      <c r="U33" s="1">
        <f t="shared" si="32"/>
        <v>0.4079347113</v>
      </c>
      <c r="V33" s="1">
        <f t="shared" si="32"/>
        <v>1.233163908</v>
      </c>
      <c r="W33" s="1">
        <f t="shared" si="32"/>
        <v>0.4183267515</v>
      </c>
      <c r="X33" s="1">
        <f t="shared" si="32"/>
        <v>0.4331467305</v>
      </c>
      <c r="Y33" s="1">
        <f t="shared" si="32"/>
        <v>0.456664571</v>
      </c>
      <c r="Z33" s="1">
        <f t="shared" si="32"/>
        <v>0.3996575311</v>
      </c>
      <c r="AA33" s="1">
        <f t="shared" si="32"/>
        <v>0.3670598444</v>
      </c>
      <c r="AB33" s="1">
        <f t="shared" si="32"/>
        <v>0.3274434028</v>
      </c>
      <c r="AC33" s="1">
        <f t="shared" si="32"/>
        <v>0.3446338301</v>
      </c>
      <c r="AD33" s="1">
        <f t="shared" si="32"/>
        <v>0.359859462</v>
      </c>
      <c r="AE33" s="1">
        <f t="shared" si="32"/>
        <v>0.3794834802</v>
      </c>
      <c r="AF33" s="1">
        <f t="shared" si="32"/>
        <v>0.4093734349</v>
      </c>
    </row>
    <row r="34" ht="14.25" customHeight="1">
      <c r="A34" s="1" t="s">
        <v>62</v>
      </c>
      <c r="B34" s="1" t="s">
        <v>11</v>
      </c>
      <c r="C34" s="3">
        <v>6.23286E-4</v>
      </c>
      <c r="D34" s="3">
        <v>4.8698885E-4</v>
      </c>
      <c r="E34" s="3">
        <v>4.887964E-4</v>
      </c>
      <c r="F34" s="3">
        <v>4.7816869E-4</v>
      </c>
      <c r="G34" s="3">
        <v>4.4611692E-4</v>
      </c>
      <c r="H34" s="3">
        <v>4.1020065E-4</v>
      </c>
      <c r="I34" s="3">
        <v>3.03553846E-4</v>
      </c>
      <c r="J34" s="3">
        <v>3.100151E-4</v>
      </c>
      <c r="K34" s="3">
        <v>3.064819E-4</v>
      </c>
      <c r="L34" s="3">
        <v>2.916372E-4</v>
      </c>
      <c r="M34" s="3">
        <v>2.780029E-4</v>
      </c>
      <c r="N34" s="3">
        <v>2.634509E-4</v>
      </c>
      <c r="O34" s="3">
        <v>2.515886E-4</v>
      </c>
      <c r="R34" s="1" t="s">
        <v>62</v>
      </c>
      <c r="S34" s="1" t="s">
        <v>11</v>
      </c>
      <c r="T34" s="1">
        <f t="shared" ref="T34:AF34" si="33">(((C34*10^9)/0.0496)/14.2)/(C111*1000)</f>
        <v>0.3261876827</v>
      </c>
      <c r="U34" s="1">
        <f t="shared" si="33"/>
        <v>0.2605242045</v>
      </c>
      <c r="V34" s="1">
        <f t="shared" si="33"/>
        <v>0.2704589301</v>
      </c>
      <c r="W34" s="1">
        <f t="shared" si="33"/>
        <v>0.2774451551</v>
      </c>
      <c r="X34" s="1">
        <f t="shared" si="33"/>
        <v>0.2761119866</v>
      </c>
      <c r="Y34" s="1">
        <f t="shared" si="33"/>
        <v>0.2766777423</v>
      </c>
      <c r="Z34" s="1">
        <f t="shared" si="33"/>
        <v>0.2141026013</v>
      </c>
      <c r="AA34" s="1">
        <f t="shared" si="33"/>
        <v>0.2247767279</v>
      </c>
      <c r="AB34" s="1">
        <f t="shared" si="33"/>
        <v>0.2275415003</v>
      </c>
      <c r="AC34" s="1">
        <f t="shared" si="33"/>
        <v>0.2288762468</v>
      </c>
      <c r="AD34" s="1">
        <f t="shared" si="33"/>
        <v>0.2330617616</v>
      </c>
      <c r="AE34" s="1">
        <f t="shared" si="33"/>
        <v>0.2376293641</v>
      </c>
      <c r="AF34" s="1">
        <f t="shared" si="33"/>
        <v>0.2425233578</v>
      </c>
    </row>
    <row r="35" ht="14.25" customHeight="1">
      <c r="A35" s="1" t="s">
        <v>63</v>
      </c>
      <c r="B35" s="1" t="s">
        <v>11</v>
      </c>
      <c r="C35" s="3">
        <v>0.00437376</v>
      </c>
      <c r="D35" s="3">
        <v>0.003376927471</v>
      </c>
      <c r="E35" s="3">
        <v>0.002866452207</v>
      </c>
      <c r="F35" s="3">
        <v>0.00227017022</v>
      </c>
      <c r="G35" s="3">
        <v>0.001888327036</v>
      </c>
      <c r="H35" s="3">
        <v>0.00161910715099999</v>
      </c>
      <c r="I35" s="3">
        <v>9.63771043999999E-4</v>
      </c>
      <c r="J35" s="3">
        <v>0.0011020911</v>
      </c>
      <c r="K35" s="3">
        <v>0.00116034404</v>
      </c>
      <c r="L35" s="3">
        <v>0.0011546711</v>
      </c>
      <c r="M35" s="3">
        <v>0.0011171278</v>
      </c>
      <c r="N35" s="3">
        <v>0.0010919101</v>
      </c>
      <c r="O35" s="3">
        <v>0.0010881556</v>
      </c>
      <c r="R35" s="1" t="s">
        <v>63</v>
      </c>
      <c r="S35" s="1" t="s">
        <v>11</v>
      </c>
      <c r="T35" s="1">
        <f t="shared" ref="T35:AF35" si="34">(((C35*10^9)/0.0496)/14.2)/(C112*1000)</f>
        <v>0.2919148493</v>
      </c>
      <c r="U35" s="1">
        <f t="shared" si="34"/>
        <v>0.2299564804</v>
      </c>
      <c r="V35" s="1">
        <f t="shared" si="34"/>
        <v>0.2013663426</v>
      </c>
      <c r="W35" s="1">
        <f t="shared" si="34"/>
        <v>0.1671181891</v>
      </c>
      <c r="X35" s="1">
        <f t="shared" si="34"/>
        <v>0.1479860935</v>
      </c>
      <c r="Y35" s="1">
        <f t="shared" si="34"/>
        <v>0.137374399</v>
      </c>
      <c r="Z35" s="1">
        <f t="shared" si="34"/>
        <v>0.08442721505</v>
      </c>
      <c r="AA35" s="1">
        <f t="shared" si="34"/>
        <v>0.1005370765</v>
      </c>
      <c r="AB35" s="1">
        <f t="shared" si="34"/>
        <v>0.1110392482</v>
      </c>
      <c r="AC35" s="1">
        <f t="shared" si="34"/>
        <v>0.1164777458</v>
      </c>
      <c r="AD35" s="1">
        <f t="shared" si="34"/>
        <v>0.1196394695</v>
      </c>
      <c r="AE35" s="1">
        <f t="shared" si="34"/>
        <v>0.1251335019</v>
      </c>
      <c r="AF35" s="1">
        <f t="shared" si="34"/>
        <v>0.1345361954</v>
      </c>
    </row>
    <row r="36" ht="14.25" customHeight="1">
      <c r="A36" s="1" t="s">
        <v>64</v>
      </c>
      <c r="B36" s="1" t="s">
        <v>11</v>
      </c>
      <c r="C36" s="3">
        <v>0.00204689</v>
      </c>
      <c r="D36" s="3">
        <v>0.00158221285</v>
      </c>
      <c r="E36" s="3">
        <v>0.00132797746</v>
      </c>
      <c r="F36" s="3">
        <v>0.00219748418999999</v>
      </c>
      <c r="G36" s="3">
        <v>0.00271603742</v>
      </c>
      <c r="H36" s="3">
        <v>0.00356119565799999</v>
      </c>
      <c r="I36" s="3">
        <v>0.00390109038599999</v>
      </c>
      <c r="J36" s="3">
        <v>0.004511456</v>
      </c>
      <c r="K36" s="3">
        <v>0.00489376199999999</v>
      </c>
      <c r="L36" s="3">
        <v>0.005079945</v>
      </c>
      <c r="M36" s="3">
        <v>0.005279429</v>
      </c>
      <c r="N36" s="3">
        <v>0.00542540899999999</v>
      </c>
      <c r="O36" s="3">
        <v>0.00556469899999999</v>
      </c>
      <c r="R36" s="1" t="s">
        <v>64</v>
      </c>
      <c r="S36" s="1" t="s">
        <v>11</v>
      </c>
      <c r="T36" s="1">
        <f t="shared" ref="T36:AF36" si="35">(((C36*10^9)/0.0496)/14.2)/(C113*1000)</f>
        <v>0.4129875242</v>
      </c>
      <c r="U36" s="1">
        <f t="shared" si="35"/>
        <v>0.3098965823</v>
      </c>
      <c r="V36" s="1">
        <f t="shared" si="35"/>
        <v>0.2543127307</v>
      </c>
      <c r="W36" s="1">
        <f t="shared" si="35"/>
        <v>0.4148947102</v>
      </c>
      <c r="X36" s="1">
        <f t="shared" si="35"/>
        <v>0.5101541018</v>
      </c>
      <c r="Y36" s="1">
        <f t="shared" si="35"/>
        <v>0.6719226948</v>
      </c>
      <c r="Z36" s="1">
        <f t="shared" si="35"/>
        <v>0.7474839753</v>
      </c>
      <c r="AA36" s="1">
        <f t="shared" si="35"/>
        <v>0.857816027</v>
      </c>
      <c r="AB36" s="1">
        <f t="shared" si="35"/>
        <v>0.930272888</v>
      </c>
      <c r="AC36" s="1">
        <f t="shared" si="35"/>
        <v>0.9727815392</v>
      </c>
      <c r="AD36" s="1">
        <f t="shared" si="35"/>
        <v>1.024915602</v>
      </c>
      <c r="AE36" s="1">
        <f t="shared" si="35"/>
        <v>1.074349856</v>
      </c>
      <c r="AF36" s="1">
        <f t="shared" si="35"/>
        <v>1.130955618</v>
      </c>
    </row>
    <row r="37" ht="14.25" customHeight="1">
      <c r="A37" s="1" t="s">
        <v>65</v>
      </c>
      <c r="B37" s="1" t="s">
        <v>11</v>
      </c>
      <c r="C37" s="3">
        <v>0.0265154</v>
      </c>
      <c r="D37" s="3">
        <v>0.02046804056</v>
      </c>
      <c r="E37" s="3">
        <v>0.017178391008943</v>
      </c>
      <c r="F37" s="3">
        <v>0.161841521441896</v>
      </c>
      <c r="G37" s="3">
        <v>0.322663590756684</v>
      </c>
      <c r="H37" s="3">
        <v>0.482648810024472</v>
      </c>
      <c r="I37" s="3">
        <v>0.612446550398258</v>
      </c>
      <c r="J37" s="3">
        <v>0.7473155</v>
      </c>
      <c r="K37" s="3">
        <v>0.8744669</v>
      </c>
      <c r="L37" s="3">
        <v>0.8868994</v>
      </c>
      <c r="M37" s="3">
        <v>0.8962711</v>
      </c>
      <c r="N37" s="3">
        <v>0.901853</v>
      </c>
      <c r="O37" s="3">
        <v>0.907706799999999</v>
      </c>
      <c r="R37" s="1" t="s">
        <v>65</v>
      </c>
      <c r="S37" s="1" t="s">
        <v>11</v>
      </c>
      <c r="T37" s="1">
        <f t="shared" ref="T37:AF37" si="36">(((C37*10^9)/0.0496)/14.2)/(C114*1000)</f>
        <v>0.2423869137</v>
      </c>
      <c r="U37" s="1">
        <f t="shared" si="36"/>
        <v>0.1746877928</v>
      </c>
      <c r="V37" s="1">
        <f t="shared" si="36"/>
        <v>0.1385073553</v>
      </c>
      <c r="W37" s="1">
        <f t="shared" si="36"/>
        <v>1.252468195</v>
      </c>
      <c r="X37" s="1">
        <f t="shared" si="36"/>
        <v>2.429923289</v>
      </c>
      <c r="Y37" s="1">
        <f t="shared" si="36"/>
        <v>3.570802881</v>
      </c>
      <c r="Z37" s="1">
        <f t="shared" si="36"/>
        <v>4.439393041</v>
      </c>
      <c r="AA37" s="1">
        <f t="shared" si="36"/>
        <v>5.348954732</v>
      </c>
      <c r="AB37" s="1">
        <f t="shared" si="36"/>
        <v>6.219947349</v>
      </c>
      <c r="AC37" s="1">
        <f t="shared" si="36"/>
        <v>6.322948842</v>
      </c>
      <c r="AD37" s="1">
        <f t="shared" si="36"/>
        <v>6.442948809</v>
      </c>
      <c r="AE37" s="1">
        <f t="shared" si="36"/>
        <v>6.57117503</v>
      </c>
      <c r="AF37" s="1">
        <f t="shared" si="36"/>
        <v>6.738528058</v>
      </c>
    </row>
    <row r="38" ht="14.25" customHeight="1">
      <c r="A38" s="1" t="s">
        <v>66</v>
      </c>
      <c r="B38" s="1" t="s">
        <v>11</v>
      </c>
      <c r="C38" s="3">
        <v>0.0148402</v>
      </c>
      <c r="D38" s="3">
        <v>0.011455807131</v>
      </c>
      <c r="E38" s="3">
        <v>0.009614571068534</v>
      </c>
      <c r="F38" s="3">
        <v>0.020214981102251</v>
      </c>
      <c r="G38" s="3">
        <v>0.031536623735955</v>
      </c>
      <c r="H38" s="3">
        <v>0.044664706353767</v>
      </c>
      <c r="I38" s="3">
        <v>0.0532333663</v>
      </c>
      <c r="J38" s="3">
        <v>0.06319417</v>
      </c>
      <c r="K38" s="3">
        <v>0.07072972</v>
      </c>
      <c r="L38" s="3">
        <v>0.07288171</v>
      </c>
      <c r="M38" s="3">
        <v>0.07381346</v>
      </c>
      <c r="N38" s="3">
        <v>0.0734346</v>
      </c>
      <c r="O38" s="3">
        <v>0.07227398</v>
      </c>
      <c r="R38" s="1" t="s">
        <v>66</v>
      </c>
      <c r="S38" s="1" t="s">
        <v>11</v>
      </c>
      <c r="T38" s="1">
        <f t="shared" ref="T38:AF38" si="37">(((C38*10^9)/0.0496)/14.2)/(C115*1000)</f>
        <v>0.3388426444</v>
      </c>
      <c r="U38" s="1">
        <f t="shared" si="37"/>
        <v>0.2588040814</v>
      </c>
      <c r="V38" s="1">
        <f t="shared" si="37"/>
        <v>0.2172146749</v>
      </c>
      <c r="W38" s="1">
        <f t="shared" si="37"/>
        <v>0.4608818257</v>
      </c>
      <c r="X38" s="1">
        <f t="shared" si="37"/>
        <v>0.7328432186</v>
      </c>
      <c r="Y38" s="1">
        <f t="shared" si="37"/>
        <v>1.06988612</v>
      </c>
      <c r="Z38" s="1">
        <f t="shared" si="37"/>
        <v>1.328599263</v>
      </c>
      <c r="AA38" s="1">
        <f t="shared" si="37"/>
        <v>1.610239328</v>
      </c>
      <c r="AB38" s="1">
        <f t="shared" si="37"/>
        <v>1.850911895</v>
      </c>
      <c r="AC38" s="1">
        <f t="shared" si="37"/>
        <v>1.968361097</v>
      </c>
      <c r="AD38" s="1">
        <f t="shared" si="37"/>
        <v>2.070045626</v>
      </c>
      <c r="AE38" s="1">
        <f t="shared" si="37"/>
        <v>2.152226764</v>
      </c>
      <c r="AF38" s="1">
        <f t="shared" si="37"/>
        <v>2.227967035</v>
      </c>
    </row>
    <row r="39" ht="14.25" customHeight="1">
      <c r="A39" s="1" t="s">
        <v>6</v>
      </c>
      <c r="B39" s="1" t="s">
        <v>14</v>
      </c>
      <c r="C39" s="3">
        <v>3.57648E-4</v>
      </c>
      <c r="D39" s="3">
        <v>2.771282E-4</v>
      </c>
      <c r="E39" s="3">
        <v>2.44567444E-4</v>
      </c>
      <c r="F39" s="3">
        <v>2.0009061E-4</v>
      </c>
      <c r="G39" s="3">
        <v>1.7047268E-4</v>
      </c>
      <c r="H39" s="3">
        <v>1.427647E-4</v>
      </c>
      <c r="I39" s="3">
        <v>7.6590176E-5</v>
      </c>
      <c r="J39" s="3">
        <v>8.725838E-5</v>
      </c>
      <c r="K39" s="3">
        <v>1.0103949E-4</v>
      </c>
      <c r="L39" s="3">
        <v>1.17355419999999E-4</v>
      </c>
      <c r="M39" s="3">
        <v>1.3546475E-4</v>
      </c>
      <c r="N39" s="3">
        <v>1.5504291E-4</v>
      </c>
      <c r="O39" s="3">
        <v>1.7411229E-4</v>
      </c>
      <c r="R39" s="1" t="s">
        <v>6</v>
      </c>
      <c r="S39" s="1" t="s">
        <v>14</v>
      </c>
      <c r="T39" s="1">
        <f t="shared" ref="T39:AF39" si="38">(((C39*10^9)/0.0496)/14.2)/(C116*1000)</f>
        <v>3.550992397</v>
      </c>
      <c r="U39" s="1">
        <f t="shared" si="38"/>
        <v>2.496679263</v>
      </c>
      <c r="V39" s="1">
        <f t="shared" si="38"/>
        <v>2.018831986</v>
      </c>
      <c r="W39" s="1">
        <f t="shared" si="38"/>
        <v>1.512463116</v>
      </c>
      <c r="X39" s="1">
        <f t="shared" si="38"/>
        <v>1.184200184</v>
      </c>
      <c r="Y39" s="1">
        <f t="shared" si="38"/>
        <v>0.9161437244</v>
      </c>
      <c r="Z39" s="1">
        <f t="shared" si="38"/>
        <v>0.4517480477</v>
      </c>
      <c r="AA39" s="1">
        <f t="shared" si="38"/>
        <v>0.4894390909</v>
      </c>
      <c r="AB39" s="1">
        <f t="shared" si="38"/>
        <v>0.536877148</v>
      </c>
      <c r="AC39" s="1">
        <f t="shared" si="38"/>
        <v>0.5936337291</v>
      </c>
      <c r="AD39" s="1">
        <f t="shared" si="38"/>
        <v>0.6553656698</v>
      </c>
      <c r="AE39" s="1">
        <f t="shared" si="38"/>
        <v>0.7235402954</v>
      </c>
      <c r="AF39" s="1">
        <f t="shared" si="38"/>
        <v>0.7870704247</v>
      </c>
    </row>
    <row r="40" ht="14.25" customHeight="1">
      <c r="A40" s="1" t="s">
        <v>30</v>
      </c>
      <c r="B40" s="1" t="s">
        <v>14</v>
      </c>
      <c r="C40" s="3">
        <v>0.0228989</v>
      </c>
      <c r="D40" s="3">
        <v>0.017921533</v>
      </c>
      <c r="E40" s="3">
        <v>0.020675207</v>
      </c>
      <c r="F40" s="3">
        <v>0.018435443</v>
      </c>
      <c r="G40" s="3">
        <v>0.0155253669999999</v>
      </c>
      <c r="H40" s="3">
        <v>0.0127579498</v>
      </c>
      <c r="I40" s="3">
        <v>0.008003801</v>
      </c>
      <c r="J40" s="3">
        <v>0.008567714</v>
      </c>
      <c r="K40" s="3">
        <v>0.009508991</v>
      </c>
      <c r="L40" s="3">
        <v>0.0111600949999999</v>
      </c>
      <c r="M40" s="3">
        <v>0.012833397</v>
      </c>
      <c r="N40" s="3">
        <v>0.0146086219999999</v>
      </c>
      <c r="O40" s="3">
        <v>0.016303118</v>
      </c>
      <c r="R40" s="1" t="s">
        <v>30</v>
      </c>
      <c r="S40" s="1" t="s">
        <v>14</v>
      </c>
      <c r="T40" s="1">
        <f t="shared" ref="T40:AF40" si="39">(((C40*10^9)/0.0496)/14.2)/(C117*1000)</f>
        <v>2.2253298</v>
      </c>
      <c r="U40" s="1">
        <f t="shared" si="39"/>
        <v>1.532010177</v>
      </c>
      <c r="V40" s="1">
        <f t="shared" si="39"/>
        <v>1.576691838</v>
      </c>
      <c r="W40" s="1">
        <f t="shared" si="39"/>
        <v>1.272289465</v>
      </c>
      <c r="X40" s="1">
        <f t="shared" si="39"/>
        <v>0.9807550656</v>
      </c>
      <c r="Y40" s="1">
        <f t="shared" si="39"/>
        <v>0.7429861695</v>
      </c>
      <c r="Z40" s="1">
        <f t="shared" si="39"/>
        <v>0.4322490259</v>
      </c>
      <c r="AA40" s="1">
        <f t="shared" si="39"/>
        <v>0.4342733967</v>
      </c>
      <c r="AB40" s="1">
        <f t="shared" si="39"/>
        <v>0.4650145244</v>
      </c>
      <c r="AC40" s="1">
        <f t="shared" si="39"/>
        <v>0.5287304395</v>
      </c>
      <c r="AD40" s="1">
        <f t="shared" si="39"/>
        <v>0.6032037223</v>
      </c>
      <c r="AE40" s="1">
        <f t="shared" si="39"/>
        <v>0.6850632859</v>
      </c>
      <c r="AF40" s="1">
        <f t="shared" si="39"/>
        <v>0.7670261966</v>
      </c>
    </row>
    <row r="41" ht="14.25" customHeight="1">
      <c r="A41" s="1" t="s">
        <v>32</v>
      </c>
      <c r="B41" s="1" t="s">
        <v>14</v>
      </c>
      <c r="C41" s="3">
        <v>5.75309E-4</v>
      </c>
      <c r="D41" s="3">
        <v>5.419369E-4</v>
      </c>
      <c r="E41" s="3">
        <v>6.163793E-4</v>
      </c>
      <c r="F41" s="3">
        <v>5.550307E-4</v>
      </c>
      <c r="G41" s="3">
        <v>4.677504E-4</v>
      </c>
      <c r="H41" s="3">
        <v>3.821285E-4</v>
      </c>
      <c r="I41" s="3">
        <v>2.51089799999999E-4</v>
      </c>
      <c r="J41" s="3">
        <v>2.59567E-4</v>
      </c>
      <c r="K41" s="3">
        <v>2.9344307E-4</v>
      </c>
      <c r="L41" s="3">
        <v>3.4648457E-4</v>
      </c>
      <c r="M41" s="3">
        <v>4.038687E-4</v>
      </c>
      <c r="N41" s="3">
        <v>4.643635E-4</v>
      </c>
      <c r="O41" s="3">
        <v>5.211022E-4</v>
      </c>
      <c r="R41" s="1" t="s">
        <v>32</v>
      </c>
      <c r="S41" s="1" t="s">
        <v>14</v>
      </c>
      <c r="T41" s="1">
        <f t="shared" ref="T41:AF41" si="40">(((C41*10^9)/0.0496)/14.2)/(C118*1000)</f>
        <v>2.576747628</v>
      </c>
      <c r="U41" s="1">
        <f t="shared" si="40"/>
        <v>2.19215665</v>
      </c>
      <c r="V41" s="1">
        <f t="shared" si="40"/>
        <v>2.26720463</v>
      </c>
      <c r="W41" s="1">
        <f t="shared" si="40"/>
        <v>1.867387871</v>
      </c>
      <c r="X41" s="1">
        <f t="shared" si="40"/>
        <v>1.450035613</v>
      </c>
      <c r="Y41" s="1">
        <f t="shared" si="40"/>
        <v>1.094799022</v>
      </c>
      <c r="Z41" s="1">
        <f t="shared" si="40"/>
        <v>0.663076198</v>
      </c>
      <c r="AA41" s="1">
        <f t="shared" si="40"/>
        <v>0.6527826201</v>
      </c>
      <c r="AB41" s="1">
        <f t="shared" si="40"/>
        <v>0.7081334773</v>
      </c>
      <c r="AC41" s="1">
        <f t="shared" si="40"/>
        <v>0.8141028048</v>
      </c>
      <c r="AD41" s="1">
        <f t="shared" si="40"/>
        <v>0.9311762734</v>
      </c>
      <c r="AE41" s="1">
        <f t="shared" si="40"/>
        <v>1.055462889</v>
      </c>
      <c r="AF41" s="1">
        <f t="shared" si="40"/>
        <v>1.17414024</v>
      </c>
    </row>
    <row r="42" ht="14.25" customHeight="1">
      <c r="A42" s="1" t="s">
        <v>33</v>
      </c>
      <c r="B42" s="1" t="s">
        <v>14</v>
      </c>
      <c r="C42" s="3">
        <v>0.0171163</v>
      </c>
      <c r="D42" s="3">
        <v>0.01450303</v>
      </c>
      <c r="E42" s="3">
        <v>0.01698541</v>
      </c>
      <c r="F42" s="3">
        <v>0.013961304</v>
      </c>
      <c r="G42" s="3">
        <v>0.010673361</v>
      </c>
      <c r="H42" s="3">
        <v>0.00744856899999999</v>
      </c>
      <c r="I42" s="3">
        <v>0.00270397799999999</v>
      </c>
      <c r="J42" s="3">
        <v>0.0021623206</v>
      </c>
      <c r="K42" s="3">
        <v>0.0020132705</v>
      </c>
      <c r="L42" s="3">
        <v>0.0025527777</v>
      </c>
      <c r="M42" s="3">
        <v>0.0031513699</v>
      </c>
      <c r="N42" s="3">
        <v>0.0038231634</v>
      </c>
      <c r="O42" s="3">
        <v>0.00449250009999999</v>
      </c>
      <c r="R42" s="1" t="s">
        <v>33</v>
      </c>
      <c r="S42" s="1" t="s">
        <v>14</v>
      </c>
      <c r="T42" s="1">
        <f t="shared" ref="T42:AF42" si="41">(((C42*10^9)/0.0496)/14.2)/(C119*1000)</f>
        <v>5.524410054</v>
      </c>
      <c r="U42" s="1">
        <f t="shared" si="41"/>
        <v>4.220441709</v>
      </c>
      <c r="V42" s="1">
        <f t="shared" si="41"/>
        <v>4.492556074</v>
      </c>
      <c r="W42" s="1">
        <f t="shared" si="41"/>
        <v>3.389601154</v>
      </c>
      <c r="X42" s="1">
        <f t="shared" si="41"/>
        <v>2.398565354</v>
      </c>
      <c r="Y42" s="1">
        <f t="shared" si="41"/>
        <v>1.563967262</v>
      </c>
      <c r="Z42" s="1">
        <f t="shared" si="41"/>
        <v>0.5026095492</v>
      </c>
      <c r="AA42" s="1">
        <f t="shared" si="41"/>
        <v>0.3615724365</v>
      </c>
      <c r="AB42" s="1">
        <f t="shared" si="41"/>
        <v>0.306871279</v>
      </c>
      <c r="AC42" s="1">
        <f t="shared" si="41"/>
        <v>0.3575931812</v>
      </c>
      <c r="AD42" s="1">
        <f t="shared" si="41"/>
        <v>0.4095996692</v>
      </c>
      <c r="AE42" s="1">
        <f t="shared" si="41"/>
        <v>0.465561048</v>
      </c>
      <c r="AF42" s="1">
        <f t="shared" si="41"/>
        <v>0.5172352089</v>
      </c>
    </row>
    <row r="43" ht="14.25" customHeight="1">
      <c r="A43" s="1" t="s">
        <v>34</v>
      </c>
      <c r="B43" s="1" t="s">
        <v>14</v>
      </c>
      <c r="C43" s="3">
        <v>0.0415672</v>
      </c>
      <c r="D43" s="3">
        <v>0.032630403</v>
      </c>
      <c r="E43" s="3">
        <v>0.027401799</v>
      </c>
      <c r="F43" s="3">
        <v>0.022729816</v>
      </c>
      <c r="G43" s="3">
        <v>0.019956012</v>
      </c>
      <c r="H43" s="3">
        <v>0.015807888</v>
      </c>
      <c r="I43" s="3">
        <v>0.0078929609</v>
      </c>
      <c r="J43" s="3">
        <v>0.009017372</v>
      </c>
      <c r="K43" s="3">
        <v>0.010616581</v>
      </c>
      <c r="L43" s="3">
        <v>0.012963855</v>
      </c>
      <c r="M43" s="3">
        <v>0.0155795179999999</v>
      </c>
      <c r="N43" s="3">
        <v>0.01891538</v>
      </c>
      <c r="O43" s="3">
        <v>0.0223546669999999</v>
      </c>
      <c r="R43" s="1" t="s">
        <v>34</v>
      </c>
      <c r="S43" s="1" t="s">
        <v>14</v>
      </c>
      <c r="T43" s="1">
        <f t="shared" ref="T43:AF43" si="42">(((C43*10^9)/0.0496)/14.2)/(C120*1000)</f>
        <v>5.019347852</v>
      </c>
      <c r="U43" s="1">
        <f t="shared" si="42"/>
        <v>3.463846404</v>
      </c>
      <c r="V43" s="1">
        <f t="shared" si="42"/>
        <v>2.608119977</v>
      </c>
      <c r="W43" s="1">
        <f t="shared" si="42"/>
        <v>1.949498693</v>
      </c>
      <c r="X43" s="1">
        <f t="shared" si="42"/>
        <v>1.556883839</v>
      </c>
      <c r="Y43" s="1">
        <f t="shared" si="42"/>
        <v>1.136932499</v>
      </c>
      <c r="Z43" s="1">
        <f t="shared" si="42"/>
        <v>0.5205569668</v>
      </c>
      <c r="AA43" s="1">
        <f t="shared" si="42"/>
        <v>0.5406307676</v>
      </c>
      <c r="AB43" s="1">
        <f t="shared" si="42"/>
        <v>0.5850385849</v>
      </c>
      <c r="AC43" s="1">
        <f t="shared" si="42"/>
        <v>0.6456412954</v>
      </c>
      <c r="AD43" s="1">
        <f t="shared" si="42"/>
        <v>0.710527939</v>
      </c>
      <c r="AE43" s="1">
        <f t="shared" si="42"/>
        <v>0.7799788024</v>
      </c>
      <c r="AF43" s="1">
        <f t="shared" si="42"/>
        <v>0.8453527666</v>
      </c>
    </row>
    <row r="44" ht="14.25" customHeight="1">
      <c r="A44" s="1" t="s">
        <v>35</v>
      </c>
      <c r="B44" s="1" t="s">
        <v>14</v>
      </c>
      <c r="C44" s="3">
        <v>0.0104027</v>
      </c>
      <c r="D44" s="3">
        <v>0.008029719424</v>
      </c>
      <c r="E44" s="3">
        <v>0.0067391455488</v>
      </c>
      <c r="F44" s="3">
        <v>0.0047874794916</v>
      </c>
      <c r="G44" s="3">
        <v>0.005339244712</v>
      </c>
      <c r="H44" s="3">
        <v>0.0046394312474</v>
      </c>
      <c r="I44" s="3">
        <v>0.00307602887518</v>
      </c>
      <c r="J44" s="3">
        <v>0.003719736</v>
      </c>
      <c r="K44" s="3">
        <v>0.004557584</v>
      </c>
      <c r="L44" s="3">
        <v>0.00549423999999999</v>
      </c>
      <c r="M44" s="3">
        <v>0.006484923</v>
      </c>
      <c r="N44" s="3">
        <v>0.007527443</v>
      </c>
      <c r="O44" s="3">
        <v>0.008512329</v>
      </c>
      <c r="R44" s="1" t="s">
        <v>35</v>
      </c>
      <c r="S44" s="1" t="s">
        <v>14</v>
      </c>
      <c r="T44" s="1">
        <f t="shared" ref="T44:AF44" si="43">(((C44*10^9)/0.0496)/14.2)/(C121*1000)</f>
        <v>2.487763</v>
      </c>
      <c r="U44" s="1">
        <f t="shared" si="43"/>
        <v>1.662389812</v>
      </c>
      <c r="V44" s="1">
        <f t="shared" si="43"/>
        <v>1.225134533</v>
      </c>
      <c r="W44" s="1">
        <f t="shared" si="43"/>
        <v>0.7756826794</v>
      </c>
      <c r="X44" s="1">
        <f t="shared" si="43"/>
        <v>0.7808723366</v>
      </c>
      <c r="Y44" s="1">
        <f t="shared" si="43"/>
        <v>0.6179274919</v>
      </c>
      <c r="Z44" s="1">
        <f t="shared" si="43"/>
        <v>0.3765886617</v>
      </c>
      <c r="AA44" s="1">
        <f t="shared" si="43"/>
        <v>0.4404142291</v>
      </c>
      <c r="AB44" s="1">
        <f t="shared" si="43"/>
        <v>0.525026539</v>
      </c>
      <c r="AC44" s="1">
        <f t="shared" si="43"/>
        <v>0.6174721276</v>
      </c>
      <c r="AD44" s="1">
        <f t="shared" si="43"/>
        <v>0.7142078385</v>
      </c>
      <c r="AE44" s="1">
        <f t="shared" si="43"/>
        <v>0.8165402982</v>
      </c>
      <c r="AF44" s="1">
        <f t="shared" si="43"/>
        <v>0.91411521</v>
      </c>
    </row>
    <row r="45" ht="14.25" customHeight="1">
      <c r="A45" s="1" t="s">
        <v>36</v>
      </c>
      <c r="B45" s="1" t="s">
        <v>14</v>
      </c>
      <c r="C45" s="3">
        <v>5.07132E-4</v>
      </c>
      <c r="D45" s="3">
        <v>4.111296E-4</v>
      </c>
      <c r="E45" s="3">
        <v>3.971236E-4</v>
      </c>
      <c r="F45" s="3">
        <v>3.618714E-4</v>
      </c>
      <c r="G45" s="3">
        <v>3.1012178E-4</v>
      </c>
      <c r="H45" s="3">
        <v>2.5568836E-4</v>
      </c>
      <c r="I45" s="3">
        <v>1.5299395E-4</v>
      </c>
      <c r="J45" s="3">
        <v>1.6323194E-4</v>
      </c>
      <c r="K45" s="3">
        <v>1.81815869999999E-4</v>
      </c>
      <c r="L45" s="3">
        <v>2.10398679999999E-4</v>
      </c>
      <c r="M45" s="3">
        <v>2.4158797E-4</v>
      </c>
      <c r="N45" s="3">
        <v>2.7464122E-4</v>
      </c>
      <c r="O45" s="3">
        <v>3.0589287E-4</v>
      </c>
      <c r="R45" s="1" t="s">
        <v>36</v>
      </c>
      <c r="S45" s="1" t="s">
        <v>14</v>
      </c>
      <c r="T45" s="1">
        <f t="shared" ref="T45:AF45" si="44">(((C45*10^9)/0.0496)/14.2)/(C122*1000)</f>
        <v>0.7017842767</v>
      </c>
      <c r="U45" s="1">
        <f t="shared" si="44"/>
        <v>0.5197912549</v>
      </c>
      <c r="V45" s="1">
        <f t="shared" si="44"/>
        <v>0.4714694394</v>
      </c>
      <c r="W45" s="1">
        <f t="shared" si="44"/>
        <v>0.4096117727</v>
      </c>
      <c r="X45" s="1">
        <f t="shared" si="44"/>
        <v>0.3341557949</v>
      </c>
      <c r="Y45" s="1">
        <f t="shared" si="44"/>
        <v>0.2626759574</v>
      </c>
      <c r="Z45" s="1">
        <f t="shared" si="44"/>
        <v>0.1502851905</v>
      </c>
      <c r="AA45" s="1">
        <f t="shared" si="44"/>
        <v>0.1511292437</v>
      </c>
      <c r="AB45" s="1">
        <f t="shared" si="44"/>
        <v>0.1603636866</v>
      </c>
      <c r="AC45" s="1">
        <f t="shared" si="44"/>
        <v>0.1788639069</v>
      </c>
      <c r="AD45" s="1">
        <f t="shared" si="44"/>
        <v>0.1995815395</v>
      </c>
      <c r="AE45" s="1">
        <f t="shared" si="44"/>
        <v>0.2216527257</v>
      </c>
      <c r="AF45" s="1">
        <f t="shared" si="44"/>
        <v>0.2425077219</v>
      </c>
    </row>
    <row r="46" ht="14.25" customHeight="1">
      <c r="A46" s="1" t="s">
        <v>37</v>
      </c>
      <c r="B46" s="1" t="s">
        <v>14</v>
      </c>
      <c r="C46" s="3">
        <v>1.1511E-4</v>
      </c>
      <c r="D46" s="3">
        <v>8.88523E-5</v>
      </c>
      <c r="E46" s="3">
        <v>7.45716E-5</v>
      </c>
      <c r="F46" s="3">
        <v>5.798373E-5</v>
      </c>
      <c r="G46" s="3">
        <v>6.3052992E-5</v>
      </c>
      <c r="H46" s="3">
        <v>8.3285315E-5</v>
      </c>
      <c r="I46" s="3">
        <v>9.7679365E-5</v>
      </c>
      <c r="J46" s="3">
        <v>1.32296115E-4</v>
      </c>
      <c r="K46" s="3">
        <v>1.651530579E-4</v>
      </c>
      <c r="L46" s="3">
        <v>1.9976144E-4</v>
      </c>
      <c r="M46" s="3">
        <v>2.2635205E-4</v>
      </c>
      <c r="N46" s="3">
        <v>2.5352028E-4</v>
      </c>
      <c r="O46" s="3">
        <v>2.7724535E-4</v>
      </c>
      <c r="R46" s="1" t="s">
        <v>37</v>
      </c>
      <c r="S46" s="1" t="s">
        <v>14</v>
      </c>
      <c r="T46" s="1">
        <f t="shared" ref="T46:AF46" si="45">(((C46*10^9)/0.0496)/14.2)/(C123*1000)</f>
        <v>0.8930832483</v>
      </c>
      <c r="U46" s="1">
        <f t="shared" si="45"/>
        <v>0.4395585749</v>
      </c>
      <c r="V46" s="1">
        <f t="shared" si="45"/>
        <v>0.2400849027</v>
      </c>
      <c r="W46" s="1">
        <f t="shared" si="45"/>
        <v>0.1200085015</v>
      </c>
      <c r="X46" s="1">
        <f t="shared" si="45"/>
        <v>0.08470598723</v>
      </c>
      <c r="Y46" s="1">
        <f t="shared" si="45"/>
        <v>0.08287840774</v>
      </c>
      <c r="Z46" s="1">
        <f t="shared" si="45"/>
        <v>0.07769657691</v>
      </c>
      <c r="AA46" s="1">
        <f t="shared" si="45"/>
        <v>0.08747467215</v>
      </c>
      <c r="AB46" s="1">
        <f t="shared" si="45"/>
        <v>0.09827982201</v>
      </c>
      <c r="AC46" s="1">
        <f t="shared" si="45"/>
        <v>0.1080271516</v>
      </c>
      <c r="AD46" s="1">
        <f t="shared" si="45"/>
        <v>0.1180017984</v>
      </c>
      <c r="AE46" s="1">
        <f t="shared" si="45"/>
        <v>0.128203908</v>
      </c>
      <c r="AF46" s="1">
        <f t="shared" si="45"/>
        <v>0.1368243663</v>
      </c>
    </row>
    <row r="47" ht="14.25" customHeight="1">
      <c r="A47" s="1" t="s">
        <v>38</v>
      </c>
      <c r="B47" s="1" t="s">
        <v>14</v>
      </c>
      <c r="C47" s="3">
        <v>0.00872561</v>
      </c>
      <c r="D47" s="3">
        <v>0.00784922</v>
      </c>
      <c r="E47" s="3">
        <v>0.007392626</v>
      </c>
      <c r="F47" s="3">
        <v>0.006213716</v>
      </c>
      <c r="G47" s="3">
        <v>0.00494024799999999</v>
      </c>
      <c r="H47" s="3">
        <v>0.003895428</v>
      </c>
      <c r="I47" s="3">
        <v>0.002198507</v>
      </c>
      <c r="J47" s="3">
        <v>0.002493694</v>
      </c>
      <c r="K47" s="3">
        <v>0.00307145289999999</v>
      </c>
      <c r="L47" s="3">
        <v>0.0038159214</v>
      </c>
      <c r="M47" s="3">
        <v>0.0045956144</v>
      </c>
      <c r="N47" s="3">
        <v>0.00541441399999999</v>
      </c>
      <c r="O47" s="3">
        <v>0.006195445</v>
      </c>
      <c r="R47" s="1" t="s">
        <v>38</v>
      </c>
      <c r="S47" s="1" t="s">
        <v>14</v>
      </c>
      <c r="T47" s="1">
        <f t="shared" ref="T47:AF47" si="46">(((C47*10^9)/0.0496)/14.2)/(C124*1000)</f>
        <v>0.7568392179</v>
      </c>
      <c r="U47" s="1">
        <f t="shared" si="46"/>
        <v>0.605114546</v>
      </c>
      <c r="V47" s="1">
        <f t="shared" si="46"/>
        <v>0.5135589706</v>
      </c>
      <c r="W47" s="1">
        <f t="shared" si="46"/>
        <v>0.3953595854</v>
      </c>
      <c r="X47" s="1">
        <f t="shared" si="46"/>
        <v>0.2885734042</v>
      </c>
      <c r="Y47" s="1">
        <f t="shared" si="46"/>
        <v>0.2100947166</v>
      </c>
      <c r="Z47" s="1">
        <f t="shared" si="46"/>
        <v>0.1105379979</v>
      </c>
      <c r="AA47" s="1">
        <f t="shared" si="46"/>
        <v>0.1182689293</v>
      </c>
      <c r="AB47" s="1">
        <f t="shared" si="46"/>
        <v>0.1387510783</v>
      </c>
      <c r="AC47" s="1">
        <f t="shared" si="46"/>
        <v>0.1656459118</v>
      </c>
      <c r="AD47" s="1">
        <f t="shared" si="46"/>
        <v>0.1929112624</v>
      </c>
      <c r="AE47" s="1">
        <f t="shared" si="46"/>
        <v>0.2211015246</v>
      </c>
      <c r="AF47" s="1">
        <f t="shared" si="46"/>
        <v>0.2475606472</v>
      </c>
    </row>
    <row r="48" ht="14.25" customHeight="1">
      <c r="A48" s="1" t="s">
        <v>39</v>
      </c>
      <c r="B48" s="1" t="s">
        <v>14</v>
      </c>
      <c r="C48" s="3">
        <v>1.60496E-4</v>
      </c>
      <c r="D48" s="3">
        <v>1.23885E-4</v>
      </c>
      <c r="E48" s="3">
        <v>1.03974E-4</v>
      </c>
      <c r="F48" s="3">
        <v>8.732351E-5</v>
      </c>
      <c r="G48" s="3">
        <v>1.2993578E-4</v>
      </c>
      <c r="H48" s="3">
        <v>2.1454564E-4</v>
      </c>
      <c r="I48" s="3">
        <v>2.8124216E-4</v>
      </c>
      <c r="J48" s="3">
        <v>3.5741927E-4</v>
      </c>
      <c r="K48" s="3">
        <v>4.32945427E-4</v>
      </c>
      <c r="L48" s="3">
        <v>4.9366352E-4</v>
      </c>
      <c r="M48" s="3">
        <v>5.501585E-4</v>
      </c>
      <c r="N48" s="3">
        <v>6.057163E-4</v>
      </c>
      <c r="O48" s="3">
        <v>6.583931E-4</v>
      </c>
      <c r="R48" s="1" t="s">
        <v>39</v>
      </c>
      <c r="S48" s="1" t="s">
        <v>14</v>
      </c>
      <c r="T48" s="1">
        <f t="shared" ref="T48:AF48" si="47">(((C48*10^9)/0.0496)/14.2)/(C125*1000)</f>
        <v>1.415364558</v>
      </c>
      <c r="U48" s="1">
        <f t="shared" si="47"/>
        <v>0.6662615908</v>
      </c>
      <c r="V48" s="1">
        <f t="shared" si="47"/>
        <v>0.3618216653</v>
      </c>
      <c r="W48" s="1">
        <f t="shared" si="47"/>
        <v>0.2022556622</v>
      </c>
      <c r="X48" s="1">
        <f t="shared" si="47"/>
        <v>0.2014017609</v>
      </c>
      <c r="Y48" s="1">
        <f t="shared" si="47"/>
        <v>0.2482266931</v>
      </c>
      <c r="Z48" s="1">
        <f t="shared" si="47"/>
        <v>0.269483722</v>
      </c>
      <c r="AA48" s="1">
        <f t="shared" si="47"/>
        <v>0.3024490481</v>
      </c>
      <c r="AB48" s="1">
        <f t="shared" si="47"/>
        <v>0.3268706612</v>
      </c>
      <c r="AC48" s="1">
        <f t="shared" si="47"/>
        <v>0.3490751513</v>
      </c>
      <c r="AD48" s="1">
        <f t="shared" si="47"/>
        <v>0.3723964089</v>
      </c>
      <c r="AE48" s="1">
        <f t="shared" si="47"/>
        <v>0.3987580849</v>
      </c>
      <c r="AF48" s="1">
        <f t="shared" si="47"/>
        <v>0.4239556657</v>
      </c>
    </row>
    <row r="49" ht="14.25" customHeight="1">
      <c r="A49" s="1" t="s">
        <v>40</v>
      </c>
      <c r="B49" s="1" t="s">
        <v>14</v>
      </c>
      <c r="C49" s="3">
        <v>0.00128311</v>
      </c>
      <c r="D49" s="3">
        <v>9.90415E-4</v>
      </c>
      <c r="E49" s="3">
        <v>8.31231E-4</v>
      </c>
      <c r="F49" s="3">
        <v>6.41554E-4</v>
      </c>
      <c r="G49" s="3">
        <v>4.519220012E-4</v>
      </c>
      <c r="H49" s="3">
        <v>4.250179428E-4</v>
      </c>
      <c r="I49" s="3">
        <v>2.745471073E-4</v>
      </c>
      <c r="J49" s="3">
        <v>3.535762006E-4</v>
      </c>
      <c r="K49" s="3">
        <v>4.298323939E-4</v>
      </c>
      <c r="L49" s="3">
        <v>4.9290075842E-4</v>
      </c>
      <c r="M49" s="3">
        <v>5.506914E-4</v>
      </c>
      <c r="N49" s="3">
        <v>6.106472E-4</v>
      </c>
      <c r="O49" s="3">
        <v>6.648941E-4</v>
      </c>
      <c r="R49" s="1" t="s">
        <v>40</v>
      </c>
      <c r="S49" s="1" t="s">
        <v>14</v>
      </c>
      <c r="T49" s="1">
        <f t="shared" ref="T49:AF49" si="48">(((C49*10^9)/0.0496)/14.2)/(C126*1000)</f>
        <v>2.008568196</v>
      </c>
      <c r="U49" s="1">
        <f t="shared" si="48"/>
        <v>1.366569783</v>
      </c>
      <c r="V49" s="1">
        <f t="shared" si="48"/>
        <v>1.028039549</v>
      </c>
      <c r="W49" s="1">
        <f t="shared" si="48"/>
        <v>0.7217783337</v>
      </c>
      <c r="X49" s="1">
        <f t="shared" si="48"/>
        <v>0.4686946712</v>
      </c>
      <c r="Y49" s="1">
        <f t="shared" si="48"/>
        <v>0.4071824398</v>
      </c>
      <c r="Z49" s="1">
        <f t="shared" si="48"/>
        <v>0.2521929161</v>
      </c>
      <c r="AA49" s="1">
        <f t="shared" si="48"/>
        <v>0.3137174944</v>
      </c>
      <c r="AB49" s="1">
        <f t="shared" si="48"/>
        <v>0.3686846279</v>
      </c>
      <c r="AC49" s="1">
        <f t="shared" si="48"/>
        <v>0.4118458961</v>
      </c>
      <c r="AD49" s="1">
        <f t="shared" si="48"/>
        <v>0.4554480077</v>
      </c>
      <c r="AE49" s="1">
        <f t="shared" si="48"/>
        <v>0.5023422284</v>
      </c>
      <c r="AF49" s="1">
        <f t="shared" si="48"/>
        <v>0.5472595625</v>
      </c>
    </row>
    <row r="50" ht="14.25" customHeight="1">
      <c r="A50" s="1" t="s">
        <v>41</v>
      </c>
      <c r="B50" s="1" t="s">
        <v>14</v>
      </c>
      <c r="C50" s="3">
        <v>0.0475474</v>
      </c>
      <c r="D50" s="3">
        <v>0.036805829</v>
      </c>
      <c r="E50" s="3">
        <v>0.0309233968</v>
      </c>
      <c r="F50" s="3">
        <v>0.0286547157</v>
      </c>
      <c r="G50" s="3">
        <v>0.0246626724</v>
      </c>
      <c r="H50" s="3">
        <v>0.0209451661</v>
      </c>
      <c r="I50" s="3">
        <v>0.01320170314</v>
      </c>
      <c r="J50" s="3">
        <v>0.01581115875</v>
      </c>
      <c r="K50" s="3">
        <v>0.019224112</v>
      </c>
      <c r="L50" s="3">
        <v>0.022970405</v>
      </c>
      <c r="M50" s="3">
        <v>0.026889236</v>
      </c>
      <c r="N50" s="3">
        <v>0.030997062</v>
      </c>
      <c r="O50" s="3">
        <v>0.034872513</v>
      </c>
      <c r="R50" s="1" t="s">
        <v>41</v>
      </c>
      <c r="S50" s="1" t="s">
        <v>14</v>
      </c>
      <c r="T50" s="1">
        <f t="shared" ref="T50:AF50" si="49">(((C50*10^9)/0.0496)/14.2)/(C127*1000)</f>
        <v>2.622188188</v>
      </c>
      <c r="U50" s="1">
        <f t="shared" si="49"/>
        <v>1.774018189</v>
      </c>
      <c r="V50" s="1">
        <f t="shared" si="49"/>
        <v>1.317884514</v>
      </c>
      <c r="W50" s="1">
        <f t="shared" si="49"/>
        <v>1.093897299</v>
      </c>
      <c r="X50" s="1">
        <f t="shared" si="49"/>
        <v>0.8540141607</v>
      </c>
      <c r="Y50" s="1">
        <f t="shared" si="49"/>
        <v>0.6650298333</v>
      </c>
      <c r="Z50" s="1">
        <f t="shared" si="49"/>
        <v>0.3880652178</v>
      </c>
      <c r="AA50" s="1">
        <f t="shared" si="49"/>
        <v>0.4451888989</v>
      </c>
      <c r="AB50" s="1">
        <f t="shared" si="49"/>
        <v>0.5216393561</v>
      </c>
      <c r="AC50" s="1">
        <f t="shared" si="49"/>
        <v>0.604033705</v>
      </c>
      <c r="AD50" s="1">
        <f t="shared" si="49"/>
        <v>0.6888028011</v>
      </c>
      <c r="AE50" s="1">
        <f t="shared" si="49"/>
        <v>0.7774614026</v>
      </c>
      <c r="AF50" s="1">
        <f t="shared" si="49"/>
        <v>0.8607768362</v>
      </c>
    </row>
    <row r="51" ht="14.25" customHeight="1">
      <c r="A51" s="1" t="s">
        <v>42</v>
      </c>
      <c r="B51" s="1" t="s">
        <v>14</v>
      </c>
      <c r="C51" s="3">
        <v>0.00265895</v>
      </c>
      <c r="D51" s="3">
        <v>0.002385409</v>
      </c>
      <c r="E51" s="3">
        <v>0.002011683</v>
      </c>
      <c r="F51" s="3">
        <v>0.00175379999999999</v>
      </c>
      <c r="G51" s="3">
        <v>0.001441044</v>
      </c>
      <c r="H51" s="3">
        <v>0.00112518999999999</v>
      </c>
      <c r="I51" s="3">
        <v>5.7383E-4</v>
      </c>
      <c r="J51" s="3">
        <v>5.914891E-4</v>
      </c>
      <c r="K51" s="3">
        <v>6.66350999999999E-4</v>
      </c>
      <c r="L51" s="3">
        <v>7.466663E-4</v>
      </c>
      <c r="M51" s="3">
        <v>8.365539E-4</v>
      </c>
      <c r="N51" s="3">
        <v>9.30061799999999E-4</v>
      </c>
      <c r="O51" s="3">
        <v>0.0010155223</v>
      </c>
      <c r="R51" s="1" t="s">
        <v>42</v>
      </c>
      <c r="S51" s="1" t="s">
        <v>14</v>
      </c>
      <c r="T51" s="1">
        <f t="shared" ref="T51:AF51" si="50">(((C51*10^9)/0.0496)/14.2)/(C128*1000)</f>
        <v>5.479247624</v>
      </c>
      <c r="U51" s="1">
        <f t="shared" si="50"/>
        <v>4.665049023</v>
      </c>
      <c r="V51" s="1">
        <f t="shared" si="50"/>
        <v>3.763117241</v>
      </c>
      <c r="W51" s="1">
        <f t="shared" si="50"/>
        <v>3.163991532</v>
      </c>
      <c r="X51" s="1">
        <f t="shared" si="50"/>
        <v>2.525935181</v>
      </c>
      <c r="Y51" s="1">
        <f t="shared" si="50"/>
        <v>1.92113584</v>
      </c>
      <c r="Z51" s="1">
        <f t="shared" si="50"/>
        <v>0.9359022345</v>
      </c>
      <c r="AA51" s="1">
        <f t="shared" si="50"/>
        <v>0.9238538785</v>
      </c>
      <c r="AB51" s="1">
        <f t="shared" si="50"/>
        <v>1.003427089</v>
      </c>
      <c r="AC51" s="1">
        <f t="shared" si="50"/>
        <v>1.088445004</v>
      </c>
      <c r="AD51" s="1">
        <f t="shared" si="50"/>
        <v>1.186844903</v>
      </c>
      <c r="AE51" s="1">
        <f t="shared" si="50"/>
        <v>1.291667348</v>
      </c>
      <c r="AF51" s="1">
        <f t="shared" si="50"/>
        <v>1.388889524</v>
      </c>
    </row>
    <row r="52" ht="14.25" customHeight="1">
      <c r="A52" s="1" t="s">
        <v>43</v>
      </c>
      <c r="B52" s="1" t="s">
        <v>14</v>
      </c>
      <c r="C52" s="3">
        <v>0.0152825</v>
      </c>
      <c r="D52" s="3">
        <v>0.01288284</v>
      </c>
      <c r="E52" s="3">
        <v>0.013898733</v>
      </c>
      <c r="F52" s="3">
        <v>0.012556886</v>
      </c>
      <c r="G52" s="3">
        <v>0.010562009</v>
      </c>
      <c r="H52" s="3">
        <v>0.008571163</v>
      </c>
      <c r="I52" s="3">
        <v>0.005342375</v>
      </c>
      <c r="J52" s="3">
        <v>0.005533478</v>
      </c>
      <c r="K52" s="3">
        <v>0.006099702</v>
      </c>
      <c r="L52" s="3">
        <v>0.007078745</v>
      </c>
      <c r="M52" s="3">
        <v>0.008132798</v>
      </c>
      <c r="N52" s="3">
        <v>0.009261745</v>
      </c>
      <c r="O52" s="3">
        <v>0.010357484</v>
      </c>
      <c r="R52" s="1" t="s">
        <v>43</v>
      </c>
      <c r="S52" s="1" t="s">
        <v>14</v>
      </c>
      <c r="T52" s="1">
        <f t="shared" ref="T52:AF52" si="51">(((C52*10^9)/0.0496)/14.2)/(C129*1000)</f>
        <v>2.453996127</v>
      </c>
      <c r="U52" s="1">
        <f t="shared" si="51"/>
        <v>1.756233746</v>
      </c>
      <c r="V52" s="1">
        <f t="shared" si="51"/>
        <v>1.635738451</v>
      </c>
      <c r="W52" s="1">
        <f t="shared" si="51"/>
        <v>1.299160678</v>
      </c>
      <c r="X52" s="1">
        <f t="shared" si="51"/>
        <v>0.9739583888</v>
      </c>
      <c r="Y52" s="1">
        <f t="shared" si="51"/>
        <v>0.7119115415</v>
      </c>
      <c r="Z52" s="1">
        <f t="shared" si="51"/>
        <v>0.3953998517</v>
      </c>
      <c r="AA52" s="1">
        <f t="shared" si="51"/>
        <v>0.383754114</v>
      </c>
      <c r="AB52" s="1">
        <f t="shared" si="51"/>
        <v>0.3993163477</v>
      </c>
      <c r="AC52" s="1">
        <f t="shared" si="51"/>
        <v>0.4402827806</v>
      </c>
      <c r="AD52" s="1">
        <f t="shared" si="51"/>
        <v>0.4831996167</v>
      </c>
      <c r="AE52" s="1">
        <f t="shared" si="51"/>
        <v>0.5284123232</v>
      </c>
      <c r="AF52" s="1">
        <f t="shared" si="51"/>
        <v>0.5704397231</v>
      </c>
    </row>
    <row r="53" ht="14.25" customHeight="1">
      <c r="A53" s="1" t="s">
        <v>44</v>
      </c>
      <c r="B53" s="1" t="s">
        <v>14</v>
      </c>
      <c r="C53" s="3">
        <v>0.0140461</v>
      </c>
      <c r="D53" s="3">
        <v>0.010842</v>
      </c>
      <c r="E53" s="3">
        <v>0.00909946</v>
      </c>
      <c r="F53" s="3">
        <v>0.00702306</v>
      </c>
      <c r="G53" s="3">
        <v>0.00494667</v>
      </c>
      <c r="H53" s="3">
        <v>0.0032041</v>
      </c>
      <c r="I53" s="3">
        <v>0.0</v>
      </c>
      <c r="J53" s="3">
        <v>0.0</v>
      </c>
      <c r="K53" s="3">
        <v>2.23281E-6</v>
      </c>
      <c r="L53" s="3">
        <v>1.720524E-5</v>
      </c>
      <c r="M53" s="3">
        <v>1.0645796E-4</v>
      </c>
      <c r="N53" s="3">
        <v>3.611437E-4</v>
      </c>
      <c r="O53" s="3">
        <v>8.39966585E-4</v>
      </c>
      <c r="R53" s="1" t="s">
        <v>44</v>
      </c>
      <c r="S53" s="1" t="s">
        <v>14</v>
      </c>
      <c r="T53" s="1">
        <f t="shared" ref="T53:AF53" si="52">(((C53*10^9)/0.0496)/14.2)/(C130*1000)</f>
        <v>2.513901637</v>
      </c>
      <c r="U53" s="1">
        <f t="shared" si="52"/>
        <v>1.723225244</v>
      </c>
      <c r="V53" s="1">
        <f t="shared" si="52"/>
        <v>1.300009742</v>
      </c>
      <c r="W53" s="1">
        <f t="shared" si="52"/>
        <v>0.9121299893</v>
      </c>
      <c r="X53" s="1">
        <f t="shared" si="52"/>
        <v>0.5902451857</v>
      </c>
      <c r="Y53" s="1">
        <f t="shared" si="52"/>
        <v>0.3549633728</v>
      </c>
      <c r="Z53" s="1">
        <f t="shared" si="52"/>
        <v>0</v>
      </c>
      <c r="AA53" s="1">
        <f t="shared" si="52"/>
        <v>0</v>
      </c>
      <c r="AB53" s="1">
        <f t="shared" si="52"/>
        <v>0.0002112597714</v>
      </c>
      <c r="AC53" s="1">
        <f t="shared" si="52"/>
        <v>0.001569499281</v>
      </c>
      <c r="AD53" s="1">
        <f t="shared" si="52"/>
        <v>0.009423551001</v>
      </c>
      <c r="AE53" s="1">
        <f t="shared" si="52"/>
        <v>0.03120372066</v>
      </c>
      <c r="AF53" s="1">
        <f t="shared" si="52"/>
        <v>0.07124717819</v>
      </c>
    </row>
    <row r="54" ht="14.25" customHeight="1">
      <c r="A54" s="1" t="s">
        <v>45</v>
      </c>
      <c r="B54" s="1" t="s">
        <v>14</v>
      </c>
      <c r="C54" s="3">
        <v>0.0050574</v>
      </c>
      <c r="D54" s="3">
        <v>0.00625286</v>
      </c>
      <c r="E54" s="3">
        <v>0.00531606</v>
      </c>
      <c r="F54" s="3">
        <v>0.004375813</v>
      </c>
      <c r="G54" s="3">
        <v>0.00368087499999999</v>
      </c>
      <c r="H54" s="3">
        <v>0.00281324099999999</v>
      </c>
      <c r="I54" s="3">
        <v>0.0016166047</v>
      </c>
      <c r="J54" s="3">
        <v>0.0014962454</v>
      </c>
      <c r="K54" s="3">
        <v>0.00170373049999999</v>
      </c>
      <c r="L54" s="3">
        <v>0.0019327333</v>
      </c>
      <c r="M54" s="3">
        <v>0.0021773939</v>
      </c>
      <c r="N54" s="3">
        <v>0.0024371184</v>
      </c>
      <c r="O54" s="3">
        <v>0.0026806793</v>
      </c>
      <c r="R54" s="1" t="s">
        <v>45</v>
      </c>
      <c r="S54" s="1" t="s">
        <v>14</v>
      </c>
      <c r="T54" s="1">
        <f t="shared" ref="T54:AF54" si="53">(((C54*10^9)/0.0496)/14.2)/(C131*1000)</f>
        <v>2.130092832</v>
      </c>
      <c r="U54" s="1">
        <f t="shared" si="53"/>
        <v>2.394247037</v>
      </c>
      <c r="V54" s="1">
        <f t="shared" si="53"/>
        <v>1.874761743</v>
      </c>
      <c r="W54" s="1">
        <f t="shared" si="53"/>
        <v>1.427906104</v>
      </c>
      <c r="X54" s="1">
        <f t="shared" si="53"/>
        <v>1.115742978</v>
      </c>
      <c r="Y54" s="1">
        <f t="shared" si="53"/>
        <v>0.7980550231</v>
      </c>
      <c r="Z54" s="1">
        <f t="shared" si="53"/>
        <v>0.4241342194</v>
      </c>
      <c r="AA54" s="1">
        <f t="shared" si="53"/>
        <v>0.3769229454</v>
      </c>
      <c r="AB54" s="1">
        <f t="shared" si="53"/>
        <v>0.4148746358</v>
      </c>
      <c r="AC54" s="1">
        <f t="shared" si="53"/>
        <v>0.457511446</v>
      </c>
      <c r="AD54" s="1">
        <f t="shared" si="53"/>
        <v>0.5036934195</v>
      </c>
      <c r="AE54" s="1">
        <f t="shared" si="53"/>
        <v>0.55379484</v>
      </c>
      <c r="AF54" s="1">
        <f t="shared" si="53"/>
        <v>0.6014080705</v>
      </c>
    </row>
    <row r="55" ht="14.25" customHeight="1">
      <c r="A55" s="1" t="s">
        <v>46</v>
      </c>
      <c r="B55" s="1" t="s">
        <v>14</v>
      </c>
      <c r="C55" s="3">
        <v>0.0315235</v>
      </c>
      <c r="D55" s="3">
        <v>0.02653581</v>
      </c>
      <c r="E55" s="3">
        <v>0.03260254</v>
      </c>
      <c r="F55" s="3">
        <v>0.0292953699999999</v>
      </c>
      <c r="G55" s="3">
        <v>0.02463544</v>
      </c>
      <c r="H55" s="3">
        <v>0.0199618879999999</v>
      </c>
      <c r="I55" s="3">
        <v>0.012742265</v>
      </c>
      <c r="J55" s="3">
        <v>0.012696442</v>
      </c>
      <c r="K55" s="3">
        <v>0.0134141249999999</v>
      </c>
      <c r="L55" s="3">
        <v>0.015333993</v>
      </c>
      <c r="M55" s="3">
        <v>0.0173210509999999</v>
      </c>
      <c r="N55" s="3">
        <v>0.019384608</v>
      </c>
      <c r="O55" s="3">
        <v>0.021282465</v>
      </c>
      <c r="R55" s="1" t="s">
        <v>46</v>
      </c>
      <c r="S55" s="1" t="s">
        <v>14</v>
      </c>
      <c r="T55" s="1">
        <f t="shared" ref="T55:AF55" si="54">(((C55*10^9)/0.0496)/14.2)/(C132*1000)</f>
        <v>1.894411014</v>
      </c>
      <c r="U55" s="1">
        <f t="shared" si="54"/>
        <v>1.42857417</v>
      </c>
      <c r="V55" s="1">
        <f t="shared" si="54"/>
        <v>1.593767577</v>
      </c>
      <c r="W55" s="1">
        <f t="shared" si="54"/>
        <v>1.315428058</v>
      </c>
      <c r="X55" s="1">
        <f t="shared" si="54"/>
        <v>1.025405992</v>
      </c>
      <c r="Y55" s="1">
        <f t="shared" si="54"/>
        <v>0.7762611757</v>
      </c>
      <c r="Z55" s="1">
        <f t="shared" si="54"/>
        <v>0.4621802777</v>
      </c>
      <c r="AA55" s="1">
        <f t="shared" si="54"/>
        <v>0.4459229608</v>
      </c>
      <c r="AB55" s="1">
        <f t="shared" si="54"/>
        <v>0.4587364252</v>
      </c>
      <c r="AC55" s="1">
        <f t="shared" si="54"/>
        <v>0.5119440915</v>
      </c>
      <c r="AD55" s="1">
        <f t="shared" si="54"/>
        <v>0.5671264353</v>
      </c>
      <c r="AE55" s="1">
        <f t="shared" si="54"/>
        <v>0.6256778942</v>
      </c>
      <c r="AF55" s="1">
        <f t="shared" si="54"/>
        <v>0.6806666576</v>
      </c>
    </row>
    <row r="56" ht="14.25" customHeight="1">
      <c r="A56" s="1" t="s">
        <v>47</v>
      </c>
      <c r="B56" s="1" t="s">
        <v>14</v>
      </c>
      <c r="C56" s="3">
        <v>0.0137668</v>
      </c>
      <c r="D56" s="3">
        <v>0.00537895</v>
      </c>
      <c r="E56" s="3">
        <v>0.01457249</v>
      </c>
      <c r="F56" s="3">
        <v>0.011986161</v>
      </c>
      <c r="G56" s="3">
        <v>0.009316106</v>
      </c>
      <c r="H56" s="3">
        <v>0.00661097699999999</v>
      </c>
      <c r="I56" s="3">
        <v>0.00255660269999999</v>
      </c>
      <c r="J56" s="3">
        <v>0.0020134232</v>
      </c>
      <c r="K56" s="3">
        <v>0.0016950963</v>
      </c>
      <c r="L56" s="3">
        <v>0.0021843143</v>
      </c>
      <c r="M56" s="3">
        <v>0.0027036689</v>
      </c>
      <c r="N56" s="3">
        <v>0.003255201</v>
      </c>
      <c r="O56" s="3">
        <v>0.0037900802</v>
      </c>
      <c r="R56" s="1" t="s">
        <v>47</v>
      </c>
      <c r="S56" s="1" t="s">
        <v>14</v>
      </c>
      <c r="T56" s="1">
        <f t="shared" ref="T56:AF56" si="55">(((C56*10^9)/0.0496)/14.2)/(C133*1000)</f>
        <v>1.226622465</v>
      </c>
      <c r="U56" s="1">
        <f t="shared" si="55"/>
        <v>0.370696174</v>
      </c>
      <c r="V56" s="1">
        <f t="shared" si="55"/>
        <v>0.8210378985</v>
      </c>
      <c r="W56" s="1">
        <f t="shared" si="55"/>
        <v>0.577568688</v>
      </c>
      <c r="X56" s="1">
        <f t="shared" si="55"/>
        <v>0.4002024991</v>
      </c>
      <c r="Y56" s="1">
        <f t="shared" si="55"/>
        <v>0.2634388386</v>
      </c>
      <c r="Z56" s="1">
        <f t="shared" si="55"/>
        <v>0.1019299323</v>
      </c>
      <c r="AA56" s="1">
        <f t="shared" si="55"/>
        <v>0.081321452</v>
      </c>
      <c r="AB56" s="1">
        <f t="shared" si="55"/>
        <v>0.0697167628</v>
      </c>
      <c r="AC56" s="1">
        <f t="shared" si="55"/>
        <v>0.09134151987</v>
      </c>
      <c r="AD56" s="1">
        <f t="shared" si="55"/>
        <v>0.1154272236</v>
      </c>
      <c r="AE56" s="1">
        <f t="shared" si="55"/>
        <v>0.1426902043</v>
      </c>
      <c r="AF56" s="1">
        <f t="shared" si="55"/>
        <v>0.1715618124</v>
      </c>
    </row>
    <row r="57" ht="14.25" customHeight="1">
      <c r="A57" s="1" t="s">
        <v>48</v>
      </c>
      <c r="B57" s="1" t="s">
        <v>14</v>
      </c>
      <c r="C57" s="3">
        <v>0.0</v>
      </c>
      <c r="D57" s="3">
        <v>1.523E-6</v>
      </c>
      <c r="E57" s="3">
        <v>1.804589E-6</v>
      </c>
      <c r="F57" s="3">
        <v>2.533477E-6</v>
      </c>
      <c r="G57" s="3">
        <v>2.74526099999999E-6</v>
      </c>
      <c r="H57" s="3">
        <v>2.68263199999999E-6</v>
      </c>
      <c r="I57" s="3">
        <v>2.77952799999999E-6</v>
      </c>
      <c r="J57" s="3">
        <v>2.98166029999999E-6</v>
      </c>
      <c r="K57" s="3">
        <v>3.416729E-6</v>
      </c>
      <c r="L57" s="3">
        <v>4.0421719E-6</v>
      </c>
      <c r="M57" s="3">
        <v>4.688304E-6</v>
      </c>
      <c r="N57" s="3">
        <v>5.37531E-6</v>
      </c>
      <c r="O57" s="3">
        <v>5.97713E-6</v>
      </c>
      <c r="R57" s="1" t="s">
        <v>48</v>
      </c>
      <c r="S57" s="1" t="s">
        <v>14</v>
      </c>
      <c r="T57" s="1">
        <f t="shared" ref="T57:AF57" si="56">(((C57*10^9)/0.0496)/14.2)/(C134*1000)</f>
        <v>0</v>
      </c>
      <c r="U57" s="1">
        <f t="shared" si="56"/>
        <v>0.0288315917</v>
      </c>
      <c r="V57" s="1">
        <f t="shared" si="56"/>
        <v>0.02911559118</v>
      </c>
      <c r="W57" s="1">
        <f t="shared" si="56"/>
        <v>0.03561439501</v>
      </c>
      <c r="X57" s="1">
        <f t="shared" si="56"/>
        <v>0.03389345011</v>
      </c>
      <c r="Y57" s="1">
        <f t="shared" si="56"/>
        <v>0.02915668731</v>
      </c>
      <c r="Z57" s="1">
        <f t="shared" si="56"/>
        <v>0.02615588126</v>
      </c>
      <c r="AA57" s="1">
        <f t="shared" si="56"/>
        <v>0.0251239683</v>
      </c>
      <c r="AB57" s="1">
        <f t="shared" si="56"/>
        <v>0.02660763049</v>
      </c>
      <c r="AC57" s="1">
        <f t="shared" si="56"/>
        <v>0.02928118756</v>
      </c>
      <c r="AD57" s="1">
        <f t="shared" si="56"/>
        <v>0.03251195197</v>
      </c>
      <c r="AE57" s="1">
        <f t="shared" si="56"/>
        <v>0.03583058437</v>
      </c>
      <c r="AF57" s="1">
        <f t="shared" si="56"/>
        <v>0.03918902808</v>
      </c>
    </row>
    <row r="58" ht="14.25" customHeight="1">
      <c r="A58" s="1" t="s">
        <v>49</v>
      </c>
      <c r="B58" s="1" t="s">
        <v>14</v>
      </c>
      <c r="C58" s="3">
        <v>1.16858E-5</v>
      </c>
      <c r="D58" s="3">
        <v>9.02968277E-6</v>
      </c>
      <c r="E58" s="3">
        <v>8.38829329E-6</v>
      </c>
      <c r="F58" s="3">
        <v>7.43195078E-6</v>
      </c>
      <c r="G58" s="3">
        <v>7.29992438E-6</v>
      </c>
      <c r="H58" s="3">
        <v>6.91310198E-6</v>
      </c>
      <c r="I58" s="3">
        <v>5.03999748E-6</v>
      </c>
      <c r="J58" s="3">
        <v>5.741148E-6</v>
      </c>
      <c r="K58" s="3">
        <v>6.587719E-6</v>
      </c>
      <c r="L58" s="3">
        <v>7.679172E-6</v>
      </c>
      <c r="M58" s="3">
        <v>8.825734E-6</v>
      </c>
      <c r="N58" s="3">
        <v>1.0033342E-5</v>
      </c>
      <c r="O58" s="3">
        <v>1.1083487E-5</v>
      </c>
      <c r="R58" s="1" t="s">
        <v>49</v>
      </c>
      <c r="S58" s="1" t="s">
        <v>14</v>
      </c>
      <c r="T58" s="1">
        <f t="shared" ref="T58:AF58" si="57">(((C58*10^9)/0.0496)/14.2)/(C135*1000)</f>
        <v>0.3318321218</v>
      </c>
      <c r="U58" s="1">
        <f t="shared" si="57"/>
        <v>0.2136737745</v>
      </c>
      <c r="V58" s="1">
        <f t="shared" si="57"/>
        <v>0.1804511485</v>
      </c>
      <c r="W58" s="1">
        <f t="shared" si="57"/>
        <v>0.1522648185</v>
      </c>
      <c r="X58" s="1">
        <f t="shared" si="57"/>
        <v>0.1474534021</v>
      </c>
      <c r="Y58" s="1">
        <f t="shared" si="57"/>
        <v>0.1358141087</v>
      </c>
      <c r="Z58" s="1">
        <f t="shared" si="57"/>
        <v>0.09637487781</v>
      </c>
      <c r="AA58" s="1">
        <f t="shared" si="57"/>
        <v>0.1055598889</v>
      </c>
      <c r="AB58" s="1">
        <f t="shared" si="57"/>
        <v>0.1180972714</v>
      </c>
      <c r="AC58" s="1">
        <f t="shared" si="57"/>
        <v>0.1343059729</v>
      </c>
      <c r="AD58" s="1">
        <f t="shared" si="57"/>
        <v>0.1524991862</v>
      </c>
      <c r="AE58" s="1">
        <f t="shared" si="57"/>
        <v>0.1713014797</v>
      </c>
      <c r="AF58" s="1" t="str">
        <f t="shared" si="57"/>
        <v>#DIV/0!</v>
      </c>
    </row>
    <row r="59" ht="14.25" customHeight="1">
      <c r="A59" s="1" t="s">
        <v>50</v>
      </c>
      <c r="B59" s="1" t="s">
        <v>14</v>
      </c>
      <c r="C59" s="3">
        <v>0.0819595</v>
      </c>
      <c r="D59" s="3">
        <v>0.0633246138</v>
      </c>
      <c r="E59" s="3">
        <v>0.0566959149999999</v>
      </c>
      <c r="F59" s="3">
        <v>0.0460740639</v>
      </c>
      <c r="G59" s="3">
        <v>0.0347332069</v>
      </c>
      <c r="H59" s="3">
        <v>0.0248752399</v>
      </c>
      <c r="I59" s="3">
        <v>0.00723623376</v>
      </c>
      <c r="J59" s="3">
        <v>0.008521747</v>
      </c>
      <c r="K59" s="3">
        <v>0.010878174</v>
      </c>
      <c r="L59" s="3">
        <v>0.014324294</v>
      </c>
      <c r="M59" s="3">
        <v>0.017962126</v>
      </c>
      <c r="N59" s="3">
        <v>0.021917084</v>
      </c>
      <c r="O59" s="3">
        <v>0.0256732439999999</v>
      </c>
      <c r="R59" s="1" t="s">
        <v>50</v>
      </c>
      <c r="S59" s="1" t="s">
        <v>14</v>
      </c>
      <c r="T59" s="1">
        <f t="shared" ref="T59:AF59" si="58">(((C59*10^9)/0.0496)/14.2)/(C136*1000)</f>
        <v>2.289874657</v>
      </c>
      <c r="U59" s="1">
        <f t="shared" si="58"/>
        <v>1.624604601</v>
      </c>
      <c r="V59" s="1">
        <f t="shared" si="58"/>
        <v>1.348139013</v>
      </c>
      <c r="W59" s="1">
        <f t="shared" si="58"/>
        <v>1.025190471</v>
      </c>
      <c r="X59" s="1">
        <f t="shared" si="58"/>
        <v>0.7287394294</v>
      </c>
      <c r="Y59" s="1">
        <f t="shared" si="58"/>
        <v>0.4958665343</v>
      </c>
      <c r="Z59" s="1">
        <f t="shared" si="58"/>
        <v>0.1362668539</v>
      </c>
      <c r="AA59" s="1">
        <f t="shared" si="58"/>
        <v>0.1528783923</v>
      </c>
      <c r="AB59" s="1">
        <f t="shared" si="58"/>
        <v>0.1872144652</v>
      </c>
      <c r="AC59" s="1">
        <f t="shared" si="58"/>
        <v>0.2379192306</v>
      </c>
      <c r="AD59" s="1">
        <f t="shared" si="58"/>
        <v>0.289564898</v>
      </c>
      <c r="AE59" s="1">
        <f t="shared" si="58"/>
        <v>0.3448796505</v>
      </c>
      <c r="AF59" s="1">
        <f t="shared" si="58"/>
        <v>0.3965438899</v>
      </c>
    </row>
    <row r="60" ht="14.25" customHeight="1">
      <c r="A60" s="1" t="s">
        <v>51</v>
      </c>
      <c r="B60" s="1" t="s">
        <v>14</v>
      </c>
      <c r="C60" s="3">
        <v>0.00137223</v>
      </c>
      <c r="D60" s="3">
        <v>0.001219859</v>
      </c>
      <c r="E60" s="3">
        <v>0.001288245</v>
      </c>
      <c r="F60" s="3">
        <v>0.0011136651</v>
      </c>
      <c r="G60" s="3">
        <v>8.939639E-4</v>
      </c>
      <c r="H60" s="3">
        <v>6.804904E-4</v>
      </c>
      <c r="I60" s="3">
        <v>3.515539E-4</v>
      </c>
      <c r="J60" s="3">
        <v>3.368088E-4</v>
      </c>
      <c r="K60" s="3">
        <v>3.565404E-4</v>
      </c>
      <c r="L60" s="3">
        <v>4.0607785E-4</v>
      </c>
      <c r="M60" s="3">
        <v>4.60578689999999E-4</v>
      </c>
      <c r="N60" s="3">
        <v>5.181278E-4</v>
      </c>
      <c r="O60" s="3">
        <v>5.721644E-4</v>
      </c>
      <c r="R60" s="1" t="s">
        <v>51</v>
      </c>
      <c r="S60" s="1" t="s">
        <v>14</v>
      </c>
      <c r="T60" s="1">
        <f t="shared" ref="T60:AF60" si="59">(((C60*10^9)/0.0496)/14.2)/(C137*1000)</f>
        <v>3.274461761</v>
      </c>
      <c r="U60" s="1">
        <f t="shared" si="59"/>
        <v>2.723218559</v>
      </c>
      <c r="V60" s="1">
        <f t="shared" si="59"/>
        <v>2.705713127</v>
      </c>
      <c r="W60" s="1">
        <f t="shared" si="59"/>
        <v>2.211457244</v>
      </c>
      <c r="X60" s="1">
        <f t="shared" si="59"/>
        <v>1.687843284</v>
      </c>
      <c r="Y60" s="1">
        <f t="shared" si="59"/>
        <v>1.232355249</v>
      </c>
      <c r="Z60" s="1">
        <f t="shared" si="59"/>
        <v>0.5970846172</v>
      </c>
      <c r="AA60" s="1">
        <f t="shared" si="59"/>
        <v>0.5411337516</v>
      </c>
      <c r="AB60" s="1">
        <f t="shared" si="59"/>
        <v>0.5458384718</v>
      </c>
      <c r="AC60" s="1">
        <f t="shared" si="59"/>
        <v>0.6009297746</v>
      </c>
      <c r="AD60" s="1">
        <f t="shared" si="59"/>
        <v>0.6634934649</v>
      </c>
      <c r="AE60" s="1">
        <f t="shared" si="59"/>
        <v>0.7311533242</v>
      </c>
      <c r="AF60" s="1">
        <f t="shared" si="59"/>
        <v>0.7953283333</v>
      </c>
    </row>
    <row r="61" ht="14.25" customHeight="1">
      <c r="A61" s="1" t="s">
        <v>52</v>
      </c>
      <c r="B61" s="1" t="s">
        <v>14</v>
      </c>
      <c r="C61" s="3">
        <v>8.01617E-4</v>
      </c>
      <c r="D61" s="3">
        <v>7.144472E-4</v>
      </c>
      <c r="E61" s="3">
        <v>7.358148E-4</v>
      </c>
      <c r="F61" s="3">
        <v>6.203643E-4</v>
      </c>
      <c r="G61" s="3">
        <v>4.847983E-4</v>
      </c>
      <c r="H61" s="3">
        <v>3.530373E-4</v>
      </c>
      <c r="I61" s="3">
        <v>1.490752E-4</v>
      </c>
      <c r="J61" s="3">
        <v>1.24495239999999E-4</v>
      </c>
      <c r="K61" s="3">
        <v>1.1490225E-4</v>
      </c>
      <c r="L61" s="3">
        <v>1.20903389999999E-4</v>
      </c>
      <c r="M61" s="3">
        <v>1.2789565E-4</v>
      </c>
      <c r="N61" s="3">
        <v>1.3508191E-4</v>
      </c>
      <c r="O61" s="3">
        <v>1.4015307E-4</v>
      </c>
      <c r="R61" s="1" t="s">
        <v>52</v>
      </c>
      <c r="S61" s="1" t="s">
        <v>14</v>
      </c>
      <c r="T61" s="1">
        <f t="shared" ref="T61:AF61" si="60">(((C61*10^9)/0.0496)/14.2)/(C138*1000)</f>
        <v>1.364680064</v>
      </c>
      <c r="U61" s="1">
        <f t="shared" si="60"/>
        <v>1.102585534</v>
      </c>
      <c r="V61" s="1">
        <f t="shared" si="60"/>
        <v>1.035398024</v>
      </c>
      <c r="W61" s="1">
        <f t="shared" si="60"/>
        <v>0.8007262969</v>
      </c>
      <c r="X61" s="1">
        <f t="shared" si="60"/>
        <v>0.578421072</v>
      </c>
      <c r="Y61" s="1">
        <f t="shared" si="60"/>
        <v>0.4003239347</v>
      </c>
      <c r="Z61" s="1">
        <f t="shared" si="60"/>
        <v>0.1602209904</v>
      </c>
      <c r="AA61" s="1">
        <f t="shared" si="60"/>
        <v>0.133545497</v>
      </c>
      <c r="AB61" s="1">
        <f t="shared" si="60"/>
        <v>0.123643747</v>
      </c>
      <c r="AC61" s="1">
        <f t="shared" si="60"/>
        <v>0.1323901704</v>
      </c>
      <c r="AD61" s="1">
        <f t="shared" si="60"/>
        <v>0.1438088363</v>
      </c>
      <c r="AE61" s="1">
        <f t="shared" si="60"/>
        <v>0.1570470227</v>
      </c>
      <c r="AF61" s="1">
        <f t="shared" si="60"/>
        <v>0.1696786315</v>
      </c>
    </row>
    <row r="62" ht="14.25" customHeight="1">
      <c r="A62" s="1" t="s">
        <v>53</v>
      </c>
      <c r="B62" s="1" t="s">
        <v>14</v>
      </c>
      <c r="C62" s="3">
        <v>0.0325447</v>
      </c>
      <c r="D62" s="3">
        <v>0.0252414059999999</v>
      </c>
      <c r="E62" s="3">
        <v>0.021188022</v>
      </c>
      <c r="F62" s="3">
        <v>0.0192677505</v>
      </c>
      <c r="G62" s="3">
        <v>0.0169476228</v>
      </c>
      <c r="H62" s="3">
        <v>0.0139706151</v>
      </c>
      <c r="I62" s="3">
        <v>0.0080679939</v>
      </c>
      <c r="J62" s="3">
        <v>0.00902514</v>
      </c>
      <c r="K62" s="3">
        <v>0.010341233</v>
      </c>
      <c r="L62" s="3">
        <v>0.01182703</v>
      </c>
      <c r="M62" s="3">
        <v>0.013438734</v>
      </c>
      <c r="N62" s="3">
        <v>0.01513663</v>
      </c>
      <c r="O62" s="3">
        <v>0.016743761</v>
      </c>
      <c r="R62" s="1" t="s">
        <v>53</v>
      </c>
      <c r="S62" s="1" t="s">
        <v>14</v>
      </c>
      <c r="T62" s="1">
        <f t="shared" ref="T62:AF62" si="61">(((C62*10^9)/0.0496)/14.2)/(C139*1000)</f>
        <v>2.302419839</v>
      </c>
      <c r="U62" s="1">
        <f t="shared" si="61"/>
        <v>1.611854812</v>
      </c>
      <c r="V62" s="1">
        <f t="shared" si="61"/>
        <v>1.237065058</v>
      </c>
      <c r="W62" s="1">
        <f t="shared" si="61"/>
        <v>1.040488704</v>
      </c>
      <c r="X62" s="1">
        <f t="shared" si="61"/>
        <v>0.8567701759</v>
      </c>
      <c r="Y62" s="1">
        <f t="shared" si="61"/>
        <v>0.6671916427</v>
      </c>
      <c r="Z62" s="1">
        <f t="shared" si="61"/>
        <v>0.3639330715</v>
      </c>
      <c r="AA62" s="1">
        <f t="shared" si="61"/>
        <v>0.3878075728</v>
      </c>
      <c r="AB62" s="1">
        <f t="shared" si="61"/>
        <v>0.4262726424</v>
      </c>
      <c r="AC62" s="1">
        <f t="shared" si="61"/>
        <v>0.4703531751</v>
      </c>
      <c r="AD62" s="1">
        <f t="shared" si="61"/>
        <v>0.5184901595</v>
      </c>
      <c r="AE62" s="1">
        <f t="shared" si="61"/>
        <v>0.5697450781</v>
      </c>
      <c r="AF62" s="1">
        <f t="shared" si="61"/>
        <v>0.6182740286</v>
      </c>
    </row>
    <row r="63" ht="14.25" customHeight="1">
      <c r="A63" s="1" t="s">
        <v>54</v>
      </c>
      <c r="B63" s="1" t="s">
        <v>14</v>
      </c>
      <c r="C63" s="3">
        <v>3.97348E-4</v>
      </c>
      <c r="D63" s="3">
        <v>3.961674E-4</v>
      </c>
      <c r="E63" s="3">
        <v>4.347961E-4</v>
      </c>
      <c r="F63" s="3">
        <v>3.711573E-4</v>
      </c>
      <c r="G63" s="3">
        <v>2.91815E-4</v>
      </c>
      <c r="H63" s="3">
        <v>2.117631E-4</v>
      </c>
      <c r="I63" s="3">
        <v>9.94207E-5</v>
      </c>
      <c r="J63" s="3">
        <v>7.977536E-5</v>
      </c>
      <c r="K63" s="3">
        <v>7.4714E-5</v>
      </c>
      <c r="L63" s="3">
        <v>8.099865E-5</v>
      </c>
      <c r="M63" s="3">
        <v>8.79338E-5</v>
      </c>
      <c r="N63" s="3">
        <v>9.50249999999999E-5</v>
      </c>
      <c r="O63" s="3">
        <v>1.0108846E-4</v>
      </c>
      <c r="R63" s="1" t="s">
        <v>54</v>
      </c>
      <c r="S63" s="1" t="s">
        <v>14</v>
      </c>
      <c r="T63" s="1">
        <f t="shared" ref="T63:AF63" si="62">(((C63*10^9)/0.0496)/14.2)/(C140*1000)</f>
        <v>0.9862907992</v>
      </c>
      <c r="U63" s="1">
        <f t="shared" si="62"/>
        <v>0.9116403734</v>
      </c>
      <c r="V63" s="1">
        <f t="shared" si="62"/>
        <v>0.9311123577</v>
      </c>
      <c r="W63" s="1">
        <f t="shared" si="62"/>
        <v>0.7432616938</v>
      </c>
      <c r="X63" s="1">
        <f t="shared" si="62"/>
        <v>0.5502279086</v>
      </c>
      <c r="Y63" s="1">
        <f t="shared" si="62"/>
        <v>0.3851920468</v>
      </c>
      <c r="Z63" s="1">
        <f t="shared" si="62"/>
        <v>0.1741645134</v>
      </c>
      <c r="AA63" s="1">
        <f t="shared" si="62"/>
        <v>0.1385276996</v>
      </c>
      <c r="AB63" s="1">
        <f t="shared" si="62"/>
        <v>0.1292711204</v>
      </c>
      <c r="AC63" s="1">
        <f t="shared" si="62"/>
        <v>0.1415490113</v>
      </c>
      <c r="AD63" s="1">
        <f t="shared" si="62"/>
        <v>0.1563703518</v>
      </c>
      <c r="AE63" s="1">
        <f t="shared" si="62"/>
        <v>0.1732130376</v>
      </c>
      <c r="AF63" s="1">
        <f t="shared" si="62"/>
        <v>0.1899380707</v>
      </c>
    </row>
    <row r="64" ht="14.25" customHeight="1">
      <c r="A64" s="1" t="s">
        <v>55</v>
      </c>
      <c r="B64" s="1" t="s">
        <v>14</v>
      </c>
      <c r="C64" s="3">
        <v>8.09661E-4</v>
      </c>
      <c r="D64" s="3">
        <v>7.68081E-4</v>
      </c>
      <c r="E64" s="3">
        <v>8.54351E-4</v>
      </c>
      <c r="F64" s="3">
        <v>7.59321E-4</v>
      </c>
      <c r="G64" s="3">
        <v>6.386663E-4</v>
      </c>
      <c r="H64" s="3">
        <v>5.250967E-4</v>
      </c>
      <c r="I64" s="3">
        <v>3.30850399999999E-4</v>
      </c>
      <c r="J64" s="3">
        <v>3.217737E-4</v>
      </c>
      <c r="K64" s="3">
        <v>3.2862242E-4</v>
      </c>
      <c r="L64" s="3">
        <v>3.5276654E-4</v>
      </c>
      <c r="M64" s="3">
        <v>3.799065E-4</v>
      </c>
      <c r="N64" s="3">
        <v>4.10041899999999E-4</v>
      </c>
      <c r="O64" s="3">
        <v>4.379484E-4</v>
      </c>
      <c r="R64" s="1" t="s">
        <v>55</v>
      </c>
      <c r="S64" s="1" t="s">
        <v>14</v>
      </c>
      <c r="T64" s="1">
        <f t="shared" ref="T64:AF64" si="63">(((C64*10^9)/0.0496)/14.2)/(C141*1000)</f>
        <v>2.013247143</v>
      </c>
      <c r="U64" s="1">
        <f t="shared" si="63"/>
        <v>1.459877447</v>
      </c>
      <c r="V64" s="1">
        <f t="shared" si="63"/>
        <v>1.289070553</v>
      </c>
      <c r="W64" s="1">
        <f t="shared" si="63"/>
        <v>0.9374703692</v>
      </c>
      <c r="X64" s="1">
        <f t="shared" si="63"/>
        <v>0.6633388985</v>
      </c>
      <c r="Y64" s="1">
        <f t="shared" si="63"/>
        <v>0.4715604768</v>
      </c>
      <c r="Z64" s="1">
        <f t="shared" si="63"/>
        <v>0.2777646316</v>
      </c>
      <c r="AA64" s="1">
        <f t="shared" si="63"/>
        <v>0.2612703033</v>
      </c>
      <c r="AB64" s="1">
        <f t="shared" si="63"/>
        <v>0.2632838614</v>
      </c>
      <c r="AC64" s="1">
        <f t="shared" si="63"/>
        <v>0.2838190597</v>
      </c>
      <c r="AD64" s="1">
        <f t="shared" si="63"/>
        <v>0.3119475429</v>
      </c>
      <c r="AE64" s="1">
        <f t="shared" si="63"/>
        <v>0.343488004</v>
      </c>
      <c r="AF64" s="1">
        <f t="shared" si="63"/>
        <v>0.376640393</v>
      </c>
    </row>
    <row r="65" ht="14.25" customHeight="1">
      <c r="A65" s="1" t="s">
        <v>56</v>
      </c>
      <c r="B65" s="1" t="s">
        <v>14</v>
      </c>
      <c r="C65" s="3">
        <v>0.0205269</v>
      </c>
      <c r="D65" s="3">
        <v>0.016033196</v>
      </c>
      <c r="E65" s="3">
        <v>0.013461744</v>
      </c>
      <c r="F65" s="3">
        <v>0.012005295</v>
      </c>
      <c r="G65" s="3">
        <v>0.0103121178999999</v>
      </c>
      <c r="H65" s="3">
        <v>0.0085016504</v>
      </c>
      <c r="I65" s="3">
        <v>0.0048682475</v>
      </c>
      <c r="J65" s="3">
        <v>0.005735456</v>
      </c>
      <c r="K65" s="3">
        <v>0.006930533</v>
      </c>
      <c r="L65" s="3">
        <v>0.008228005</v>
      </c>
      <c r="M65" s="3">
        <v>0.009650567</v>
      </c>
      <c r="N65" s="3">
        <v>0.0111755449999999</v>
      </c>
      <c r="O65" s="3">
        <v>0.012648086</v>
      </c>
      <c r="R65" s="1" t="s">
        <v>56</v>
      </c>
      <c r="S65" s="1" t="s">
        <v>14</v>
      </c>
      <c r="T65" s="1">
        <f t="shared" ref="T65:AF65" si="64">(((C65*10^9)/0.0496)/14.2)/(C142*1000)</f>
        <v>4.161090949</v>
      </c>
      <c r="U65" s="1">
        <f t="shared" si="64"/>
        <v>3.00238444</v>
      </c>
      <c r="V65" s="1">
        <f t="shared" si="64"/>
        <v>2.345742229</v>
      </c>
      <c r="W65" s="1">
        <f t="shared" si="64"/>
        <v>1.960122818</v>
      </c>
      <c r="X65" s="1">
        <f t="shared" si="64"/>
        <v>1.589711144</v>
      </c>
      <c r="Y65" s="1">
        <f t="shared" si="64"/>
        <v>1.237417311</v>
      </c>
      <c r="Z65" s="1">
        <f t="shared" si="64"/>
        <v>0.6710662602</v>
      </c>
      <c r="AA65" s="1">
        <f t="shared" si="64"/>
        <v>0.7502882081</v>
      </c>
      <c r="AB65" s="1">
        <f t="shared" si="64"/>
        <v>0.8668335456</v>
      </c>
      <c r="AC65" s="1">
        <f t="shared" si="64"/>
        <v>0.9851244677</v>
      </c>
      <c r="AD65" s="1">
        <f t="shared" si="64"/>
        <v>1.112055026</v>
      </c>
      <c r="AE65" s="1">
        <f t="shared" si="64"/>
        <v>1.247652179</v>
      </c>
      <c r="AF65" s="1">
        <f t="shared" si="64"/>
        <v>1.376968208</v>
      </c>
    </row>
    <row r="66" ht="14.25" customHeight="1">
      <c r="A66" s="1" t="s">
        <v>57</v>
      </c>
      <c r="B66" s="1" t="s">
        <v>14</v>
      </c>
      <c r="C66" s="3">
        <v>0.0175886</v>
      </c>
      <c r="D66" s="3">
        <v>0.014018934</v>
      </c>
      <c r="E66" s="3">
        <v>0.013099871</v>
      </c>
      <c r="F66" s="3">
        <v>0.011396534</v>
      </c>
      <c r="G66" s="3">
        <v>0.009178339</v>
      </c>
      <c r="H66" s="3">
        <v>0.007131323</v>
      </c>
      <c r="I66" s="3">
        <v>0.0035816472</v>
      </c>
      <c r="J66" s="3">
        <v>0.003893983</v>
      </c>
      <c r="K66" s="3">
        <v>0.004479604</v>
      </c>
      <c r="L66" s="3">
        <v>0.005262429</v>
      </c>
      <c r="M66" s="3">
        <v>0.00609329</v>
      </c>
      <c r="N66" s="3">
        <v>0.006971605</v>
      </c>
      <c r="O66" s="3">
        <v>0.007807329</v>
      </c>
      <c r="R66" s="1" t="s">
        <v>57</v>
      </c>
      <c r="S66" s="1" t="s">
        <v>14</v>
      </c>
      <c r="T66" s="1">
        <f t="shared" ref="T66:AF66" si="65">(((C66*10^9)/0.0496)/14.2)/(C143*1000)</f>
        <v>2.40142857</v>
      </c>
      <c r="U66" s="1">
        <f t="shared" si="65"/>
        <v>1.738359053</v>
      </c>
      <c r="V66" s="1">
        <f t="shared" si="65"/>
        <v>1.491644644</v>
      </c>
      <c r="W66" s="1">
        <f t="shared" si="65"/>
        <v>1.203846705</v>
      </c>
      <c r="X66" s="1">
        <f t="shared" si="65"/>
        <v>0.9074853724</v>
      </c>
      <c r="Y66" s="1">
        <f t="shared" si="65"/>
        <v>0.6649450216</v>
      </c>
      <c r="Z66" s="1">
        <f t="shared" si="65"/>
        <v>0.3118315621</v>
      </c>
      <c r="AA66" s="1">
        <f t="shared" si="65"/>
        <v>0.3271524484</v>
      </c>
      <c r="AB66" s="1">
        <f t="shared" si="65"/>
        <v>0.365370264</v>
      </c>
      <c r="AC66" s="1">
        <f t="shared" si="65"/>
        <v>0.4183686092</v>
      </c>
      <c r="AD66" s="1">
        <f t="shared" si="65"/>
        <v>0.4744811149</v>
      </c>
      <c r="AE66" s="1">
        <f t="shared" si="65"/>
        <v>0.5344478752</v>
      </c>
      <c r="AF66" s="1">
        <f t="shared" si="65"/>
        <v>0.5922347675</v>
      </c>
    </row>
    <row r="67" ht="14.25" customHeight="1">
      <c r="A67" s="1" t="s">
        <v>58</v>
      </c>
      <c r="B67" s="1" t="s">
        <v>14</v>
      </c>
      <c r="C67" s="3">
        <v>0.00110515</v>
      </c>
      <c r="D67" s="3">
        <v>8.658763E-4</v>
      </c>
      <c r="E67" s="3">
        <v>7.297806E-4</v>
      </c>
      <c r="F67" s="3">
        <v>5.6755282E-4</v>
      </c>
      <c r="G67" s="3">
        <v>5.2308306E-4</v>
      </c>
      <c r="H67" s="3">
        <v>4.7241188E-4</v>
      </c>
      <c r="I67" s="3">
        <v>2.97124599E-4</v>
      </c>
      <c r="J67" s="3">
        <v>3.42810616E-4</v>
      </c>
      <c r="K67" s="3">
        <v>3.94348591E-4</v>
      </c>
      <c r="L67" s="3">
        <v>4.497186E-4</v>
      </c>
      <c r="M67" s="3">
        <v>5.073814E-4</v>
      </c>
      <c r="N67" s="3">
        <v>5.694379E-4</v>
      </c>
      <c r="O67" s="3">
        <v>6.269999E-4</v>
      </c>
      <c r="R67" s="1" t="s">
        <v>58</v>
      </c>
      <c r="S67" s="1" t="s">
        <v>14</v>
      </c>
      <c r="T67" s="1">
        <f t="shared" ref="T67:AF67" si="66">(((C67*10^9)/0.0496)/14.2)/(C144*1000)</f>
        <v>1.839510097</v>
      </c>
      <c r="U67" s="1">
        <f t="shared" si="66"/>
        <v>1.267401152</v>
      </c>
      <c r="V67" s="1">
        <f t="shared" si="66"/>
        <v>0.9436695752</v>
      </c>
      <c r="W67" s="1">
        <f t="shared" si="66"/>
        <v>0.6493285275</v>
      </c>
      <c r="X67" s="1">
        <f t="shared" si="66"/>
        <v>0.5316235714</v>
      </c>
      <c r="Y67" s="1">
        <f t="shared" si="66"/>
        <v>0.4423466988</v>
      </c>
      <c r="Z67" s="1">
        <f t="shared" si="66"/>
        <v>0.2569967911</v>
      </c>
      <c r="AA67" s="1">
        <f t="shared" si="66"/>
        <v>0.2863867039</v>
      </c>
      <c r="AB67" s="1">
        <f t="shared" si="66"/>
        <v>0.320442604</v>
      </c>
      <c r="AC67" s="1">
        <f t="shared" si="66"/>
        <v>0.357372905</v>
      </c>
      <c r="AD67" s="1">
        <f t="shared" si="66"/>
        <v>0.3963297288</v>
      </c>
      <c r="AE67" s="1">
        <f t="shared" si="66"/>
        <v>0.4394175597</v>
      </c>
      <c r="AF67" s="1">
        <f t="shared" si="66"/>
        <v>0.4807219913</v>
      </c>
    </row>
    <row r="68" ht="14.25" customHeight="1">
      <c r="A68" s="1" t="s">
        <v>59</v>
      </c>
      <c r="B68" s="1" t="s">
        <v>14</v>
      </c>
      <c r="C68" s="3">
        <v>0.0277408</v>
      </c>
      <c r="D68" s="3">
        <v>0.02354486</v>
      </c>
      <c r="E68" s="3">
        <v>0.02615623</v>
      </c>
      <c r="F68" s="3">
        <v>0.02300087</v>
      </c>
      <c r="G68" s="3">
        <v>0.0188959</v>
      </c>
      <c r="H68" s="3">
        <v>0.0148267049999999</v>
      </c>
      <c r="I68" s="3">
        <v>0.008524525</v>
      </c>
      <c r="J68" s="3">
        <v>0.008420901</v>
      </c>
      <c r="K68" s="3">
        <v>0.008920753</v>
      </c>
      <c r="L68" s="3">
        <v>0.010321629</v>
      </c>
      <c r="M68" s="3">
        <v>0.011905476</v>
      </c>
      <c r="N68" s="3">
        <v>0.013616988</v>
      </c>
      <c r="O68" s="3">
        <v>0.015288093</v>
      </c>
      <c r="R68" s="1" t="s">
        <v>59</v>
      </c>
      <c r="S68" s="1" t="s">
        <v>14</v>
      </c>
      <c r="T68" s="1">
        <f t="shared" ref="T68:AF68" si="67">(((C68*10^9)/0.0496)/14.2)/(C145*1000)</f>
        <v>2.310338012</v>
      </c>
      <c r="U68" s="1">
        <f t="shared" si="67"/>
        <v>1.758229018</v>
      </c>
      <c r="V68" s="1">
        <f t="shared" si="67"/>
        <v>1.779096264</v>
      </c>
      <c r="W68" s="1">
        <f t="shared" si="67"/>
        <v>1.44403477</v>
      </c>
      <c r="X68" s="1">
        <f t="shared" si="67"/>
        <v>1.108985294</v>
      </c>
      <c r="Y68" s="1">
        <f t="shared" si="67"/>
        <v>0.8170421825</v>
      </c>
      <c r="Z68" s="1">
        <f t="shared" si="67"/>
        <v>0.4286214725</v>
      </c>
      <c r="AA68" s="1">
        <f t="shared" si="67"/>
        <v>0.3906511092</v>
      </c>
      <c r="AB68" s="1">
        <f t="shared" si="67"/>
        <v>0.3853982607</v>
      </c>
      <c r="AC68" s="1">
        <f t="shared" si="67"/>
        <v>0.4191356754</v>
      </c>
      <c r="AD68" s="1">
        <f t="shared" si="67"/>
        <v>0.4579120853</v>
      </c>
      <c r="AE68" s="1">
        <f t="shared" si="67"/>
        <v>0.4996362478</v>
      </c>
      <c r="AF68" s="1">
        <f t="shared" si="67"/>
        <v>0.5388755043</v>
      </c>
    </row>
    <row r="69" ht="14.25" customHeight="1">
      <c r="A69" s="1" t="s">
        <v>60</v>
      </c>
      <c r="B69" s="1" t="s">
        <v>14</v>
      </c>
      <c r="C69" s="3">
        <v>2.9201E-4</v>
      </c>
      <c r="D69" s="3">
        <v>2.25527587999999E-4</v>
      </c>
      <c r="E69" s="3">
        <v>1.89283653E-4</v>
      </c>
      <c r="F69" s="3">
        <v>1.525185654E-4</v>
      </c>
      <c r="G69" s="3">
        <v>1.55661053999999E-4</v>
      </c>
      <c r="H69" s="3">
        <v>1.498598825E-4</v>
      </c>
      <c r="I69" s="3">
        <v>1.122227452E-4</v>
      </c>
      <c r="J69" s="3">
        <v>1.3258498E-4</v>
      </c>
      <c r="K69" s="3">
        <v>1.56736556E-4</v>
      </c>
      <c r="L69" s="3">
        <v>1.8001602E-4</v>
      </c>
      <c r="M69" s="3">
        <v>2.0195199E-4</v>
      </c>
      <c r="N69" s="3">
        <v>2.2411846E-4</v>
      </c>
      <c r="O69" s="3">
        <v>2.41920509999999E-4</v>
      </c>
      <c r="R69" s="1" t="s">
        <v>60</v>
      </c>
      <c r="S69" s="1" t="s">
        <v>14</v>
      </c>
      <c r="T69" s="1">
        <f t="shared" ref="T69:AF69" si="68">(((C69*10^9)/0.0496)/14.2)/(C146*1000)</f>
        <v>2.692197909</v>
      </c>
      <c r="U69" s="1">
        <f t="shared" si="68"/>
        <v>1.429491693</v>
      </c>
      <c r="V69" s="1">
        <f t="shared" si="68"/>
        <v>0.8840350911</v>
      </c>
      <c r="W69" s="1">
        <f t="shared" si="68"/>
        <v>0.5538293067</v>
      </c>
      <c r="X69" s="1">
        <f t="shared" si="68"/>
        <v>0.4604354022</v>
      </c>
      <c r="Y69" s="1">
        <f t="shared" si="68"/>
        <v>0.3759230327</v>
      </c>
      <c r="Z69" s="1">
        <f t="shared" si="68"/>
        <v>0.2652928464</v>
      </c>
      <c r="AA69" s="1">
        <f t="shared" si="68"/>
        <v>0.3035726035</v>
      </c>
      <c r="AB69" s="1">
        <f t="shared" si="68"/>
        <v>0.3494927297</v>
      </c>
      <c r="AC69" s="1">
        <f t="shared" si="68"/>
        <v>0.3958928087</v>
      </c>
      <c r="AD69" s="1">
        <f t="shared" si="68"/>
        <v>0.447461437</v>
      </c>
      <c r="AE69" s="1">
        <f t="shared" si="68"/>
        <v>0.5022181919</v>
      </c>
      <c r="AF69" s="1">
        <f t="shared" si="68"/>
        <v>0.5511568684</v>
      </c>
    </row>
    <row r="70" ht="14.25" customHeight="1">
      <c r="A70" s="1" t="s">
        <v>61</v>
      </c>
      <c r="B70" s="1" t="s">
        <v>14</v>
      </c>
      <c r="C70" s="3">
        <v>0.0387262</v>
      </c>
      <c r="D70" s="3">
        <v>0.03140608</v>
      </c>
      <c r="E70" s="3">
        <v>0.0678434099999999</v>
      </c>
      <c r="F70" s="3">
        <v>0.036816633</v>
      </c>
      <c r="G70" s="3">
        <v>0.041745629</v>
      </c>
      <c r="H70" s="3">
        <v>0.032248945</v>
      </c>
      <c r="I70" s="3">
        <v>0.017295677</v>
      </c>
      <c r="J70" s="3">
        <v>0.01320854</v>
      </c>
      <c r="K70" s="3">
        <v>0.01028038</v>
      </c>
      <c r="L70" s="3">
        <v>0.011960349</v>
      </c>
      <c r="M70" s="3">
        <v>0.013690115</v>
      </c>
      <c r="N70" s="3">
        <v>0.01545296</v>
      </c>
      <c r="O70" s="3">
        <v>0.0169559419999999</v>
      </c>
      <c r="R70" s="1" t="s">
        <v>61</v>
      </c>
      <c r="S70" s="1" t="s">
        <v>14</v>
      </c>
      <c r="T70" s="1">
        <f t="shared" ref="T70:AF70" si="69">(((C70*10^9)/0.0496)/14.2)/(C147*1000)</f>
        <v>1.574700409</v>
      </c>
      <c r="U70" s="1">
        <f t="shared" si="69"/>
        <v>1.181021311</v>
      </c>
      <c r="V70" s="1">
        <f t="shared" si="69"/>
        <v>2.388176133</v>
      </c>
      <c r="W70" s="1">
        <f t="shared" si="69"/>
        <v>1.225071912</v>
      </c>
      <c r="X70" s="1">
        <f t="shared" si="69"/>
        <v>1.324724581</v>
      </c>
      <c r="Y70" s="1">
        <f t="shared" si="69"/>
        <v>0.9835319861</v>
      </c>
      <c r="Z70" s="1">
        <f t="shared" si="69"/>
        <v>0.504937212</v>
      </c>
      <c r="AA70" s="1">
        <f t="shared" si="69"/>
        <v>0.3788936476</v>
      </c>
      <c r="AB70" s="1">
        <f t="shared" si="69"/>
        <v>0.2912786665</v>
      </c>
      <c r="AC70" s="1">
        <f t="shared" si="69"/>
        <v>0.3342126832</v>
      </c>
      <c r="AD70" s="1">
        <f t="shared" si="69"/>
        <v>0.378703056</v>
      </c>
      <c r="AE70" s="1">
        <f t="shared" si="69"/>
        <v>0.4254460816</v>
      </c>
      <c r="AF70" s="1">
        <f t="shared" si="69"/>
        <v>0.467100159</v>
      </c>
    </row>
    <row r="71" ht="14.25" customHeight="1">
      <c r="A71" s="1" t="s">
        <v>62</v>
      </c>
      <c r="B71" s="1" t="s">
        <v>14</v>
      </c>
      <c r="C71" s="3">
        <v>0.00194505</v>
      </c>
      <c r="D71" s="3">
        <v>0.00178836</v>
      </c>
      <c r="E71" s="3">
        <v>0.002166587</v>
      </c>
      <c r="F71" s="3">
        <v>0.002280322</v>
      </c>
      <c r="G71" s="3">
        <v>0.00230201</v>
      </c>
      <c r="H71" s="3">
        <v>0.0023174486</v>
      </c>
      <c r="I71" s="3">
        <v>0.0020737722</v>
      </c>
      <c r="J71" s="3">
        <v>0.0021493878</v>
      </c>
      <c r="K71" s="3">
        <v>0.0022238699</v>
      </c>
      <c r="L71" s="3">
        <v>0.0023382761</v>
      </c>
      <c r="M71" s="3">
        <v>0.0024597087</v>
      </c>
      <c r="N71" s="3">
        <v>0.0025909543</v>
      </c>
      <c r="O71" s="3">
        <v>0.0026934164</v>
      </c>
      <c r="R71" s="1" t="s">
        <v>62</v>
      </c>
      <c r="S71" s="1" t="s">
        <v>14</v>
      </c>
      <c r="T71" s="1">
        <f t="shared" ref="T71:AF71" si="70">(((C71*10^9)/0.0496)/14.2)/(C148*1000)</f>
        <v>2.873673092</v>
      </c>
      <c r="U71" s="1">
        <f t="shared" si="70"/>
        <v>2.08125405</v>
      </c>
      <c r="V71" s="1">
        <f t="shared" si="70"/>
        <v>2.043946915</v>
      </c>
      <c r="W71" s="1">
        <f t="shared" si="70"/>
        <v>1.785781635</v>
      </c>
      <c r="X71" s="1">
        <f t="shared" si="70"/>
        <v>1.5301568</v>
      </c>
      <c r="Y71" s="1">
        <f t="shared" si="70"/>
        <v>1.337534468</v>
      </c>
      <c r="Z71" s="1">
        <f t="shared" si="70"/>
        <v>1.149243092</v>
      </c>
      <c r="AA71" s="1">
        <f t="shared" si="70"/>
        <v>1.175646829</v>
      </c>
      <c r="AB71" s="1">
        <f t="shared" si="70"/>
        <v>1.215056797</v>
      </c>
      <c r="AC71" s="1">
        <f t="shared" si="70"/>
        <v>1.283372841</v>
      </c>
      <c r="AD71" s="1">
        <f t="shared" si="70"/>
        <v>1.36985302</v>
      </c>
      <c r="AE71" s="1">
        <f t="shared" si="70"/>
        <v>1.473875538</v>
      </c>
      <c r="AF71" s="1">
        <f t="shared" si="70"/>
        <v>1.591321833</v>
      </c>
    </row>
    <row r="72" ht="14.25" customHeight="1">
      <c r="A72" s="1" t="s">
        <v>63</v>
      </c>
      <c r="B72" s="1" t="s">
        <v>14</v>
      </c>
      <c r="C72" s="3">
        <v>0.0129793</v>
      </c>
      <c r="D72" s="3">
        <v>0.0100808653</v>
      </c>
      <c r="E72" s="3">
        <v>0.0094195739</v>
      </c>
      <c r="F72" s="3">
        <v>0.0080651867</v>
      </c>
      <c r="G72" s="3">
        <v>0.0068436587</v>
      </c>
      <c r="H72" s="3">
        <v>0.0056824226</v>
      </c>
      <c r="I72" s="3">
        <v>0.00319554842</v>
      </c>
      <c r="J72" s="3">
        <v>0.00365343899999999</v>
      </c>
      <c r="K72" s="3">
        <v>0.00430545309999999</v>
      </c>
      <c r="L72" s="3">
        <v>0.005137323</v>
      </c>
      <c r="M72" s="3">
        <v>0.006013852</v>
      </c>
      <c r="N72" s="3">
        <v>0.006888426</v>
      </c>
      <c r="O72" s="3">
        <v>0.007642797</v>
      </c>
      <c r="R72" s="1" t="s">
        <v>63</v>
      </c>
      <c r="S72" s="1" t="s">
        <v>14</v>
      </c>
      <c r="T72" s="1">
        <f t="shared" ref="T72:AF72" si="71">(((C72*10^9)/0.0496)/14.2)/(C149*1000)</f>
        <v>1.342082096</v>
      </c>
      <c r="U72" s="1">
        <f t="shared" si="71"/>
        <v>0.9167886928</v>
      </c>
      <c r="V72" s="1">
        <f t="shared" si="71"/>
        <v>0.763617533</v>
      </c>
      <c r="W72" s="1">
        <f t="shared" si="71"/>
        <v>0.5918148791</v>
      </c>
      <c r="X72" s="1">
        <f t="shared" si="71"/>
        <v>0.4607249612</v>
      </c>
      <c r="Y72" s="1">
        <f t="shared" si="71"/>
        <v>0.3549006184</v>
      </c>
      <c r="Z72" s="1">
        <f t="shared" si="71"/>
        <v>0.1919453142</v>
      </c>
      <c r="AA72" s="1">
        <f t="shared" si="71"/>
        <v>0.2126680424</v>
      </c>
      <c r="AB72" s="1">
        <f t="shared" si="71"/>
        <v>0.2443780663</v>
      </c>
      <c r="AC72" s="1">
        <f t="shared" si="71"/>
        <v>0.2853227121</v>
      </c>
      <c r="AD72" s="1">
        <f t="shared" si="71"/>
        <v>0.3286119807</v>
      </c>
      <c r="AE72" s="1">
        <f t="shared" si="71"/>
        <v>0.372541232</v>
      </c>
      <c r="AF72" s="1">
        <f t="shared" si="71"/>
        <v>0.4115287418</v>
      </c>
    </row>
    <row r="73" ht="14.25" customHeight="1">
      <c r="A73" s="1" t="s">
        <v>64</v>
      </c>
      <c r="B73" s="1" t="s">
        <v>14</v>
      </c>
      <c r="C73" s="3">
        <v>0.00603599</v>
      </c>
      <c r="D73" s="3">
        <v>0.004888602</v>
      </c>
      <c r="E73" s="3">
        <v>0.004272197</v>
      </c>
      <c r="F73" s="3">
        <v>0.00459729499999999</v>
      </c>
      <c r="G73" s="3">
        <v>0.004992766</v>
      </c>
      <c r="H73" s="3">
        <v>0.0053960045</v>
      </c>
      <c r="I73" s="3">
        <v>0.0052399254</v>
      </c>
      <c r="J73" s="3">
        <v>0.0060282653</v>
      </c>
      <c r="K73" s="3">
        <v>0.00679900699999999</v>
      </c>
      <c r="L73" s="3">
        <v>0.007506216</v>
      </c>
      <c r="M73" s="3">
        <v>0.008321871</v>
      </c>
      <c r="N73" s="3">
        <v>0.009200231</v>
      </c>
      <c r="O73" s="3">
        <v>0.010096042</v>
      </c>
      <c r="R73" s="1" t="s">
        <v>64</v>
      </c>
      <c r="S73" s="1" t="s">
        <v>14</v>
      </c>
      <c r="T73" s="1">
        <f t="shared" ref="T73:AF73" si="72">(((C73*10^9)/0.0496)/14.2)/(C150*1000)</f>
        <v>2.810742538</v>
      </c>
      <c r="U73" s="1">
        <f t="shared" si="72"/>
        <v>1.979715341</v>
      </c>
      <c r="V73" s="1">
        <f t="shared" si="72"/>
        <v>1.52213413</v>
      </c>
      <c r="W73" s="1">
        <f t="shared" si="72"/>
        <v>1.459262605</v>
      </c>
      <c r="X73" s="1">
        <f t="shared" si="72"/>
        <v>1.427749242</v>
      </c>
      <c r="Y73" s="1">
        <f t="shared" si="72"/>
        <v>1.406000498</v>
      </c>
      <c r="Z73" s="1">
        <f t="shared" si="72"/>
        <v>1.234379918</v>
      </c>
      <c r="AA73" s="1">
        <f t="shared" si="72"/>
        <v>1.350447294</v>
      </c>
      <c r="AB73" s="1">
        <f t="shared" si="72"/>
        <v>1.457981051</v>
      </c>
      <c r="AC73" s="1">
        <f t="shared" si="72"/>
        <v>1.551150164</v>
      </c>
      <c r="AD73" s="1">
        <f t="shared" si="72"/>
        <v>1.666159316</v>
      </c>
      <c r="AE73" s="1">
        <f t="shared" si="72"/>
        <v>1.793806737</v>
      </c>
      <c r="AF73" s="1">
        <f t="shared" si="72"/>
        <v>1.926663444</v>
      </c>
    </row>
    <row r="74" ht="14.25" customHeight="1">
      <c r="A74" s="1" t="s">
        <v>65</v>
      </c>
      <c r="B74" s="1" t="s">
        <v>14</v>
      </c>
      <c r="C74" s="3">
        <v>0.0841408</v>
      </c>
      <c r="D74" s="3">
        <v>0.0682869099999999</v>
      </c>
      <c r="E74" s="3">
        <v>0.0640821</v>
      </c>
      <c r="F74" s="3">
        <v>0.05684443</v>
      </c>
      <c r="G74" s="3">
        <v>0.04819044</v>
      </c>
      <c r="H74" s="3">
        <v>0.039483014</v>
      </c>
      <c r="I74" s="3">
        <v>0.023423414</v>
      </c>
      <c r="J74" s="3">
        <v>0.025532065</v>
      </c>
      <c r="K74" s="3">
        <v>0.0290508599999999</v>
      </c>
      <c r="L74" s="3">
        <v>0.033639694</v>
      </c>
      <c r="M74" s="3">
        <v>0.038938242</v>
      </c>
      <c r="N74" s="3">
        <v>0.04480716</v>
      </c>
      <c r="O74" s="3">
        <v>0.05071108</v>
      </c>
      <c r="R74" s="1" t="s">
        <v>65</v>
      </c>
      <c r="S74" s="1" t="s">
        <v>14</v>
      </c>
      <c r="T74" s="1">
        <f t="shared" ref="T74:AF74" si="73">(((C74*10^9)/0.0496)/14.2)/(C151*1000)</f>
        <v>2.684883247</v>
      </c>
      <c r="U74" s="1">
        <f t="shared" si="73"/>
        <v>1.949654759</v>
      </c>
      <c r="V74" s="1">
        <f t="shared" si="73"/>
        <v>1.659844088</v>
      </c>
      <c r="W74" s="1">
        <f t="shared" si="73"/>
        <v>1.358861895</v>
      </c>
      <c r="X74" s="1">
        <f t="shared" si="73"/>
        <v>1.078688775</v>
      </c>
      <c r="Y74" s="1">
        <f t="shared" si="73"/>
        <v>0.8356814245</v>
      </c>
      <c r="Z74" s="1">
        <f t="shared" si="73"/>
        <v>0.4684897865</v>
      </c>
      <c r="AA74" s="1">
        <f t="shared" si="73"/>
        <v>0.4866350332</v>
      </c>
      <c r="AB74" s="1">
        <f t="shared" si="73"/>
        <v>0.5313246268</v>
      </c>
      <c r="AC74" s="1">
        <f t="shared" si="73"/>
        <v>0.5957865818</v>
      </c>
      <c r="AD74" s="1">
        <f t="shared" si="73"/>
        <v>0.6721491601</v>
      </c>
      <c r="AE74" s="1">
        <f t="shared" si="73"/>
        <v>0.7581477358</v>
      </c>
      <c r="AF74" s="1">
        <f t="shared" si="73"/>
        <v>0.8458027283</v>
      </c>
    </row>
    <row r="75" ht="14.25" customHeight="1">
      <c r="A75" s="1" t="s">
        <v>66</v>
      </c>
      <c r="B75" s="1" t="s">
        <v>14</v>
      </c>
      <c r="C75" s="3">
        <v>0.048622</v>
      </c>
      <c r="D75" s="3">
        <v>0.037667725</v>
      </c>
      <c r="E75" s="3">
        <v>0.034214869</v>
      </c>
      <c r="F75" s="3">
        <v>0.0298515676</v>
      </c>
      <c r="G75" s="3">
        <v>0.0244095625</v>
      </c>
      <c r="H75" s="3">
        <v>0.0192572474</v>
      </c>
      <c r="I75" s="3">
        <v>0.0095033634</v>
      </c>
      <c r="J75" s="3">
        <v>0.010282578</v>
      </c>
      <c r="K75" s="3">
        <v>0.011567381</v>
      </c>
      <c r="L75" s="3">
        <v>0.0132716049999999</v>
      </c>
      <c r="M75" s="3">
        <v>0.015163943</v>
      </c>
      <c r="N75" s="3">
        <v>0.017159979</v>
      </c>
      <c r="O75" s="3">
        <v>0.019006671</v>
      </c>
      <c r="R75" s="1" t="s">
        <v>66</v>
      </c>
      <c r="S75" s="1" t="s">
        <v>14</v>
      </c>
      <c r="T75" s="1">
        <f t="shared" ref="T75:AF75" si="74">(((C75*10^9)/0.0496)/14.2)/(C152*1000)</f>
        <v>2.372871888</v>
      </c>
      <c r="U75" s="1">
        <f t="shared" si="74"/>
        <v>1.659251106</v>
      </c>
      <c r="V75" s="1">
        <f t="shared" si="74"/>
        <v>1.37694402</v>
      </c>
      <c r="W75" s="1">
        <f t="shared" si="74"/>
        <v>1.108153048</v>
      </c>
      <c r="X75" s="1">
        <f t="shared" si="74"/>
        <v>0.8438911284</v>
      </c>
      <c r="Y75" s="1">
        <f t="shared" si="74"/>
        <v>0.626268189</v>
      </c>
      <c r="Z75" s="1">
        <f t="shared" si="74"/>
        <v>0.2909590175</v>
      </c>
      <c r="AA75" s="1">
        <f t="shared" si="74"/>
        <v>0.3093641967</v>
      </c>
      <c r="AB75" s="1">
        <f t="shared" si="74"/>
        <v>0.3437872592</v>
      </c>
      <c r="AC75" s="1">
        <f t="shared" si="74"/>
        <v>0.3912751609</v>
      </c>
      <c r="AD75" s="1">
        <f t="shared" si="74"/>
        <v>0.4458589696</v>
      </c>
      <c r="AE75" s="1">
        <f t="shared" si="74"/>
        <v>0.506013572</v>
      </c>
      <c r="AF75" s="1">
        <f t="shared" si="74"/>
        <v>0.5652409383</v>
      </c>
    </row>
    <row r="76" ht="14.25" customHeight="1"/>
    <row r="77" ht="14.25" customHeight="1">
      <c r="R77" s="1" t="s">
        <v>67</v>
      </c>
    </row>
    <row r="78" ht="14.25" customHeight="1">
      <c r="A78" s="1" t="s">
        <v>2</v>
      </c>
      <c r="B78" s="1" t="s">
        <v>68</v>
      </c>
      <c r="C78" s="1">
        <v>2010.0</v>
      </c>
      <c r="D78" s="1">
        <v>2015.0</v>
      </c>
      <c r="E78" s="1">
        <v>2020.0</v>
      </c>
      <c r="F78" s="1">
        <v>2025.0</v>
      </c>
      <c r="G78" s="1">
        <v>2030.0</v>
      </c>
      <c r="H78" s="1">
        <v>2035.0</v>
      </c>
      <c r="I78" s="1">
        <v>2040.0</v>
      </c>
      <c r="J78" s="1">
        <v>2045.0</v>
      </c>
      <c r="K78" s="1">
        <v>2050.0</v>
      </c>
      <c r="L78" s="1">
        <v>2055.0</v>
      </c>
      <c r="M78" s="1">
        <v>2060.0</v>
      </c>
      <c r="N78" s="1">
        <v>2065.0</v>
      </c>
      <c r="O78" s="1">
        <v>2070.0</v>
      </c>
      <c r="R78" s="1" t="s">
        <v>2</v>
      </c>
      <c r="S78" s="1" t="s">
        <v>4</v>
      </c>
      <c r="T78" s="1">
        <v>2010.0</v>
      </c>
      <c r="U78" s="1">
        <v>2015.0</v>
      </c>
      <c r="V78" s="1">
        <v>2020.0</v>
      </c>
      <c r="W78" s="1">
        <v>2025.0</v>
      </c>
      <c r="X78" s="1">
        <v>2030.0</v>
      </c>
      <c r="Y78" s="1">
        <v>2035.0</v>
      </c>
      <c r="Z78" s="1">
        <v>2040.0</v>
      </c>
      <c r="AA78" s="1">
        <v>2045.0</v>
      </c>
      <c r="AB78" s="1">
        <v>2050.0</v>
      </c>
      <c r="AC78" s="1">
        <v>2055.0</v>
      </c>
      <c r="AD78" s="1">
        <v>2060.0</v>
      </c>
      <c r="AE78" s="1">
        <v>2065.0</v>
      </c>
      <c r="AF78" s="1">
        <v>2070.0</v>
      </c>
      <c r="AG78" s="5" t="s">
        <v>70</v>
      </c>
    </row>
    <row r="79" ht="14.25" customHeight="1">
      <c r="A79" s="1" t="s">
        <v>6</v>
      </c>
      <c r="B79" s="1" t="s">
        <v>71</v>
      </c>
      <c r="C79" s="1">
        <v>238.0</v>
      </c>
      <c r="D79" s="1">
        <v>233.403</v>
      </c>
      <c r="E79" s="1">
        <v>228.0</v>
      </c>
      <c r="F79" s="1">
        <v>222.167</v>
      </c>
      <c r="G79" s="1">
        <v>214.61</v>
      </c>
      <c r="H79" s="1">
        <v>207.748</v>
      </c>
      <c r="I79" s="1">
        <v>197.283</v>
      </c>
      <c r="J79" s="1">
        <v>194.873</v>
      </c>
      <c r="K79" s="1">
        <v>192.794</v>
      </c>
      <c r="L79" s="1">
        <v>189.318</v>
      </c>
      <c r="M79" s="1">
        <v>184.524</v>
      </c>
      <c r="N79" s="1">
        <v>177.758</v>
      </c>
      <c r="O79" s="1">
        <v>169.916</v>
      </c>
      <c r="R79" s="1" t="s">
        <v>6</v>
      </c>
      <c r="S79" s="1" t="s">
        <v>11</v>
      </c>
      <c r="T79" s="4">
        <f t="shared" ref="T79:AF79" si="75">T2*4</f>
        <v>2.639628091</v>
      </c>
      <c r="U79" s="4">
        <f t="shared" si="75"/>
        <v>2.07813448</v>
      </c>
      <c r="V79" s="4">
        <f t="shared" si="75"/>
        <v>1.814556198</v>
      </c>
      <c r="W79" s="4">
        <f t="shared" si="75"/>
        <v>1.476079977</v>
      </c>
      <c r="X79" s="4">
        <f t="shared" si="75"/>
        <v>1.302217487</v>
      </c>
      <c r="Y79" s="4">
        <f t="shared" si="75"/>
        <v>1.186046027</v>
      </c>
      <c r="Z79" s="4">
        <f t="shared" si="75"/>
        <v>0.7659734311</v>
      </c>
      <c r="AA79" s="4">
        <f t="shared" si="75"/>
        <v>0.9043986506</v>
      </c>
      <c r="AB79" s="4">
        <f t="shared" si="75"/>
        <v>0.9932294935</v>
      </c>
      <c r="AC79" s="4">
        <f t="shared" si="75"/>
        <v>1.032729649</v>
      </c>
      <c r="AD79" s="4">
        <f t="shared" si="75"/>
        <v>1.054555565</v>
      </c>
      <c r="AE79" s="4">
        <f t="shared" si="75"/>
        <v>1.081180879</v>
      </c>
      <c r="AF79" s="4">
        <f t="shared" si="75"/>
        <v>1.109203234</v>
      </c>
      <c r="AG79" s="4">
        <f t="shared" ref="AG79:AG152" si="77">AF79/V79</f>
        <v>0.6112807281</v>
      </c>
    </row>
    <row r="80" ht="14.25" customHeight="1">
      <c r="A80" s="1" t="s">
        <v>30</v>
      </c>
      <c r="B80" s="1" t="s">
        <v>71</v>
      </c>
      <c r="C80" s="1">
        <v>34967.0</v>
      </c>
      <c r="D80" s="1">
        <v>34762.0</v>
      </c>
      <c r="E80" s="1">
        <v>34169.0</v>
      </c>
      <c r="F80" s="1">
        <v>33136.0</v>
      </c>
      <c r="G80" s="1">
        <v>31739.4</v>
      </c>
      <c r="H80" s="1">
        <v>30113.2</v>
      </c>
      <c r="I80" s="1">
        <v>28480.9</v>
      </c>
      <c r="J80" s="1">
        <v>26912.8</v>
      </c>
      <c r="K80" s="1">
        <v>25746.6</v>
      </c>
      <c r="L80" s="1">
        <v>24519.6</v>
      </c>
      <c r="M80" s="1">
        <v>23734.0</v>
      </c>
      <c r="N80" s="1">
        <v>22840.3</v>
      </c>
      <c r="O80" s="1">
        <v>21853.0</v>
      </c>
      <c r="R80" s="1" t="s">
        <v>30</v>
      </c>
      <c r="S80" s="1" t="s">
        <v>11</v>
      </c>
      <c r="T80" s="4">
        <f t="shared" ref="T80:AF80" si="76">T3*4</f>
        <v>1.298905932</v>
      </c>
      <c r="U80" s="4">
        <f t="shared" si="76"/>
        <v>1.064543694</v>
      </c>
      <c r="V80" s="4">
        <f t="shared" si="76"/>
        <v>1.392836252</v>
      </c>
      <c r="W80" s="4">
        <f t="shared" si="76"/>
        <v>1.751151403</v>
      </c>
      <c r="X80" s="4">
        <f t="shared" si="76"/>
        <v>2.133953413</v>
      </c>
      <c r="Y80" s="4">
        <f t="shared" si="76"/>
        <v>2.262550123</v>
      </c>
      <c r="Z80" s="4">
        <f t="shared" si="76"/>
        <v>2.104622543</v>
      </c>
      <c r="AA80" s="4">
        <f t="shared" si="76"/>
        <v>2.106109085</v>
      </c>
      <c r="AB80" s="4">
        <f t="shared" si="76"/>
        <v>2.062721026</v>
      </c>
      <c r="AC80" s="4">
        <f t="shared" si="76"/>
        <v>2.080768</v>
      </c>
      <c r="AD80" s="4">
        <f t="shared" si="76"/>
        <v>2.112385562</v>
      </c>
      <c r="AE80" s="4">
        <f t="shared" si="76"/>
        <v>2.168869525</v>
      </c>
      <c r="AF80" s="4">
        <f t="shared" si="76"/>
        <v>2.235010552</v>
      </c>
      <c r="AG80" s="4">
        <f t="shared" si="77"/>
        <v>1.604647028</v>
      </c>
    </row>
    <row r="81" ht="14.25" customHeight="1">
      <c r="A81" s="1" t="s">
        <v>32</v>
      </c>
      <c r="B81" s="1" t="s">
        <v>71</v>
      </c>
      <c r="C81" s="1">
        <v>1067.0</v>
      </c>
      <c r="D81" s="1">
        <v>1108.0</v>
      </c>
      <c r="E81" s="1">
        <v>1147.0</v>
      </c>
      <c r="F81" s="1">
        <v>1182.0</v>
      </c>
      <c r="G81" s="1">
        <v>1211.0</v>
      </c>
      <c r="H81" s="1">
        <v>1239.43</v>
      </c>
      <c r="I81" s="1">
        <v>1263.35</v>
      </c>
      <c r="J81" s="1">
        <v>1305.44</v>
      </c>
      <c r="K81" s="1">
        <v>1338.65</v>
      </c>
      <c r="L81" s="1">
        <v>1352.72</v>
      </c>
      <c r="M81" s="1">
        <v>1356.2</v>
      </c>
      <c r="N81" s="1">
        <v>1353.34</v>
      </c>
      <c r="O81" s="1">
        <v>1342.87</v>
      </c>
      <c r="R81" s="1" t="s">
        <v>32</v>
      </c>
      <c r="S81" s="1" t="s">
        <v>11</v>
      </c>
      <c r="T81" s="4">
        <f t="shared" ref="T81:AF81" si="78">T4*4</f>
        <v>1.042430019</v>
      </c>
      <c r="U81" s="4">
        <f t="shared" si="78"/>
        <v>0.7982529581</v>
      </c>
      <c r="V81" s="4">
        <f t="shared" si="78"/>
        <v>0.8523166731</v>
      </c>
      <c r="W81" s="4">
        <f t="shared" si="78"/>
        <v>0.8768531513</v>
      </c>
      <c r="X81" s="4">
        <f t="shared" si="78"/>
        <v>0.8731501915</v>
      </c>
      <c r="Y81" s="4">
        <f t="shared" si="78"/>
        <v>0.8894853225</v>
      </c>
      <c r="Z81" s="4">
        <f t="shared" si="78"/>
        <v>0.8019817769</v>
      </c>
      <c r="AA81" s="4">
        <f t="shared" si="78"/>
        <v>0.857616731</v>
      </c>
      <c r="AB81" s="4">
        <f t="shared" si="78"/>
        <v>0.8857861778</v>
      </c>
      <c r="AC81" s="4">
        <f t="shared" si="78"/>
        <v>0.9108924368</v>
      </c>
      <c r="AD81" s="4">
        <f t="shared" si="78"/>
        <v>0.9462551828</v>
      </c>
      <c r="AE81" s="4">
        <f t="shared" si="78"/>
        <v>0.9876996849</v>
      </c>
      <c r="AF81" s="4">
        <f t="shared" si="78"/>
        <v>1.03497353</v>
      </c>
      <c r="AG81" s="4">
        <f t="shared" si="77"/>
        <v>1.214306329</v>
      </c>
    </row>
    <row r="82" ht="14.25" customHeight="1">
      <c r="A82" s="1" t="s">
        <v>33</v>
      </c>
      <c r="B82" s="1" t="s">
        <v>71</v>
      </c>
      <c r="C82" s="1">
        <v>26807.0</v>
      </c>
      <c r="D82" s="1">
        <v>28289.0</v>
      </c>
      <c r="E82" s="1">
        <v>29675.0</v>
      </c>
      <c r="F82" s="1">
        <v>30869.0</v>
      </c>
      <c r="G82" s="1">
        <v>31878.0</v>
      </c>
      <c r="H82" s="1">
        <v>32637.0</v>
      </c>
      <c r="I82" s="1">
        <v>32734.6</v>
      </c>
      <c r="J82" s="1">
        <v>32575.1</v>
      </c>
      <c r="K82" s="1">
        <v>32208.2</v>
      </c>
      <c r="L82" s="1">
        <v>31765.3</v>
      </c>
      <c r="M82" s="1">
        <v>31177.3</v>
      </c>
      <c r="N82" s="1">
        <v>30427.6</v>
      </c>
      <c r="O82" s="1">
        <v>29528.1</v>
      </c>
      <c r="R82" s="1" t="s">
        <v>33</v>
      </c>
      <c r="S82" s="1" t="s">
        <v>11</v>
      </c>
      <c r="T82" s="4">
        <f t="shared" ref="T82:AF82" si="79">T5*4</f>
        <v>1.265317075</v>
      </c>
      <c r="U82" s="4">
        <f t="shared" si="79"/>
        <v>0.9756482585</v>
      </c>
      <c r="V82" s="4">
        <f t="shared" si="79"/>
        <v>1.251694202</v>
      </c>
      <c r="W82" s="4">
        <f t="shared" si="79"/>
        <v>1.245607896</v>
      </c>
      <c r="X82" s="4">
        <f t="shared" si="79"/>
        <v>1.182023253</v>
      </c>
      <c r="Y82" s="4">
        <f t="shared" si="79"/>
        <v>1.107325818</v>
      </c>
      <c r="Z82" s="4">
        <f t="shared" si="79"/>
        <v>0.9494970861</v>
      </c>
      <c r="AA82" s="4">
        <f t="shared" si="79"/>
        <v>0.9406955947</v>
      </c>
      <c r="AB82" s="4">
        <f t="shared" si="79"/>
        <v>0.9220631774</v>
      </c>
      <c r="AC82" s="4">
        <f t="shared" si="79"/>
        <v>0.9200278368</v>
      </c>
      <c r="AD82" s="4">
        <f t="shared" si="79"/>
        <v>0.9307982122</v>
      </c>
      <c r="AE82" s="4">
        <f t="shared" si="79"/>
        <v>0.9514164276</v>
      </c>
      <c r="AF82" s="4">
        <f t="shared" si="79"/>
        <v>0.9789072217</v>
      </c>
      <c r="AG82" s="4">
        <f t="shared" si="77"/>
        <v>0.7820657954</v>
      </c>
    </row>
    <row r="83" ht="14.25" customHeight="1">
      <c r="A83" s="1" t="s">
        <v>34</v>
      </c>
      <c r="B83" s="1" t="s">
        <v>71</v>
      </c>
      <c r="C83" s="1">
        <v>92341.0</v>
      </c>
      <c r="D83" s="1">
        <v>100801.0</v>
      </c>
      <c r="E83" s="1">
        <v>108166.0</v>
      </c>
      <c r="F83" s="1">
        <v>115711.0</v>
      </c>
      <c r="G83" s="1">
        <v>122842.0</v>
      </c>
      <c r="H83" s="1">
        <v>128835.0</v>
      </c>
      <c r="I83" s="1">
        <v>132243.0</v>
      </c>
      <c r="J83" s="1">
        <v>134195.0</v>
      </c>
      <c r="K83" s="1">
        <v>135266.0</v>
      </c>
      <c r="L83" s="1">
        <v>134397.0</v>
      </c>
      <c r="M83" s="1">
        <v>132719.0</v>
      </c>
      <c r="N83" s="1">
        <v>129530.0</v>
      </c>
      <c r="O83" s="1">
        <v>125696.0</v>
      </c>
      <c r="R83" s="1" t="s">
        <v>34</v>
      </c>
      <c r="S83" s="1" t="s">
        <v>11</v>
      </c>
      <c r="T83" s="4">
        <f t="shared" ref="T83:AF83" si="80">T6*4</f>
        <v>0.8885627444</v>
      </c>
      <c r="U83" s="4">
        <f t="shared" si="80"/>
        <v>0.6296988597</v>
      </c>
      <c r="V83" s="4">
        <f t="shared" si="80"/>
        <v>0.4925457069</v>
      </c>
      <c r="W83" s="4">
        <f t="shared" si="80"/>
        <v>1.768752747</v>
      </c>
      <c r="X83" s="4">
        <f t="shared" si="80"/>
        <v>3.033284178</v>
      </c>
      <c r="Y83" s="4">
        <f t="shared" si="80"/>
        <v>4.622431315</v>
      </c>
      <c r="Z83" s="4">
        <f t="shared" si="80"/>
        <v>5.821938459</v>
      </c>
      <c r="AA83" s="4">
        <f t="shared" si="80"/>
        <v>7.097134682</v>
      </c>
      <c r="AB83" s="4">
        <f t="shared" si="80"/>
        <v>8.410266209</v>
      </c>
      <c r="AC83" s="4">
        <f t="shared" si="80"/>
        <v>9.013037019</v>
      </c>
      <c r="AD83" s="4">
        <f t="shared" si="80"/>
        <v>9.511547507</v>
      </c>
      <c r="AE83" s="4">
        <f t="shared" si="80"/>
        <v>9.87366717</v>
      </c>
      <c r="AF83" s="4">
        <f t="shared" si="80"/>
        <v>10.18512972</v>
      </c>
      <c r="AG83" s="4">
        <f t="shared" si="77"/>
        <v>20.67854735</v>
      </c>
    </row>
    <row r="84" ht="14.25" customHeight="1">
      <c r="A84" s="1" t="s">
        <v>35</v>
      </c>
      <c r="B84" s="1" t="s">
        <v>71</v>
      </c>
      <c r="C84" s="1">
        <v>19608.0</v>
      </c>
      <c r="D84" s="1">
        <v>20713.0</v>
      </c>
      <c r="E84" s="1">
        <v>21683.0</v>
      </c>
      <c r="F84" s="1">
        <v>22448.0</v>
      </c>
      <c r="G84" s="1">
        <v>23011.0</v>
      </c>
      <c r="H84" s="1">
        <v>23421.0</v>
      </c>
      <c r="I84" s="1">
        <v>23341.8</v>
      </c>
      <c r="J84" s="1">
        <v>23564.3</v>
      </c>
      <c r="K84" s="1">
        <v>23641.1</v>
      </c>
      <c r="L84" s="1">
        <v>23649.6</v>
      </c>
      <c r="M84" s="1">
        <v>23547.3</v>
      </c>
      <c r="N84" s="1">
        <v>23322.2</v>
      </c>
      <c r="O84" s="1">
        <v>22976.6</v>
      </c>
      <c r="R84" s="1" t="s">
        <v>35</v>
      </c>
      <c r="S84" s="1" t="s">
        <v>11</v>
      </c>
      <c r="T84" s="4">
        <f t="shared" ref="T84:AF84" si="81">T7*4</f>
        <v>1.00594436</v>
      </c>
      <c r="U84" s="4">
        <f t="shared" si="81"/>
        <v>0.7350528084</v>
      </c>
      <c r="V84" s="4">
        <f t="shared" si="81"/>
        <v>0.5893157291</v>
      </c>
      <c r="W84" s="4">
        <f t="shared" si="81"/>
        <v>0.6117968438</v>
      </c>
      <c r="X84" s="4">
        <f t="shared" si="81"/>
        <v>0.9727924856</v>
      </c>
      <c r="Y84" s="4">
        <f t="shared" si="81"/>
        <v>2.53982085</v>
      </c>
      <c r="Z84" s="4">
        <f t="shared" si="81"/>
        <v>3.97944902</v>
      </c>
      <c r="AA84" s="4">
        <f t="shared" si="81"/>
        <v>5.50593013</v>
      </c>
      <c r="AB84" s="4">
        <f t="shared" si="81"/>
        <v>6.933799008</v>
      </c>
      <c r="AC84" s="4">
        <f t="shared" si="81"/>
        <v>7.793551441</v>
      </c>
      <c r="AD84" s="4">
        <f t="shared" si="81"/>
        <v>8.451983129</v>
      </c>
      <c r="AE84" s="4">
        <f t="shared" si="81"/>
        <v>8.931980562</v>
      </c>
      <c r="AF84" s="4">
        <f t="shared" si="81"/>
        <v>9.366783304</v>
      </c>
      <c r="AG84" s="4">
        <f t="shared" si="77"/>
        <v>15.89433786</v>
      </c>
    </row>
    <row r="85" ht="14.25" customHeight="1">
      <c r="A85" s="1" t="s">
        <v>36</v>
      </c>
      <c r="B85" s="1" t="s">
        <v>71</v>
      </c>
      <c r="C85" s="1">
        <v>29.0</v>
      </c>
      <c r="D85" s="1">
        <v>13.0</v>
      </c>
      <c r="E85" s="1">
        <v>12.08</v>
      </c>
      <c r="F85" s="1">
        <v>12.67</v>
      </c>
      <c r="G85" s="1">
        <v>13.31</v>
      </c>
      <c r="H85" s="1">
        <v>13.96</v>
      </c>
      <c r="I85" s="1">
        <v>14.6</v>
      </c>
      <c r="J85" s="1">
        <v>15.49</v>
      </c>
      <c r="K85" s="1">
        <v>16.26</v>
      </c>
      <c r="L85" s="1">
        <v>16.87</v>
      </c>
      <c r="M85" s="1">
        <v>17.36</v>
      </c>
      <c r="N85" s="1">
        <v>17.77</v>
      </c>
      <c r="O85" s="1">
        <v>18.09</v>
      </c>
      <c r="R85" s="1" t="s">
        <v>36</v>
      </c>
      <c r="S85" s="1" t="s">
        <v>11</v>
      </c>
      <c r="T85" s="4">
        <f t="shared" ref="T85:AF85" si="82">T8*4</f>
        <v>32.63348165</v>
      </c>
      <c r="U85" s="4">
        <f t="shared" si="82"/>
        <v>59.26204872</v>
      </c>
      <c r="V85" s="4">
        <f t="shared" si="82"/>
        <v>73.59899624</v>
      </c>
      <c r="W85" s="4">
        <f t="shared" si="82"/>
        <v>89.38770298</v>
      </c>
      <c r="X85" s="4">
        <f t="shared" si="82"/>
        <v>92.94913589</v>
      </c>
      <c r="Y85" s="4">
        <f t="shared" si="82"/>
        <v>89.22661407</v>
      </c>
      <c r="Z85" s="4">
        <f t="shared" si="82"/>
        <v>79.16872429</v>
      </c>
      <c r="AA85" s="4">
        <f t="shared" si="82"/>
        <v>77.72257255</v>
      </c>
      <c r="AB85" s="4">
        <f t="shared" si="82"/>
        <v>76.23849273</v>
      </c>
      <c r="AC85" s="4">
        <f t="shared" si="82"/>
        <v>76.0579977</v>
      </c>
      <c r="AD85" s="4">
        <f t="shared" si="82"/>
        <v>77.30246594</v>
      </c>
      <c r="AE85" s="4">
        <f t="shared" si="82"/>
        <v>79.51436997</v>
      </c>
      <c r="AF85" s="4">
        <f t="shared" si="82"/>
        <v>82.3914842</v>
      </c>
      <c r="AG85" s="4">
        <f t="shared" si="77"/>
        <v>1.119464781</v>
      </c>
    </row>
    <row r="86" ht="14.25" customHeight="1">
      <c r="A86" s="1" t="s">
        <v>37</v>
      </c>
      <c r="B86" s="1" t="s">
        <v>71</v>
      </c>
      <c r="C86" s="1">
        <v>60.0</v>
      </c>
      <c r="D86" s="1">
        <v>42.0</v>
      </c>
      <c r="E86" s="1">
        <v>28.0</v>
      </c>
      <c r="F86" s="1">
        <v>19.0</v>
      </c>
      <c r="G86" s="1">
        <v>14.1293</v>
      </c>
      <c r="H86" s="1">
        <v>10.2174</v>
      </c>
      <c r="I86" s="1">
        <v>18.03</v>
      </c>
      <c r="J86" s="1">
        <v>21.69</v>
      </c>
      <c r="K86" s="1">
        <v>24.1</v>
      </c>
      <c r="L86" s="1">
        <v>26.52</v>
      </c>
      <c r="M86" s="1">
        <v>27.51</v>
      </c>
      <c r="N86" s="1">
        <v>28.36</v>
      </c>
      <c r="O86" s="1">
        <v>29.06</v>
      </c>
      <c r="R86" s="1" t="s">
        <v>37</v>
      </c>
      <c r="S86" s="1" t="s">
        <v>11</v>
      </c>
      <c r="T86" s="4">
        <f t="shared" ref="T86:AF86" si="83">T9*4</f>
        <v>3.160996895</v>
      </c>
      <c r="U86" s="4">
        <f t="shared" si="83"/>
        <v>3.485618009</v>
      </c>
      <c r="V86" s="4">
        <f t="shared" si="83"/>
        <v>4.388082527</v>
      </c>
      <c r="W86" s="4">
        <f t="shared" si="83"/>
        <v>2.877971138</v>
      </c>
      <c r="X86" s="4">
        <f t="shared" si="83"/>
        <v>5.217608054</v>
      </c>
      <c r="Y86" s="4">
        <f t="shared" si="83"/>
        <v>5.321934604</v>
      </c>
      <c r="Z86" s="4">
        <f t="shared" si="83"/>
        <v>1.740991905</v>
      </c>
      <c r="AA86" s="4">
        <f t="shared" si="83"/>
        <v>2.16236689</v>
      </c>
      <c r="AB86" s="4">
        <f t="shared" si="83"/>
        <v>2.677538595</v>
      </c>
      <c r="AC86" s="4">
        <f t="shared" si="83"/>
        <v>2.947314843</v>
      </c>
      <c r="AD86" s="4">
        <f t="shared" si="83"/>
        <v>3.167144747</v>
      </c>
      <c r="AE86" s="4">
        <f t="shared" si="83"/>
        <v>3.279553939</v>
      </c>
      <c r="AF86" s="4">
        <f t="shared" si="83"/>
        <v>3.255406688</v>
      </c>
      <c r="AG86" s="4">
        <f t="shared" si="77"/>
        <v>0.7418745358</v>
      </c>
    </row>
    <row r="87" ht="14.25" customHeight="1">
      <c r="A87" s="1" t="s">
        <v>38</v>
      </c>
      <c r="B87" s="1" t="s">
        <v>71</v>
      </c>
      <c r="C87" s="1">
        <v>419.0</v>
      </c>
      <c r="D87" s="1">
        <v>260.0</v>
      </c>
      <c r="E87" s="1">
        <v>133.0</v>
      </c>
      <c r="F87" s="1">
        <v>225.4</v>
      </c>
      <c r="G87" s="1">
        <v>245.52</v>
      </c>
      <c r="H87" s="1">
        <v>265.91</v>
      </c>
      <c r="I87" s="1">
        <v>285.24</v>
      </c>
      <c r="J87" s="1">
        <v>302.39</v>
      </c>
      <c r="K87" s="1">
        <v>317.47</v>
      </c>
      <c r="L87" s="1">
        <v>330.38</v>
      </c>
      <c r="M87" s="1">
        <v>341.65</v>
      </c>
      <c r="N87" s="1">
        <v>351.2</v>
      </c>
      <c r="O87" s="1">
        <v>358.91</v>
      </c>
      <c r="R87" s="1" t="s">
        <v>38</v>
      </c>
      <c r="S87" s="1" t="s">
        <v>11</v>
      </c>
      <c r="T87" s="4">
        <f t="shared" ref="T87:AF87" si="84">T10*4</f>
        <v>40.88860672</v>
      </c>
      <c r="U87" s="4">
        <f t="shared" si="84"/>
        <v>51.50475964</v>
      </c>
      <c r="V87" s="4">
        <f t="shared" si="84"/>
        <v>90.12343159</v>
      </c>
      <c r="W87" s="4">
        <f t="shared" si="84"/>
        <v>71.45227355</v>
      </c>
      <c r="X87" s="4">
        <f t="shared" si="84"/>
        <v>66.71990743</v>
      </c>
      <c r="Y87" s="4">
        <f t="shared" si="84"/>
        <v>62.42190478</v>
      </c>
      <c r="Z87" s="4">
        <f t="shared" si="84"/>
        <v>52.48474849</v>
      </c>
      <c r="AA87" s="4">
        <f t="shared" si="84"/>
        <v>51.1706834</v>
      </c>
      <c r="AB87" s="4">
        <f t="shared" si="84"/>
        <v>49.55968107</v>
      </c>
      <c r="AC87" s="4">
        <f t="shared" si="84"/>
        <v>48.18642227</v>
      </c>
      <c r="AD87" s="4">
        <f t="shared" si="84"/>
        <v>47.81582025</v>
      </c>
      <c r="AE87" s="4">
        <f t="shared" si="84"/>
        <v>47.90128917</v>
      </c>
      <c r="AF87" s="4">
        <f t="shared" si="84"/>
        <v>48.25671691</v>
      </c>
      <c r="AG87" s="4">
        <f t="shared" si="77"/>
        <v>0.5354513921</v>
      </c>
    </row>
    <row r="88" ht="14.25" customHeight="1">
      <c r="A88" s="1" t="s">
        <v>39</v>
      </c>
      <c r="B88" s="1" t="s">
        <v>71</v>
      </c>
      <c r="C88" s="1">
        <v>183.0</v>
      </c>
      <c r="D88" s="1">
        <v>188.0</v>
      </c>
      <c r="E88" s="1">
        <v>200.0</v>
      </c>
      <c r="F88" s="1">
        <v>223.0</v>
      </c>
      <c r="G88" s="1">
        <v>262.0</v>
      </c>
      <c r="H88" s="1">
        <v>293.84</v>
      </c>
      <c r="I88" s="1">
        <v>282.24</v>
      </c>
      <c r="J88" s="1">
        <v>273.14</v>
      </c>
      <c r="K88" s="1">
        <v>256.44</v>
      </c>
      <c r="L88" s="1">
        <v>223.1</v>
      </c>
      <c r="M88" s="1">
        <v>207.45</v>
      </c>
      <c r="N88" s="1">
        <v>213.3</v>
      </c>
      <c r="O88" s="1">
        <v>218.07</v>
      </c>
      <c r="R88" s="1" t="s">
        <v>39</v>
      </c>
      <c r="S88" s="1" t="s">
        <v>11</v>
      </c>
      <c r="T88" s="4">
        <f t="shared" ref="T88:AF88" si="85">T11*4</f>
        <v>1.092306527</v>
      </c>
      <c r="U88" s="4">
        <f t="shared" si="85"/>
        <v>0.820713143</v>
      </c>
      <c r="V88" s="4">
        <f t="shared" si="85"/>
        <v>0.6474784189</v>
      </c>
      <c r="W88" s="4">
        <f t="shared" si="85"/>
        <v>0.4586286452</v>
      </c>
      <c r="X88" s="4">
        <f t="shared" si="85"/>
        <v>0.4537235417</v>
      </c>
      <c r="Y88" s="4">
        <f t="shared" si="85"/>
        <v>0.6296564754</v>
      </c>
      <c r="Z88" s="4">
        <f t="shared" si="85"/>
        <v>0.849069431</v>
      </c>
      <c r="AA88" s="4">
        <f t="shared" si="85"/>
        <v>0.9641776603</v>
      </c>
      <c r="AB88" s="4">
        <f t="shared" si="85"/>
        <v>1.259989723</v>
      </c>
      <c r="AC88" s="4">
        <f t="shared" si="85"/>
        <v>1.550809644</v>
      </c>
      <c r="AD88" s="4">
        <f t="shared" si="85"/>
        <v>1.785360661</v>
      </c>
      <c r="AE88" s="4">
        <f t="shared" si="85"/>
        <v>1.855386132</v>
      </c>
      <c r="AF88" s="4">
        <f t="shared" si="85"/>
        <v>1.926079001</v>
      </c>
      <c r="AG88" s="4">
        <f t="shared" si="77"/>
        <v>2.974738531</v>
      </c>
    </row>
    <row r="89" ht="14.25" customHeight="1">
      <c r="A89" s="1" t="s">
        <v>40</v>
      </c>
      <c r="B89" s="1" t="s">
        <v>71</v>
      </c>
      <c r="C89" s="1">
        <v>552.0</v>
      </c>
      <c r="D89" s="1">
        <v>483.0</v>
      </c>
      <c r="E89" s="1">
        <v>411.0</v>
      </c>
      <c r="F89" s="1">
        <v>337.0</v>
      </c>
      <c r="G89" s="1">
        <v>264.0</v>
      </c>
      <c r="H89" s="1">
        <v>198.004</v>
      </c>
      <c r="I89" s="1">
        <v>181.335</v>
      </c>
      <c r="J89" s="1">
        <v>177.8</v>
      </c>
      <c r="K89" s="1">
        <v>163.71</v>
      </c>
      <c r="L89" s="1">
        <v>147.76</v>
      </c>
      <c r="M89" s="1">
        <v>149.28</v>
      </c>
      <c r="N89" s="1">
        <v>150.08</v>
      </c>
      <c r="O89" s="1">
        <v>150.0</v>
      </c>
      <c r="R89" s="1" t="s">
        <v>40</v>
      </c>
      <c r="S89" s="1" t="s">
        <v>11</v>
      </c>
      <c r="T89" s="4">
        <f t="shared" ref="T89:AF89" si="86">T12*4</f>
        <v>4.501659325</v>
      </c>
      <c r="U89" s="4">
        <f t="shared" si="86"/>
        <v>3.971173935</v>
      </c>
      <c r="V89" s="4">
        <f t="shared" si="86"/>
        <v>3.916780251</v>
      </c>
      <c r="W89" s="4">
        <f t="shared" si="86"/>
        <v>3.29675478</v>
      </c>
      <c r="X89" s="4">
        <f t="shared" si="86"/>
        <v>3.314894701</v>
      </c>
      <c r="Y89" s="4">
        <f t="shared" si="86"/>
        <v>3.051912194</v>
      </c>
      <c r="Z89" s="4">
        <f t="shared" si="86"/>
        <v>0.7839801904</v>
      </c>
      <c r="AA89" s="4">
        <f t="shared" si="86"/>
        <v>1.182564941</v>
      </c>
      <c r="AB89" s="4">
        <f t="shared" si="86"/>
        <v>1.714785995</v>
      </c>
      <c r="AC89" s="4">
        <f t="shared" si="86"/>
        <v>2.073921877</v>
      </c>
      <c r="AD89" s="4">
        <f t="shared" si="86"/>
        <v>2.218529108</v>
      </c>
      <c r="AE89" s="4">
        <f t="shared" si="86"/>
        <v>2.315995607</v>
      </c>
      <c r="AF89" s="4">
        <f t="shared" si="86"/>
        <v>2.413822126</v>
      </c>
      <c r="AG89" s="4">
        <f t="shared" si="77"/>
        <v>0.6162771387</v>
      </c>
    </row>
    <row r="90" ht="14.25" customHeight="1">
      <c r="A90" s="1" t="s">
        <v>41</v>
      </c>
      <c r="B90" s="1" t="s">
        <v>71</v>
      </c>
      <c r="C90" s="1">
        <v>34695.0</v>
      </c>
      <c r="D90" s="1">
        <v>35701.0</v>
      </c>
      <c r="E90" s="1">
        <v>36473.0</v>
      </c>
      <c r="F90" s="1">
        <v>36894.0</v>
      </c>
      <c r="G90" s="1">
        <v>36929.0</v>
      </c>
      <c r="H90" s="1">
        <v>36599.0</v>
      </c>
      <c r="I90" s="1">
        <v>35158.1</v>
      </c>
      <c r="J90" s="1">
        <v>34596.6</v>
      </c>
      <c r="K90" s="1">
        <v>33765.4</v>
      </c>
      <c r="L90" s="1">
        <v>32693.0</v>
      </c>
      <c r="M90" s="1">
        <v>31408.0</v>
      </c>
      <c r="N90" s="1">
        <v>29931.8</v>
      </c>
      <c r="O90" s="1">
        <v>28287.5</v>
      </c>
      <c r="R90" s="1" t="s">
        <v>41</v>
      </c>
      <c r="S90" s="1" t="s">
        <v>11</v>
      </c>
      <c r="T90" s="4">
        <f t="shared" ref="T90:AF90" si="87">T13*4</f>
        <v>2.711939882</v>
      </c>
      <c r="U90" s="4">
        <f t="shared" si="87"/>
        <v>2.036549134</v>
      </c>
      <c r="V90" s="4">
        <f t="shared" si="87"/>
        <v>1.673123097</v>
      </c>
      <c r="W90" s="4">
        <f t="shared" si="87"/>
        <v>2.677053506</v>
      </c>
      <c r="X90" s="4">
        <f t="shared" si="87"/>
        <v>3.349327162</v>
      </c>
      <c r="Y90" s="4">
        <f t="shared" si="87"/>
        <v>4.519196071</v>
      </c>
      <c r="Z90" s="4">
        <f t="shared" si="87"/>
        <v>4.860390046</v>
      </c>
      <c r="AA90" s="4">
        <f t="shared" si="87"/>
        <v>5.211684535</v>
      </c>
      <c r="AB90" s="4">
        <f t="shared" si="87"/>
        <v>5.322914873</v>
      </c>
      <c r="AC90" s="4">
        <f t="shared" si="87"/>
        <v>5.27561362</v>
      </c>
      <c r="AD90" s="4">
        <f t="shared" si="87"/>
        <v>5.316991891</v>
      </c>
      <c r="AE90" s="4">
        <f t="shared" si="87"/>
        <v>5.397401852</v>
      </c>
      <c r="AF90" s="4">
        <f t="shared" si="87"/>
        <v>5.52618492</v>
      </c>
      <c r="AG90" s="4">
        <f t="shared" si="77"/>
        <v>3.302915924</v>
      </c>
    </row>
    <row r="91" ht="14.25" customHeight="1">
      <c r="A91" s="1" t="s">
        <v>42</v>
      </c>
      <c r="B91" s="1" t="s">
        <v>71</v>
      </c>
      <c r="C91" s="1">
        <v>6176.0</v>
      </c>
      <c r="D91" s="1">
        <v>6432.0</v>
      </c>
      <c r="E91" s="1">
        <v>6635.0</v>
      </c>
      <c r="F91" s="1">
        <v>6792.0</v>
      </c>
      <c r="G91" s="1">
        <v>6902.0</v>
      </c>
      <c r="H91" s="1">
        <v>6996.43</v>
      </c>
      <c r="I91" s="1">
        <v>7072.47</v>
      </c>
      <c r="J91" s="1">
        <v>7137.98</v>
      </c>
      <c r="K91" s="1">
        <v>7162.14</v>
      </c>
      <c r="L91" s="1">
        <v>7163.02</v>
      </c>
      <c r="M91" s="1">
        <v>7131.24</v>
      </c>
      <c r="N91" s="1">
        <v>7063.67</v>
      </c>
      <c r="O91" s="1">
        <v>6959.87</v>
      </c>
      <c r="R91" s="1" t="s">
        <v>42</v>
      </c>
      <c r="S91" s="1" t="s">
        <v>11</v>
      </c>
      <c r="T91" s="4">
        <f t="shared" ref="T91:AF91" si="88">T14*4</f>
        <v>0.8661911875</v>
      </c>
      <c r="U91" s="4">
        <f t="shared" si="88"/>
        <v>0.8588909581</v>
      </c>
      <c r="V91" s="4">
        <f t="shared" si="88"/>
        <v>0.704894706</v>
      </c>
      <c r="W91" s="4">
        <f t="shared" si="88"/>
        <v>1.780700756</v>
      </c>
      <c r="X91" s="4">
        <f t="shared" si="88"/>
        <v>3.03558329</v>
      </c>
      <c r="Y91" s="4">
        <f t="shared" si="88"/>
        <v>3.720731788</v>
      </c>
      <c r="Z91" s="4">
        <f t="shared" si="88"/>
        <v>3.953992832</v>
      </c>
      <c r="AA91" s="4">
        <f t="shared" si="88"/>
        <v>3.995849902</v>
      </c>
      <c r="AB91" s="4">
        <f t="shared" si="88"/>
        <v>3.94150275</v>
      </c>
      <c r="AC91" s="4">
        <f t="shared" si="88"/>
        <v>3.880715552</v>
      </c>
      <c r="AD91" s="4">
        <f t="shared" si="88"/>
        <v>3.896765801</v>
      </c>
      <c r="AE91" s="4">
        <f t="shared" si="88"/>
        <v>3.976488394</v>
      </c>
      <c r="AF91" s="4">
        <f t="shared" si="88"/>
        <v>4.085312021</v>
      </c>
      <c r="AG91" s="4">
        <f t="shared" si="77"/>
        <v>5.79563442</v>
      </c>
    </row>
    <row r="92" ht="14.25" customHeight="1">
      <c r="A92" s="1" t="s">
        <v>43</v>
      </c>
      <c r="B92" s="1" t="s">
        <v>71</v>
      </c>
      <c r="C92" s="1">
        <v>16509.0</v>
      </c>
      <c r="D92" s="1">
        <v>17040.0</v>
      </c>
      <c r="E92" s="1">
        <v>17419.0</v>
      </c>
      <c r="F92" s="1">
        <v>17576.0</v>
      </c>
      <c r="G92" s="1">
        <v>17549.0</v>
      </c>
      <c r="H92" s="1">
        <v>17375.0</v>
      </c>
      <c r="I92" s="1">
        <v>16869.5</v>
      </c>
      <c r="J92" s="1">
        <v>16903.3</v>
      </c>
      <c r="K92" s="1">
        <v>16774.9</v>
      </c>
      <c r="L92" s="1">
        <v>16498.7</v>
      </c>
      <c r="M92" s="1">
        <v>16095.0</v>
      </c>
      <c r="N92" s="1">
        <v>15570.3</v>
      </c>
      <c r="O92" s="1">
        <v>14931.5</v>
      </c>
      <c r="R92" s="1" t="s">
        <v>43</v>
      </c>
      <c r="S92" s="1" t="s">
        <v>11</v>
      </c>
      <c r="T92" s="4">
        <f t="shared" ref="T92:AF92" si="89">T15*4</f>
        <v>1.833286782</v>
      </c>
      <c r="U92" s="4">
        <f t="shared" si="89"/>
        <v>1.383902504</v>
      </c>
      <c r="V92" s="4">
        <f t="shared" si="89"/>
        <v>1.136569649</v>
      </c>
      <c r="W92" s="4">
        <f t="shared" si="89"/>
        <v>19.03545047</v>
      </c>
      <c r="X92" s="4">
        <f t="shared" si="89"/>
        <v>30.40984264</v>
      </c>
      <c r="Y92" s="4">
        <f t="shared" si="89"/>
        <v>38.74700989</v>
      </c>
      <c r="Z92" s="4">
        <f t="shared" si="89"/>
        <v>43.30517733</v>
      </c>
      <c r="AA92" s="4">
        <f t="shared" si="89"/>
        <v>45.11454098</v>
      </c>
      <c r="AB92" s="4">
        <f t="shared" si="89"/>
        <v>45.63137318</v>
      </c>
      <c r="AC92" s="4">
        <f t="shared" si="89"/>
        <v>45.34756248</v>
      </c>
      <c r="AD92" s="4">
        <f t="shared" si="89"/>
        <v>45.80486305</v>
      </c>
      <c r="AE92" s="4">
        <f t="shared" si="89"/>
        <v>46.4258771</v>
      </c>
      <c r="AF92" s="4">
        <f t="shared" si="89"/>
        <v>47.0338208</v>
      </c>
      <c r="AG92" s="4">
        <f t="shared" si="77"/>
        <v>41.38226008</v>
      </c>
    </row>
    <row r="93" ht="14.25" customHeight="1">
      <c r="A93" s="1" t="s">
        <v>44</v>
      </c>
      <c r="B93" s="1" t="s">
        <v>71</v>
      </c>
      <c r="C93" s="1">
        <v>25055.0</v>
      </c>
      <c r="D93" s="1">
        <v>26867.0</v>
      </c>
      <c r="E93" s="1">
        <v>28533.0</v>
      </c>
      <c r="F93" s="1">
        <v>30026.0</v>
      </c>
      <c r="G93" s="1">
        <v>31310.0</v>
      </c>
      <c r="H93" s="1">
        <v>32339.0</v>
      </c>
      <c r="I93" s="1">
        <v>32899.4</v>
      </c>
      <c r="J93" s="1">
        <v>33207.2</v>
      </c>
      <c r="K93" s="1">
        <v>33302.0</v>
      </c>
      <c r="L93" s="1">
        <v>33139.7</v>
      </c>
      <c r="M93" s="1">
        <v>32786.4</v>
      </c>
      <c r="N93" s="1">
        <v>32264.5</v>
      </c>
      <c r="O93" s="1">
        <v>31586.2</v>
      </c>
      <c r="R93" s="1" t="s">
        <v>44</v>
      </c>
      <c r="S93" s="1" t="s">
        <v>11</v>
      </c>
      <c r="T93" s="4">
        <f t="shared" ref="T93:AF93" si="90">T16*4</f>
        <v>1.061997998</v>
      </c>
      <c r="U93" s="4">
        <f t="shared" si="90"/>
        <v>0.7644573492</v>
      </c>
      <c r="V93" s="4">
        <f t="shared" si="90"/>
        <v>0.6041292281</v>
      </c>
      <c r="W93" s="4">
        <f t="shared" si="90"/>
        <v>0.4430886538</v>
      </c>
      <c r="X93" s="4">
        <f t="shared" si="90"/>
        <v>0.2992890633</v>
      </c>
      <c r="Y93" s="4">
        <f t="shared" si="90"/>
        <v>0.1876892988</v>
      </c>
      <c r="Z93" s="4">
        <f t="shared" si="90"/>
        <v>0</v>
      </c>
      <c r="AA93" s="4">
        <f t="shared" si="90"/>
        <v>0</v>
      </c>
      <c r="AB93" s="4">
        <f t="shared" si="90"/>
        <v>0.00004833320013</v>
      </c>
      <c r="AC93" s="4">
        <f t="shared" si="90"/>
        <v>0.0003631490033</v>
      </c>
      <c r="AD93" s="4">
        <f t="shared" si="90"/>
        <v>0.00213229075</v>
      </c>
      <c r="AE93" s="4">
        <f t="shared" si="90"/>
        <v>0.007217392701</v>
      </c>
      <c r="AF93" s="4">
        <f t="shared" si="90"/>
        <v>0.01727136276</v>
      </c>
      <c r="AG93" s="4">
        <f t="shared" si="77"/>
        <v>0.02858885477</v>
      </c>
    </row>
    <row r="94" ht="14.25" customHeight="1">
      <c r="A94" s="1" t="s">
        <v>45</v>
      </c>
      <c r="B94" s="1" t="s">
        <v>71</v>
      </c>
      <c r="C94" s="1">
        <v>8896.0</v>
      </c>
      <c r="D94" s="1">
        <v>9189.0</v>
      </c>
      <c r="E94" s="1">
        <v>9382.0</v>
      </c>
      <c r="F94" s="1">
        <v>9545.0</v>
      </c>
      <c r="G94" s="1">
        <v>9677.0</v>
      </c>
      <c r="H94" s="1">
        <v>9742.0</v>
      </c>
      <c r="I94" s="1">
        <v>9874.34</v>
      </c>
      <c r="J94" s="1">
        <v>10080.9</v>
      </c>
      <c r="K94" s="1">
        <v>10221.4</v>
      </c>
      <c r="L94" s="1">
        <v>10304.1</v>
      </c>
      <c r="M94" s="1">
        <v>10331.4</v>
      </c>
      <c r="N94" s="1">
        <v>10303.8</v>
      </c>
      <c r="O94" s="1">
        <v>10222.4</v>
      </c>
      <c r="R94" s="1" t="s">
        <v>45</v>
      </c>
      <c r="S94" s="1" t="s">
        <v>11</v>
      </c>
      <c r="T94" s="4">
        <f t="shared" ref="T94:AF94" si="91">T17*4</f>
        <v>1.124547602</v>
      </c>
      <c r="U94" s="4">
        <f t="shared" si="91"/>
        <v>0.8526309953</v>
      </c>
      <c r="V94" s="4">
        <f t="shared" si="91"/>
        <v>0.7012232018</v>
      </c>
      <c r="W94" s="4">
        <f t="shared" si="91"/>
        <v>0.92479572</v>
      </c>
      <c r="X94" s="4">
        <f t="shared" si="91"/>
        <v>1.18108469</v>
      </c>
      <c r="Y94" s="4">
        <f t="shared" si="91"/>
        <v>1.894444122</v>
      </c>
      <c r="Z94" s="4">
        <f t="shared" si="91"/>
        <v>2.279631607</v>
      </c>
      <c r="AA94" s="4">
        <f t="shared" si="91"/>
        <v>2.754938242</v>
      </c>
      <c r="AB94" s="4">
        <f t="shared" si="91"/>
        <v>3.038569995</v>
      </c>
      <c r="AC94" s="4">
        <f t="shared" si="91"/>
        <v>3.192741754</v>
      </c>
      <c r="AD94" s="4">
        <f t="shared" si="91"/>
        <v>3.337471501</v>
      </c>
      <c r="AE94" s="4">
        <f t="shared" si="91"/>
        <v>3.475084035</v>
      </c>
      <c r="AF94" s="4">
        <f t="shared" si="91"/>
        <v>3.706022516</v>
      </c>
      <c r="AG94" s="4">
        <f t="shared" si="77"/>
        <v>5.285082563</v>
      </c>
    </row>
    <row r="95" ht="14.25" customHeight="1">
      <c r="A95" s="1" t="s">
        <v>46</v>
      </c>
      <c r="B95" s="1" t="s">
        <v>71</v>
      </c>
      <c r="C95" s="1">
        <v>37469.0</v>
      </c>
      <c r="D95" s="1">
        <v>37856.0</v>
      </c>
      <c r="E95" s="1">
        <v>37801.0</v>
      </c>
      <c r="F95" s="1">
        <v>37342.0</v>
      </c>
      <c r="G95" s="1">
        <v>36541.0</v>
      </c>
      <c r="H95" s="1">
        <v>35437.0</v>
      </c>
      <c r="I95" s="1">
        <v>33912.0</v>
      </c>
      <c r="J95" s="1">
        <v>33242.8</v>
      </c>
      <c r="K95" s="1">
        <v>32356.7</v>
      </c>
      <c r="L95" s="1">
        <v>31359.2</v>
      </c>
      <c r="M95" s="1">
        <v>30199.5</v>
      </c>
      <c r="N95" s="1">
        <v>28874.8</v>
      </c>
      <c r="O95" s="1">
        <v>27406.7</v>
      </c>
      <c r="R95" s="1" t="s">
        <v>46</v>
      </c>
      <c r="S95" s="1" t="s">
        <v>11</v>
      </c>
      <c r="T95" s="4">
        <f t="shared" ref="T95:AF95" si="92">T18*4</f>
        <v>1.664150194</v>
      </c>
      <c r="U95" s="4">
        <f t="shared" si="92"/>
        <v>1.28841907</v>
      </c>
      <c r="V95" s="4">
        <f t="shared" si="92"/>
        <v>1.582090411</v>
      </c>
      <c r="W95" s="4">
        <f t="shared" si="92"/>
        <v>1.806561624</v>
      </c>
      <c r="X95" s="4">
        <f t="shared" si="92"/>
        <v>1.917751833</v>
      </c>
      <c r="Y95" s="4">
        <f t="shared" si="92"/>
        <v>1.91618796</v>
      </c>
      <c r="Z95" s="4">
        <f t="shared" si="92"/>
        <v>1.689980509</v>
      </c>
      <c r="AA95" s="4">
        <f t="shared" si="92"/>
        <v>1.651638337</v>
      </c>
      <c r="AB95" s="4">
        <f t="shared" si="92"/>
        <v>1.589655859</v>
      </c>
      <c r="AC95" s="4">
        <f t="shared" si="92"/>
        <v>1.576915795</v>
      </c>
      <c r="AD95" s="4">
        <f t="shared" si="92"/>
        <v>1.593772344</v>
      </c>
      <c r="AE95" s="4">
        <f t="shared" si="92"/>
        <v>1.627723393</v>
      </c>
      <c r="AF95" s="4">
        <f t="shared" si="92"/>
        <v>1.670222597</v>
      </c>
      <c r="AG95" s="4">
        <f t="shared" si="77"/>
        <v>1.055706163</v>
      </c>
    </row>
    <row r="96" ht="14.25" customHeight="1">
      <c r="A96" s="1" t="s">
        <v>47</v>
      </c>
      <c r="B96" s="1" t="s">
        <v>71</v>
      </c>
      <c r="C96" s="1">
        <v>17471.0</v>
      </c>
      <c r="D96" s="1">
        <v>13976.0</v>
      </c>
      <c r="E96" s="1">
        <v>10289.0</v>
      </c>
      <c r="F96" s="1">
        <v>6742.0</v>
      </c>
      <c r="G96" s="1">
        <v>3644.0</v>
      </c>
      <c r="H96" s="1">
        <v>1319.0</v>
      </c>
      <c r="I96" s="1">
        <v>1101.39</v>
      </c>
      <c r="J96" s="1">
        <v>1087.2</v>
      </c>
      <c r="K96" s="1">
        <v>1067.67</v>
      </c>
      <c r="L96" s="1">
        <v>1050.09</v>
      </c>
      <c r="M96" s="1">
        <v>1028.55</v>
      </c>
      <c r="N96" s="1">
        <v>1001.76</v>
      </c>
      <c r="O96" s="1">
        <v>970.08</v>
      </c>
      <c r="R96" s="1" t="s">
        <v>47</v>
      </c>
      <c r="S96" s="1" t="s">
        <v>11</v>
      </c>
      <c r="T96" s="4">
        <f t="shared" ref="T96:AF96" si="93">T19*4</f>
        <v>1.563836389</v>
      </c>
      <c r="U96" s="4">
        <f t="shared" si="93"/>
        <v>1.51104273</v>
      </c>
      <c r="V96" s="4">
        <f t="shared" si="93"/>
        <v>1.668198281</v>
      </c>
      <c r="W96" s="4">
        <f t="shared" si="93"/>
        <v>1.765564705</v>
      </c>
      <c r="X96" s="4">
        <f t="shared" si="93"/>
        <v>1.804189098</v>
      </c>
      <c r="Y96" s="4">
        <f t="shared" si="93"/>
        <v>1.848853242</v>
      </c>
      <c r="Z96" s="4">
        <f t="shared" si="93"/>
        <v>0.7451576854</v>
      </c>
      <c r="AA96" s="4">
        <f t="shared" si="93"/>
        <v>0.7773450024</v>
      </c>
      <c r="AB96" s="4">
        <f t="shared" si="93"/>
        <v>0.8051157287</v>
      </c>
      <c r="AC96" s="4">
        <f t="shared" si="93"/>
        <v>0.8151045135</v>
      </c>
      <c r="AD96" s="4">
        <f t="shared" si="93"/>
        <v>0.8257705701</v>
      </c>
      <c r="AE96" s="4">
        <f t="shared" si="93"/>
        <v>0.8439023398</v>
      </c>
      <c r="AF96" s="4">
        <f t="shared" si="93"/>
        <v>0.8635762172</v>
      </c>
      <c r="AG96" s="4">
        <f t="shared" si="77"/>
        <v>0.5176700077</v>
      </c>
    </row>
    <row r="97" ht="14.25" customHeight="1">
      <c r="A97" s="1" t="s">
        <v>48</v>
      </c>
      <c r="B97" s="1" t="s">
        <v>71</v>
      </c>
      <c r="C97" s="1">
        <v>212.0</v>
      </c>
      <c r="D97" s="1">
        <v>212.0</v>
      </c>
      <c r="E97" s="1">
        <v>209.0</v>
      </c>
      <c r="F97" s="1">
        <v>204.0</v>
      </c>
      <c r="G97" s="1">
        <v>197.0</v>
      </c>
      <c r="H97" s="1">
        <v>189.367</v>
      </c>
      <c r="I97" s="1">
        <v>177.12</v>
      </c>
      <c r="J97" s="1">
        <v>168.5</v>
      </c>
      <c r="K97" s="1">
        <v>161.68</v>
      </c>
      <c r="L97" s="1">
        <v>154.0</v>
      </c>
      <c r="M97" s="1">
        <v>148.26</v>
      </c>
      <c r="N97" s="1">
        <v>142.0</v>
      </c>
      <c r="O97" s="1">
        <v>138.45</v>
      </c>
      <c r="R97" s="1" t="s">
        <v>48</v>
      </c>
      <c r="S97" s="1" t="s">
        <v>11</v>
      </c>
      <c r="T97" s="4">
        <f t="shared" ref="T97:AF97" si="94">T20*4</f>
        <v>0</v>
      </c>
      <c r="U97" s="4">
        <f t="shared" si="94"/>
        <v>0.009310465655</v>
      </c>
      <c r="V97" s="4">
        <f t="shared" si="94"/>
        <v>0.008200301516</v>
      </c>
      <c r="W97" s="4">
        <f t="shared" si="94"/>
        <v>0.6986611756</v>
      </c>
      <c r="X97" s="4">
        <f t="shared" si="94"/>
        <v>1.128403074</v>
      </c>
      <c r="Y97" s="4">
        <f t="shared" si="94"/>
        <v>1.667425854</v>
      </c>
      <c r="Z97" s="4">
        <f t="shared" si="94"/>
        <v>2.045165627</v>
      </c>
      <c r="AA97" s="4">
        <f t="shared" si="94"/>
        <v>2.245035302</v>
      </c>
      <c r="AB97" s="4">
        <f t="shared" si="94"/>
        <v>2.322651502</v>
      </c>
      <c r="AC97" s="4">
        <f t="shared" si="94"/>
        <v>2.289952693</v>
      </c>
      <c r="AD97" s="4">
        <f t="shared" si="94"/>
        <v>2.273588146</v>
      </c>
      <c r="AE97" s="4">
        <f t="shared" si="94"/>
        <v>2.256798286</v>
      </c>
      <c r="AF97" s="4">
        <f t="shared" si="94"/>
        <v>2.236393993</v>
      </c>
      <c r="AG97" s="4">
        <f t="shared" si="77"/>
        <v>272.7209467</v>
      </c>
    </row>
    <row r="98" ht="14.25" customHeight="1">
      <c r="A98" s="1" t="s">
        <v>49</v>
      </c>
      <c r="B98" s="1" t="s">
        <v>71</v>
      </c>
      <c r="C98" s="1">
        <v>14.0</v>
      </c>
      <c r="D98" s="1">
        <v>7.0</v>
      </c>
      <c r="E98" s="1">
        <v>2.0</v>
      </c>
      <c r="F98" s="1">
        <v>0.7</v>
      </c>
      <c r="G98" s="1">
        <v>0.71</v>
      </c>
      <c r="H98" s="1">
        <v>0.73</v>
      </c>
      <c r="I98" s="1">
        <v>0.75</v>
      </c>
      <c r="J98" s="1">
        <v>0.78</v>
      </c>
      <c r="K98" s="1">
        <v>0.8</v>
      </c>
      <c r="L98" s="1">
        <v>0.82</v>
      </c>
      <c r="M98" s="1">
        <v>0.83</v>
      </c>
      <c r="N98" s="1">
        <v>0.84</v>
      </c>
      <c r="O98" s="1">
        <v>0.0</v>
      </c>
      <c r="R98" s="1" t="s">
        <v>49</v>
      </c>
      <c r="S98" s="1" t="s">
        <v>11</v>
      </c>
      <c r="T98" s="4">
        <f t="shared" ref="T98:AF98" si="95">T21*4</f>
        <v>5.00644999</v>
      </c>
      <c r="U98" s="4">
        <f t="shared" si="95"/>
        <v>6.476999091</v>
      </c>
      <c r="V98" s="4">
        <f t="shared" si="95"/>
        <v>10.98895388</v>
      </c>
      <c r="W98" s="4">
        <f t="shared" si="95"/>
        <v>12.76375998</v>
      </c>
      <c r="X98" s="4">
        <f t="shared" si="95"/>
        <v>13.39595958</v>
      </c>
      <c r="Y98" s="4">
        <f t="shared" si="95"/>
        <v>14.08754116</v>
      </c>
      <c r="Z98" s="4">
        <f t="shared" si="95"/>
        <v>4.062789641</v>
      </c>
      <c r="AA98" s="4">
        <f t="shared" si="95"/>
        <v>4.810459115</v>
      </c>
      <c r="AB98" s="4">
        <f t="shared" si="95"/>
        <v>5.55238386</v>
      </c>
      <c r="AC98" s="4">
        <f t="shared" si="95"/>
        <v>5.808688678</v>
      </c>
      <c r="AD98" s="4">
        <f t="shared" si="95"/>
        <v>6.055188496</v>
      </c>
      <c r="AE98" s="4">
        <f t="shared" si="95"/>
        <v>6.326967856</v>
      </c>
      <c r="AF98" s="4" t="str">
        <f t="shared" si="95"/>
        <v>#DIV/0!</v>
      </c>
      <c r="AG98" s="4" t="str">
        <f t="shared" si="77"/>
        <v>#DIV/0!</v>
      </c>
    </row>
    <row r="99" ht="14.25" customHeight="1">
      <c r="A99" s="1" t="s">
        <v>50</v>
      </c>
      <c r="B99" s="1" t="s">
        <v>71</v>
      </c>
      <c r="C99" s="1">
        <v>61556.0</v>
      </c>
      <c r="D99" s="1">
        <v>63385.0</v>
      </c>
      <c r="E99" s="1">
        <v>64727.0</v>
      </c>
      <c r="F99" s="1">
        <v>65499.0</v>
      </c>
      <c r="G99" s="1">
        <v>65780.0</v>
      </c>
      <c r="H99" s="1">
        <v>65539.0</v>
      </c>
      <c r="I99" s="1">
        <v>65644.3</v>
      </c>
      <c r="J99" s="1">
        <v>65184.0</v>
      </c>
      <c r="K99" s="1">
        <v>64258.4</v>
      </c>
      <c r="L99" s="1">
        <v>62942.2</v>
      </c>
      <c r="M99" s="1">
        <v>61275.2</v>
      </c>
      <c r="N99" s="1">
        <v>59280.2</v>
      </c>
      <c r="O99" s="1">
        <v>56991.0</v>
      </c>
      <c r="R99" s="1" t="s">
        <v>50</v>
      </c>
      <c r="S99" s="1" t="s">
        <v>11</v>
      </c>
      <c r="T99" s="4">
        <f t="shared" ref="T99:AF99" si="96">T22*4</f>
        <v>2.640444656</v>
      </c>
      <c r="U99" s="4">
        <f t="shared" si="96"/>
        <v>1.991216371</v>
      </c>
      <c r="V99" s="4">
        <f t="shared" si="96"/>
        <v>1.719829968</v>
      </c>
      <c r="W99" s="4">
        <f t="shared" si="96"/>
        <v>3.945236662</v>
      </c>
      <c r="X99" s="4">
        <f t="shared" si="96"/>
        <v>5.035646526</v>
      </c>
      <c r="Y99" s="4">
        <f t="shared" si="96"/>
        <v>5.1819689</v>
      </c>
      <c r="Z99" s="4">
        <f t="shared" si="96"/>
        <v>4.873581064</v>
      </c>
      <c r="AA99" s="4">
        <f t="shared" si="96"/>
        <v>4.796759613</v>
      </c>
      <c r="AB99" s="4">
        <f t="shared" si="96"/>
        <v>4.628019703</v>
      </c>
      <c r="AC99" s="4">
        <f t="shared" si="96"/>
        <v>4.557479591</v>
      </c>
      <c r="AD99" s="4">
        <f t="shared" si="96"/>
        <v>4.595416661</v>
      </c>
      <c r="AE99" s="4">
        <f t="shared" si="96"/>
        <v>4.686474419</v>
      </c>
      <c r="AF99" s="4">
        <f t="shared" si="96"/>
        <v>4.795237522</v>
      </c>
      <c r="AG99" s="4">
        <f t="shared" si="77"/>
        <v>2.788204422</v>
      </c>
    </row>
    <row r="100" ht="14.25" customHeight="1">
      <c r="A100" s="1" t="s">
        <v>51</v>
      </c>
      <c r="B100" s="1" t="s">
        <v>71</v>
      </c>
      <c r="C100" s="1">
        <v>2372.0</v>
      </c>
      <c r="D100" s="1">
        <v>2493.0</v>
      </c>
      <c r="E100" s="1">
        <v>2612.0</v>
      </c>
      <c r="F100" s="1">
        <v>2725.0</v>
      </c>
      <c r="G100" s="1">
        <v>2826.0</v>
      </c>
      <c r="H100" s="1">
        <v>2902.0</v>
      </c>
      <c r="I100" s="1">
        <v>2974.04</v>
      </c>
      <c r="J100" s="1">
        <v>3024.29</v>
      </c>
      <c r="K100" s="1">
        <v>3055.58</v>
      </c>
      <c r="L100" s="1">
        <v>3045.57</v>
      </c>
      <c r="M100" s="1">
        <v>3016.41</v>
      </c>
      <c r="N100" s="1">
        <v>2970.86</v>
      </c>
      <c r="O100" s="1">
        <v>2911.58</v>
      </c>
      <c r="R100" s="1" t="s">
        <v>51</v>
      </c>
      <c r="S100" s="1" t="s">
        <v>11</v>
      </c>
      <c r="T100" s="4">
        <f t="shared" ref="T100:AF100" si="97">T23*4</f>
        <v>0.9366311151</v>
      </c>
      <c r="U100" s="4">
        <f t="shared" si="97"/>
        <v>0.6904843557</v>
      </c>
      <c r="V100" s="4">
        <f t="shared" si="97"/>
        <v>0.6176830058</v>
      </c>
      <c r="W100" s="4">
        <f t="shared" si="97"/>
        <v>0.5213022292</v>
      </c>
      <c r="X100" s="4">
        <f t="shared" si="97"/>
        <v>0.4434868439</v>
      </c>
      <c r="Y100" s="4">
        <f t="shared" si="97"/>
        <v>0.3955215735</v>
      </c>
      <c r="Z100" s="4">
        <f t="shared" si="97"/>
        <v>0.2772466027</v>
      </c>
      <c r="AA100" s="4">
        <f t="shared" si="97"/>
        <v>0.3207279305</v>
      </c>
      <c r="AB100" s="4">
        <f t="shared" si="97"/>
        <v>0.3528623975</v>
      </c>
      <c r="AC100" s="4">
        <f t="shared" si="97"/>
        <v>0.3769798886</v>
      </c>
      <c r="AD100" s="4">
        <f t="shared" si="97"/>
        <v>0.4013250081</v>
      </c>
      <c r="AE100" s="4">
        <f t="shared" si="97"/>
        <v>0.4255079109</v>
      </c>
      <c r="AF100" s="4">
        <f t="shared" si="97"/>
        <v>0.450658916</v>
      </c>
      <c r="AG100" s="4">
        <f t="shared" si="77"/>
        <v>0.7295957826</v>
      </c>
    </row>
    <row r="101" ht="14.25" customHeight="1">
      <c r="A101" s="1" t="s">
        <v>52</v>
      </c>
      <c r="B101" s="1" t="s">
        <v>71</v>
      </c>
      <c r="C101" s="1">
        <v>2022.0</v>
      </c>
      <c r="D101" s="1">
        <v>2092.0</v>
      </c>
      <c r="E101" s="1">
        <v>2156.0</v>
      </c>
      <c r="F101" s="1">
        <v>2211.0</v>
      </c>
      <c r="G101" s="1">
        <v>2254.0</v>
      </c>
      <c r="H101" s="1">
        <v>2234.9</v>
      </c>
      <c r="I101" s="1">
        <v>2208.96</v>
      </c>
      <c r="J101" s="1">
        <v>2166.41</v>
      </c>
      <c r="K101" s="1">
        <v>2113.57</v>
      </c>
      <c r="L101" s="1">
        <v>2032.38</v>
      </c>
      <c r="M101" s="1">
        <v>1936.3</v>
      </c>
      <c r="N101" s="1">
        <v>1831.77</v>
      </c>
      <c r="O101" s="1">
        <v>1720.25</v>
      </c>
      <c r="R101" s="1" t="s">
        <v>52</v>
      </c>
      <c r="S101" s="1" t="s">
        <v>11</v>
      </c>
      <c r="T101" s="4">
        <f t="shared" ref="T101:AF101" si="98">T24*4</f>
        <v>0.7673907104</v>
      </c>
      <c r="U101" s="4">
        <f t="shared" si="98"/>
        <v>0.5788772953</v>
      </c>
      <c r="V101" s="4">
        <f t="shared" si="98"/>
        <v>0.4715938067</v>
      </c>
      <c r="W101" s="4">
        <f t="shared" si="98"/>
        <v>0.5945391789</v>
      </c>
      <c r="X101" s="4">
        <f t="shared" si="98"/>
        <v>0.5650720593</v>
      </c>
      <c r="Y101" s="4">
        <f t="shared" si="98"/>
        <v>0.5778212676</v>
      </c>
      <c r="Z101" s="4">
        <f t="shared" si="98"/>
        <v>0.4606556968</v>
      </c>
      <c r="AA101" s="4">
        <f t="shared" si="98"/>
        <v>0.4795139563</v>
      </c>
      <c r="AB101" s="4">
        <f t="shared" si="98"/>
        <v>0.4755866667</v>
      </c>
      <c r="AC101" s="4">
        <f t="shared" si="98"/>
        <v>0.4462760403</v>
      </c>
      <c r="AD101" s="4">
        <f t="shared" si="98"/>
        <v>0.4333144688</v>
      </c>
      <c r="AE101" s="4">
        <f t="shared" si="98"/>
        <v>0.4185452388</v>
      </c>
      <c r="AF101" s="4">
        <f t="shared" si="98"/>
        <v>0.4084907502</v>
      </c>
      <c r="AG101" s="4">
        <f t="shared" si="77"/>
        <v>0.8661919314</v>
      </c>
    </row>
    <row r="102" ht="14.25" customHeight="1">
      <c r="A102" s="1" t="s">
        <v>53</v>
      </c>
      <c r="B102" s="1" t="s">
        <v>71</v>
      </c>
      <c r="C102" s="1">
        <v>52558.0</v>
      </c>
      <c r="D102" s="1">
        <v>56572.0</v>
      </c>
      <c r="E102" s="1">
        <v>60198.0</v>
      </c>
      <c r="F102" s="1">
        <v>63381.0</v>
      </c>
      <c r="G102" s="1">
        <v>65972.0</v>
      </c>
      <c r="H102" s="1">
        <v>68074.0</v>
      </c>
      <c r="I102" s="1">
        <v>69614.4</v>
      </c>
      <c r="J102" s="1">
        <v>70619.9</v>
      </c>
      <c r="K102" s="1">
        <v>71168.9</v>
      </c>
      <c r="L102" s="1">
        <v>71341.9</v>
      </c>
      <c r="M102" s="1">
        <v>71147.0</v>
      </c>
      <c r="N102" s="1">
        <v>70580.4</v>
      </c>
      <c r="O102" s="1">
        <v>69653.5</v>
      </c>
      <c r="R102" s="1" t="s">
        <v>53</v>
      </c>
      <c r="S102" s="1" t="s">
        <v>11</v>
      </c>
      <c r="T102" s="4">
        <f t="shared" ref="T102:AF102" si="99">T25*4</f>
        <v>1.219137339</v>
      </c>
      <c r="U102" s="4">
        <f t="shared" si="99"/>
        <v>0.8753712566</v>
      </c>
      <c r="V102" s="4">
        <f t="shared" si="99"/>
        <v>0.6904556828</v>
      </c>
      <c r="W102" s="4">
        <f t="shared" si="99"/>
        <v>2.73549894</v>
      </c>
      <c r="X102" s="4">
        <f t="shared" si="99"/>
        <v>4.93930188</v>
      </c>
      <c r="Y102" s="4">
        <f t="shared" si="99"/>
        <v>8.125923881</v>
      </c>
      <c r="Z102" s="4">
        <f t="shared" si="99"/>
        <v>10.39818329</v>
      </c>
      <c r="AA102" s="4">
        <f t="shared" si="99"/>
        <v>12.32571185</v>
      </c>
      <c r="AB102" s="4">
        <f t="shared" si="99"/>
        <v>13.83347707</v>
      </c>
      <c r="AC102" s="4">
        <f t="shared" si="99"/>
        <v>14.13763029</v>
      </c>
      <c r="AD102" s="4">
        <f t="shared" si="99"/>
        <v>14.38205652</v>
      </c>
      <c r="AE102" s="4">
        <f t="shared" si="99"/>
        <v>14.60419755</v>
      </c>
      <c r="AF102" s="4">
        <f t="shared" si="99"/>
        <v>14.92812688</v>
      </c>
      <c r="AG102" s="4">
        <f t="shared" si="77"/>
        <v>21.62068798</v>
      </c>
    </row>
    <row r="103" ht="14.25" customHeight="1">
      <c r="A103" s="1" t="s">
        <v>54</v>
      </c>
      <c r="B103" s="1" t="s">
        <v>71</v>
      </c>
      <c r="C103" s="1">
        <v>525.0</v>
      </c>
      <c r="D103" s="1">
        <v>540.0</v>
      </c>
      <c r="E103" s="1">
        <v>553.0</v>
      </c>
      <c r="F103" s="1">
        <v>563.0</v>
      </c>
      <c r="G103" s="1">
        <v>570.0</v>
      </c>
      <c r="H103" s="1">
        <v>564.446</v>
      </c>
      <c r="I103" s="1">
        <v>556.511</v>
      </c>
      <c r="J103" s="1">
        <v>545.36</v>
      </c>
      <c r="K103" s="1">
        <v>531.402</v>
      </c>
      <c r="L103" s="1">
        <v>510.542</v>
      </c>
      <c r="M103" s="1">
        <v>486.58</v>
      </c>
      <c r="N103" s="1">
        <v>460.09</v>
      </c>
      <c r="O103" s="1">
        <v>432.352</v>
      </c>
      <c r="R103" s="1" t="s">
        <v>54</v>
      </c>
      <c r="S103" s="1" t="s">
        <v>11</v>
      </c>
      <c r="T103" s="4">
        <f t="shared" ref="T103:AF103" si="100">T26*4</f>
        <v>1.353032172</v>
      </c>
      <c r="U103" s="4">
        <f t="shared" si="100"/>
        <v>1.029980691</v>
      </c>
      <c r="V103" s="4">
        <f t="shared" si="100"/>
        <v>0.8445312545</v>
      </c>
      <c r="W103" s="4">
        <f t="shared" si="100"/>
        <v>1.252628639</v>
      </c>
      <c r="X103" s="4">
        <f t="shared" si="100"/>
        <v>1.270871016</v>
      </c>
      <c r="Y103" s="4">
        <f t="shared" si="100"/>
        <v>1.371665159</v>
      </c>
      <c r="Z103" s="4">
        <f t="shared" si="100"/>
        <v>1.196674306</v>
      </c>
      <c r="AA103" s="4">
        <f t="shared" si="100"/>
        <v>1.245133285</v>
      </c>
      <c r="AB103" s="4">
        <f t="shared" si="100"/>
        <v>1.233050949</v>
      </c>
      <c r="AC103" s="4">
        <f t="shared" si="100"/>
        <v>1.162793521</v>
      </c>
      <c r="AD103" s="4">
        <f t="shared" si="100"/>
        <v>1.135908735</v>
      </c>
      <c r="AE103" s="4">
        <f t="shared" si="100"/>
        <v>1.108657143</v>
      </c>
      <c r="AF103" s="4">
        <f t="shared" si="100"/>
        <v>1.093250177</v>
      </c>
      <c r="AG103" s="4">
        <f t="shared" si="77"/>
        <v>1.294505291</v>
      </c>
    </row>
    <row r="104" ht="14.25" customHeight="1">
      <c r="A104" s="1" t="s">
        <v>55</v>
      </c>
      <c r="B104" s="1" t="s">
        <v>71</v>
      </c>
      <c r="C104" s="1">
        <v>1408.0</v>
      </c>
      <c r="D104" s="1">
        <v>1339.0</v>
      </c>
      <c r="E104" s="1">
        <v>1251.0</v>
      </c>
      <c r="F104" s="1">
        <v>1144.0</v>
      </c>
      <c r="G104" s="1">
        <v>1019.0</v>
      </c>
      <c r="H104" s="1">
        <v>877.0</v>
      </c>
      <c r="I104" s="1">
        <v>795.84</v>
      </c>
      <c r="J104" s="1">
        <v>749.4</v>
      </c>
      <c r="K104" s="1">
        <v>723.84</v>
      </c>
      <c r="L104" s="1">
        <v>686.28</v>
      </c>
      <c r="M104" s="1">
        <v>655.875</v>
      </c>
      <c r="N104" s="1">
        <v>611.09</v>
      </c>
      <c r="O104" s="1">
        <v>565.08</v>
      </c>
      <c r="R104" s="1" t="s">
        <v>55</v>
      </c>
      <c r="S104" s="1" t="s">
        <v>11</v>
      </c>
      <c r="T104" s="4">
        <f t="shared" ref="T104:AF104" si="101">T27*4</f>
        <v>1.154825189</v>
      </c>
      <c r="U104" s="4">
        <f t="shared" si="101"/>
        <v>0.9430467141</v>
      </c>
      <c r="V104" s="4">
        <f t="shared" si="101"/>
        <v>0.9330587325</v>
      </c>
      <c r="W104" s="4">
        <f t="shared" si="101"/>
        <v>0.8342217549</v>
      </c>
      <c r="X104" s="4">
        <f t="shared" si="101"/>
        <v>0.7249593592</v>
      </c>
      <c r="Y104" s="4">
        <f t="shared" si="101"/>
        <v>0.6302007303</v>
      </c>
      <c r="Z104" s="4">
        <f t="shared" si="101"/>
        <v>0.2764551511</v>
      </c>
      <c r="AA104" s="4">
        <f t="shared" si="101"/>
        <v>0.3150788842</v>
      </c>
      <c r="AB104" s="4">
        <f t="shared" si="101"/>
        <v>0.3429438519</v>
      </c>
      <c r="AC104" s="4">
        <f t="shared" si="101"/>
        <v>0.3624422699</v>
      </c>
      <c r="AD104" s="4">
        <f t="shared" si="101"/>
        <v>0.378795542</v>
      </c>
      <c r="AE104" s="4">
        <f t="shared" si="101"/>
        <v>0.3985841092</v>
      </c>
      <c r="AF104" s="4">
        <f t="shared" si="101"/>
        <v>0.4212475437</v>
      </c>
      <c r="AG104" s="4">
        <f t="shared" si="77"/>
        <v>0.4514694832</v>
      </c>
    </row>
    <row r="105" ht="14.25" customHeight="1">
      <c r="A105" s="1" t="s">
        <v>56</v>
      </c>
      <c r="B105" s="1" t="s">
        <v>71</v>
      </c>
      <c r="C105" s="1">
        <v>34970.0</v>
      </c>
      <c r="D105" s="1">
        <v>35546.0</v>
      </c>
      <c r="E105" s="1">
        <v>35885.0</v>
      </c>
      <c r="F105" s="1">
        <v>35981.0</v>
      </c>
      <c r="G105" s="1">
        <v>35798.0</v>
      </c>
      <c r="H105" s="1">
        <v>35585.2</v>
      </c>
      <c r="I105" s="1">
        <v>35372.0</v>
      </c>
      <c r="J105" s="1">
        <v>35156.5</v>
      </c>
      <c r="K105" s="1">
        <v>34743.3</v>
      </c>
      <c r="L105" s="1">
        <v>34348.4</v>
      </c>
      <c r="M105" s="1">
        <v>33823.7</v>
      </c>
      <c r="N105" s="1">
        <v>33130.4</v>
      </c>
      <c r="O105" s="1">
        <v>32279.4</v>
      </c>
      <c r="R105" s="1" t="s">
        <v>56</v>
      </c>
      <c r="S105" s="1" t="s">
        <v>11</v>
      </c>
      <c r="T105" s="4">
        <f t="shared" ref="T105:AF105" si="102">T28*4</f>
        <v>1.147285393</v>
      </c>
      <c r="U105" s="4">
        <f t="shared" si="102"/>
        <v>0.8723225689</v>
      </c>
      <c r="V105" s="4">
        <f t="shared" si="102"/>
        <v>0.725234698</v>
      </c>
      <c r="W105" s="4">
        <f t="shared" si="102"/>
        <v>0.7781175078</v>
      </c>
      <c r="X105" s="4">
        <f t="shared" si="102"/>
        <v>1.154052402</v>
      </c>
      <c r="Y105" s="4">
        <f t="shared" si="102"/>
        <v>1.47597466</v>
      </c>
      <c r="Z105" s="4">
        <f t="shared" si="102"/>
        <v>1.645650361</v>
      </c>
      <c r="AA105" s="4">
        <f t="shared" si="102"/>
        <v>1.961592351</v>
      </c>
      <c r="AB105" s="4">
        <f t="shared" si="102"/>
        <v>2.254323494</v>
      </c>
      <c r="AC105" s="4">
        <f t="shared" si="102"/>
        <v>2.429979821</v>
      </c>
      <c r="AD105" s="4">
        <f t="shared" si="102"/>
        <v>2.586160692</v>
      </c>
      <c r="AE105" s="4">
        <f t="shared" si="102"/>
        <v>2.740754203</v>
      </c>
      <c r="AF105" s="4">
        <f t="shared" si="102"/>
        <v>2.878590818</v>
      </c>
      <c r="AG105" s="4">
        <f t="shared" si="77"/>
        <v>3.969185184</v>
      </c>
    </row>
    <row r="106" ht="14.25" customHeight="1">
      <c r="A106" s="1" t="s">
        <v>57</v>
      </c>
      <c r="B106" s="1" t="s">
        <v>71</v>
      </c>
      <c r="C106" s="1">
        <v>17344.0</v>
      </c>
      <c r="D106" s="1">
        <v>17690.0</v>
      </c>
      <c r="E106" s="1">
        <v>17870.0</v>
      </c>
      <c r="F106" s="1">
        <v>17877.0</v>
      </c>
      <c r="G106" s="1">
        <v>17727.0</v>
      </c>
      <c r="H106" s="1">
        <v>17431.0</v>
      </c>
      <c r="I106" s="1">
        <v>17174.3</v>
      </c>
      <c r="J106" s="1">
        <v>17174.5</v>
      </c>
      <c r="K106" s="1">
        <v>17060.5</v>
      </c>
      <c r="L106" s="1">
        <v>16868.0</v>
      </c>
      <c r="M106" s="1">
        <v>16584.8</v>
      </c>
      <c r="N106" s="1">
        <v>16211.3</v>
      </c>
      <c r="O106" s="1">
        <v>15752.9</v>
      </c>
      <c r="R106" s="1" t="s">
        <v>57</v>
      </c>
      <c r="S106" s="1" t="s">
        <v>11</v>
      </c>
      <c r="T106" s="4">
        <f t="shared" ref="T106:AF106" si="103">T29*4</f>
        <v>2.010460929</v>
      </c>
      <c r="U106" s="4">
        <f t="shared" si="103"/>
        <v>1.540463871</v>
      </c>
      <c r="V106" s="4">
        <f t="shared" si="103"/>
        <v>1.280396374</v>
      </c>
      <c r="W106" s="4">
        <f t="shared" si="103"/>
        <v>28.47316521</v>
      </c>
      <c r="X106" s="4">
        <f t="shared" si="103"/>
        <v>45.87870504</v>
      </c>
      <c r="Y106" s="4">
        <f t="shared" si="103"/>
        <v>58.19258854</v>
      </c>
      <c r="Z106" s="4">
        <f t="shared" si="103"/>
        <v>64.29097843</v>
      </c>
      <c r="AA106" s="4">
        <f t="shared" si="103"/>
        <v>68.10775313</v>
      </c>
      <c r="AB106" s="4">
        <f t="shared" si="103"/>
        <v>71.42402893</v>
      </c>
      <c r="AC106" s="4">
        <f t="shared" si="103"/>
        <v>71.22773233</v>
      </c>
      <c r="AD106" s="4">
        <f t="shared" si="103"/>
        <v>72.13223037</v>
      </c>
      <c r="AE106" s="4">
        <f t="shared" si="103"/>
        <v>73.2793931</v>
      </c>
      <c r="AF106" s="4">
        <f t="shared" si="103"/>
        <v>74.59332708</v>
      </c>
      <c r="AG106" s="4">
        <f t="shared" si="77"/>
        <v>58.25799617</v>
      </c>
    </row>
    <row r="107" ht="14.25" customHeight="1">
      <c r="A107" s="1" t="s">
        <v>58</v>
      </c>
      <c r="B107" s="1" t="s">
        <v>71</v>
      </c>
      <c r="C107" s="1">
        <v>395.0</v>
      </c>
      <c r="D107" s="1">
        <v>432.0</v>
      </c>
      <c r="E107" s="1">
        <v>473.0</v>
      </c>
      <c r="F107" s="1">
        <v>516.0</v>
      </c>
      <c r="G107" s="1">
        <v>564.0</v>
      </c>
      <c r="H107" s="1">
        <v>595.692</v>
      </c>
      <c r="I107" s="1">
        <v>622.497</v>
      </c>
      <c r="J107" s="1">
        <v>628.463</v>
      </c>
      <c r="K107" s="1">
        <v>629.733</v>
      </c>
      <c r="L107" s="1">
        <v>627.307</v>
      </c>
      <c r="M107" s="1">
        <v>621.364</v>
      </c>
      <c r="N107" s="1">
        <v>612.084</v>
      </c>
      <c r="O107" s="1">
        <v>599.16</v>
      </c>
      <c r="R107" s="1" t="s">
        <v>58</v>
      </c>
      <c r="S107" s="1" t="s">
        <v>11</v>
      </c>
      <c r="T107" s="4">
        <f t="shared" ref="T107:AF107" si="104">T30*4</f>
        <v>5.092204924</v>
      </c>
      <c r="U107" s="4">
        <f t="shared" si="104"/>
        <v>3.595748644</v>
      </c>
      <c r="V107" s="4">
        <f t="shared" si="104"/>
        <v>2.75896294</v>
      </c>
      <c r="W107" s="4">
        <f t="shared" si="104"/>
        <v>1.95518014</v>
      </c>
      <c r="X107" s="4">
        <f t="shared" si="104"/>
        <v>1.677073072</v>
      </c>
      <c r="Y107" s="4">
        <f t="shared" si="104"/>
        <v>1.650838744</v>
      </c>
      <c r="Z107" s="4">
        <f t="shared" si="104"/>
        <v>1.385793337</v>
      </c>
      <c r="AA107" s="4">
        <f t="shared" si="104"/>
        <v>1.759633582</v>
      </c>
      <c r="AB107" s="4">
        <f t="shared" si="104"/>
        <v>2.074438287</v>
      </c>
      <c r="AC107" s="4">
        <f t="shared" si="104"/>
        <v>2.272695895</v>
      </c>
      <c r="AD107" s="4">
        <f t="shared" si="104"/>
        <v>2.425360481</v>
      </c>
      <c r="AE107" s="4">
        <f t="shared" si="104"/>
        <v>2.583108613</v>
      </c>
      <c r="AF107" s="4">
        <f t="shared" si="104"/>
        <v>2.752144688</v>
      </c>
      <c r="AG107" s="4">
        <f t="shared" si="77"/>
        <v>0.9975286903</v>
      </c>
    </row>
    <row r="108" ht="14.25" customHeight="1">
      <c r="A108" s="1" t="s">
        <v>59</v>
      </c>
      <c r="B108" s="1" t="s">
        <v>71</v>
      </c>
      <c r="C108" s="1">
        <v>51500.0</v>
      </c>
      <c r="D108" s="1">
        <v>55227.0</v>
      </c>
      <c r="E108" s="1">
        <v>58407.0</v>
      </c>
      <c r="F108" s="1">
        <v>61027.0</v>
      </c>
      <c r="G108" s="1">
        <v>63006.0</v>
      </c>
      <c r="H108" s="1">
        <v>64798.0</v>
      </c>
      <c r="I108" s="1">
        <v>65551.5</v>
      </c>
      <c r="J108" s="1">
        <v>65743.5</v>
      </c>
      <c r="K108" s="1">
        <v>65463.9</v>
      </c>
      <c r="L108" s="1">
        <v>64703.8</v>
      </c>
      <c r="M108" s="1">
        <v>63564.7</v>
      </c>
      <c r="N108" s="1">
        <v>62083.8</v>
      </c>
      <c r="O108" s="1">
        <v>60285.5</v>
      </c>
      <c r="R108" s="1" t="s">
        <v>59</v>
      </c>
      <c r="S108" s="1" t="s">
        <v>11</v>
      </c>
      <c r="T108" s="4">
        <f t="shared" ref="T108:AF108" si="105">T31*4</f>
        <v>1.065831727</v>
      </c>
      <c r="U108" s="4">
        <f t="shared" si="105"/>
        <v>0.771436214</v>
      </c>
      <c r="V108" s="4">
        <f t="shared" si="105"/>
        <v>0.6123139241</v>
      </c>
      <c r="W108" s="4">
        <f t="shared" si="105"/>
        <v>4.797428851</v>
      </c>
      <c r="X108" s="4">
        <f t="shared" si="105"/>
        <v>6.873987074</v>
      </c>
      <c r="Y108" s="4">
        <f t="shared" si="105"/>
        <v>8.336283561</v>
      </c>
      <c r="Z108" s="4">
        <f t="shared" si="105"/>
        <v>8.986872259</v>
      </c>
      <c r="AA108" s="4">
        <f t="shared" si="105"/>
        <v>9.509692624</v>
      </c>
      <c r="AB108" s="4">
        <f t="shared" si="105"/>
        <v>9.960528349</v>
      </c>
      <c r="AC108" s="4">
        <f t="shared" si="105"/>
        <v>10.01385134</v>
      </c>
      <c r="AD108" s="4">
        <f t="shared" si="105"/>
        <v>10.29221124</v>
      </c>
      <c r="AE108" s="4">
        <f t="shared" si="105"/>
        <v>10.62266576</v>
      </c>
      <c r="AF108" s="4">
        <f t="shared" si="105"/>
        <v>11.00905983</v>
      </c>
      <c r="AG108" s="4">
        <f t="shared" si="77"/>
        <v>17.97943734</v>
      </c>
    </row>
    <row r="109" ht="14.25" customHeight="1">
      <c r="A109" s="1" t="s">
        <v>60</v>
      </c>
      <c r="B109" s="1" t="s">
        <v>71</v>
      </c>
      <c r="C109" s="1">
        <v>457.0</v>
      </c>
      <c r="D109" s="1">
        <v>420.0</v>
      </c>
      <c r="E109" s="1">
        <v>373.0</v>
      </c>
      <c r="F109" s="1">
        <v>317.0</v>
      </c>
      <c r="G109" s="1">
        <v>256.0</v>
      </c>
      <c r="H109" s="1">
        <v>193.0</v>
      </c>
      <c r="I109" s="1">
        <v>179.4</v>
      </c>
      <c r="J109" s="1">
        <v>174.9</v>
      </c>
      <c r="K109" s="1">
        <v>169.26</v>
      </c>
      <c r="L109" s="1">
        <v>161.4</v>
      </c>
      <c r="M109" s="1">
        <v>160.2</v>
      </c>
      <c r="N109" s="1">
        <v>158.4</v>
      </c>
      <c r="O109" s="1">
        <v>155.8</v>
      </c>
      <c r="R109" s="1" t="s">
        <v>60</v>
      </c>
      <c r="S109" s="1" t="s">
        <v>11</v>
      </c>
      <c r="T109" s="4">
        <f t="shared" ref="T109:AF109" si="106">T32*4</f>
        <v>1.467417834</v>
      </c>
      <c r="U109" s="4">
        <f t="shared" si="106"/>
        <v>1.232509435</v>
      </c>
      <c r="V109" s="4">
        <f t="shared" si="106"/>
        <v>1.164759083</v>
      </c>
      <c r="W109" s="4">
        <f t="shared" si="106"/>
        <v>0.8383493044</v>
      </c>
      <c r="X109" s="4">
        <f t="shared" si="106"/>
        <v>1.091737529</v>
      </c>
      <c r="Y109" s="4">
        <f t="shared" si="106"/>
        <v>1.074892822</v>
      </c>
      <c r="Z109" s="4">
        <f t="shared" si="106"/>
        <v>0.5149152162</v>
      </c>
      <c r="AA109" s="4">
        <f t="shared" si="106"/>
        <v>0.60865604</v>
      </c>
      <c r="AB109" s="4">
        <f t="shared" si="106"/>
        <v>0.7313283903</v>
      </c>
      <c r="AC109" s="4">
        <f t="shared" si="106"/>
        <v>0.8084731608</v>
      </c>
      <c r="AD109" s="4">
        <f t="shared" si="106"/>
        <v>0.856706193</v>
      </c>
      <c r="AE109" s="4">
        <f t="shared" si="106"/>
        <v>0.9132295094</v>
      </c>
      <c r="AF109" s="4">
        <f t="shared" si="106"/>
        <v>0.9648766913</v>
      </c>
      <c r="AG109" s="4">
        <f t="shared" si="77"/>
        <v>0.8283916438</v>
      </c>
    </row>
    <row r="110" ht="14.25" customHeight="1">
      <c r="A110" s="1" t="s">
        <v>61</v>
      </c>
      <c r="B110" s="1" t="s">
        <v>71</v>
      </c>
      <c r="C110" s="1">
        <v>37230.0</v>
      </c>
      <c r="D110" s="1">
        <v>36879.0</v>
      </c>
      <c r="E110" s="1">
        <v>36068.0</v>
      </c>
      <c r="F110" s="1">
        <v>34877.0</v>
      </c>
      <c r="G110" s="1">
        <v>33340.0</v>
      </c>
      <c r="H110" s="1">
        <v>31513.0</v>
      </c>
      <c r="I110" s="1">
        <v>29585.1</v>
      </c>
      <c r="J110" s="1">
        <v>28360.3</v>
      </c>
      <c r="K110" s="1">
        <v>26980.3</v>
      </c>
      <c r="L110" s="1">
        <v>25638.8</v>
      </c>
      <c r="M110" s="1">
        <v>24201.9</v>
      </c>
      <c r="N110" s="1">
        <v>22649.0</v>
      </c>
      <c r="O110" s="1">
        <v>21005.3</v>
      </c>
      <c r="R110" s="1" t="s">
        <v>61</v>
      </c>
      <c r="S110" s="1" t="s">
        <v>11</v>
      </c>
      <c r="T110" s="4">
        <f t="shared" ref="T110:AF110" si="107">T33*4</f>
        <v>2.06316617</v>
      </c>
      <c r="U110" s="4">
        <f t="shared" si="107"/>
        <v>1.631738845</v>
      </c>
      <c r="V110" s="4">
        <f t="shared" si="107"/>
        <v>4.932655634</v>
      </c>
      <c r="W110" s="4">
        <f t="shared" si="107"/>
        <v>1.673307006</v>
      </c>
      <c r="X110" s="4">
        <f t="shared" si="107"/>
        <v>1.732586922</v>
      </c>
      <c r="Y110" s="4">
        <f t="shared" si="107"/>
        <v>1.826658284</v>
      </c>
      <c r="Z110" s="4">
        <f t="shared" si="107"/>
        <v>1.598630125</v>
      </c>
      <c r="AA110" s="4">
        <f t="shared" si="107"/>
        <v>1.468239378</v>
      </c>
      <c r="AB110" s="4">
        <f t="shared" si="107"/>
        <v>1.309773611</v>
      </c>
      <c r="AC110" s="4">
        <f t="shared" si="107"/>
        <v>1.37853532</v>
      </c>
      <c r="AD110" s="4">
        <f t="shared" si="107"/>
        <v>1.439437848</v>
      </c>
      <c r="AE110" s="4">
        <f t="shared" si="107"/>
        <v>1.517933921</v>
      </c>
      <c r="AF110" s="4">
        <f t="shared" si="107"/>
        <v>1.63749374</v>
      </c>
      <c r="AG110" s="4">
        <f t="shared" si="77"/>
        <v>0.3319700099</v>
      </c>
    </row>
    <row r="111" ht="14.25" customHeight="1">
      <c r="A111" s="1" t="s">
        <v>62</v>
      </c>
      <c r="B111" s="1" t="s">
        <v>71</v>
      </c>
      <c r="C111" s="1">
        <v>2713.0</v>
      </c>
      <c r="D111" s="1">
        <v>2654.0</v>
      </c>
      <c r="E111" s="1">
        <v>2566.0</v>
      </c>
      <c r="F111" s="1">
        <v>2447.0</v>
      </c>
      <c r="G111" s="1">
        <v>2294.0</v>
      </c>
      <c r="H111" s="1">
        <v>2105.0</v>
      </c>
      <c r="I111" s="1">
        <v>2013.0</v>
      </c>
      <c r="J111" s="1">
        <v>1958.22</v>
      </c>
      <c r="K111" s="1">
        <v>1912.38</v>
      </c>
      <c r="L111" s="1">
        <v>1809.14</v>
      </c>
      <c r="M111" s="1">
        <v>1693.59</v>
      </c>
      <c r="N111" s="1">
        <v>1574.09</v>
      </c>
      <c r="O111" s="1">
        <v>1472.88</v>
      </c>
      <c r="R111" s="1" t="s">
        <v>62</v>
      </c>
      <c r="S111" s="1" t="s">
        <v>11</v>
      </c>
      <c r="T111" s="4">
        <f t="shared" ref="T111:AF111" si="108">T34*4</f>
        <v>1.304750731</v>
      </c>
      <c r="U111" s="4">
        <f t="shared" si="108"/>
        <v>1.042096818</v>
      </c>
      <c r="V111" s="4">
        <f t="shared" si="108"/>
        <v>1.081835721</v>
      </c>
      <c r="W111" s="4">
        <f t="shared" si="108"/>
        <v>1.10978062</v>
      </c>
      <c r="X111" s="4">
        <f t="shared" si="108"/>
        <v>1.104447947</v>
      </c>
      <c r="Y111" s="4">
        <f t="shared" si="108"/>
        <v>1.106710969</v>
      </c>
      <c r="Z111" s="4">
        <f t="shared" si="108"/>
        <v>0.8564104053</v>
      </c>
      <c r="AA111" s="4">
        <f t="shared" si="108"/>
        <v>0.8991069118</v>
      </c>
      <c r="AB111" s="4">
        <f t="shared" si="108"/>
        <v>0.9101660013</v>
      </c>
      <c r="AC111" s="4">
        <f t="shared" si="108"/>
        <v>0.9155049871</v>
      </c>
      <c r="AD111" s="4">
        <f t="shared" si="108"/>
        <v>0.9322470464</v>
      </c>
      <c r="AE111" s="4">
        <f t="shared" si="108"/>
        <v>0.9505174563</v>
      </c>
      <c r="AF111" s="4">
        <f t="shared" si="108"/>
        <v>0.9700934313</v>
      </c>
      <c r="AG111" s="4">
        <f t="shared" si="77"/>
        <v>0.8967104828</v>
      </c>
    </row>
    <row r="112" ht="14.25" customHeight="1">
      <c r="A112" s="1" t="s">
        <v>63</v>
      </c>
      <c r="B112" s="1" t="s">
        <v>71</v>
      </c>
      <c r="C112" s="1">
        <v>21273.0</v>
      </c>
      <c r="D112" s="1">
        <v>20850.0</v>
      </c>
      <c r="E112" s="1">
        <v>20211.0</v>
      </c>
      <c r="F112" s="1">
        <v>19287.0</v>
      </c>
      <c r="G112" s="1">
        <v>18117.0</v>
      </c>
      <c r="H112" s="1">
        <v>16734.0</v>
      </c>
      <c r="I112" s="1">
        <v>16207.7</v>
      </c>
      <c r="J112" s="1">
        <v>15564.0</v>
      </c>
      <c r="K112" s="1">
        <v>14836.8</v>
      </c>
      <c r="L112" s="1">
        <v>14074.9</v>
      </c>
      <c r="M112" s="1">
        <v>13257.4</v>
      </c>
      <c r="N112" s="1">
        <v>12389.2</v>
      </c>
      <c r="O112" s="1">
        <v>11483.7</v>
      </c>
      <c r="R112" s="1" t="s">
        <v>63</v>
      </c>
      <c r="S112" s="1" t="s">
        <v>11</v>
      </c>
      <c r="T112" s="4">
        <f t="shared" ref="T112:AF112" si="109">T35*4</f>
        <v>1.167659397</v>
      </c>
      <c r="U112" s="4">
        <f t="shared" si="109"/>
        <v>0.9198259215</v>
      </c>
      <c r="V112" s="4">
        <f t="shared" si="109"/>
        <v>0.8054653705</v>
      </c>
      <c r="W112" s="4">
        <f t="shared" si="109"/>
        <v>0.6684727564</v>
      </c>
      <c r="X112" s="4">
        <f t="shared" si="109"/>
        <v>0.591944374</v>
      </c>
      <c r="Y112" s="4">
        <f t="shared" si="109"/>
        <v>0.5494975959</v>
      </c>
      <c r="Z112" s="4">
        <f t="shared" si="109"/>
        <v>0.3377088602</v>
      </c>
      <c r="AA112" s="4">
        <f t="shared" si="109"/>
        <v>0.4021483059</v>
      </c>
      <c r="AB112" s="4">
        <f t="shared" si="109"/>
        <v>0.4441569927</v>
      </c>
      <c r="AC112" s="4">
        <f t="shared" si="109"/>
        <v>0.4659109834</v>
      </c>
      <c r="AD112" s="4">
        <f t="shared" si="109"/>
        <v>0.478557878</v>
      </c>
      <c r="AE112" s="4">
        <f t="shared" si="109"/>
        <v>0.5005340074</v>
      </c>
      <c r="AF112" s="4">
        <f t="shared" si="109"/>
        <v>0.5381447818</v>
      </c>
      <c r="AG112" s="4">
        <f t="shared" si="77"/>
        <v>0.6681165963</v>
      </c>
    </row>
    <row r="113" ht="14.25" customHeight="1">
      <c r="A113" s="1" t="s">
        <v>64</v>
      </c>
      <c r="B113" s="1" t="s">
        <v>71</v>
      </c>
      <c r="C113" s="1">
        <v>7037.0</v>
      </c>
      <c r="D113" s="1">
        <v>7249.0</v>
      </c>
      <c r="E113" s="1">
        <v>7414.0</v>
      </c>
      <c r="F113" s="1">
        <v>7520.0</v>
      </c>
      <c r="G113" s="1">
        <v>7559.0</v>
      </c>
      <c r="H113" s="1">
        <v>7525.0</v>
      </c>
      <c r="I113" s="1">
        <v>7409.93</v>
      </c>
      <c r="J113" s="1">
        <v>7467.11</v>
      </c>
      <c r="K113" s="1">
        <v>7469.0</v>
      </c>
      <c r="L113" s="1">
        <v>7414.36</v>
      </c>
      <c r="M113" s="1">
        <v>7313.56</v>
      </c>
      <c r="N113" s="1">
        <v>7169.96</v>
      </c>
      <c r="O113" s="1">
        <v>6985.96</v>
      </c>
      <c r="R113" s="1" t="s">
        <v>64</v>
      </c>
      <c r="S113" s="1" t="s">
        <v>11</v>
      </c>
      <c r="T113" s="4">
        <f t="shared" ref="T113:AF113" si="110">T36*4</f>
        <v>1.651950097</v>
      </c>
      <c r="U113" s="4">
        <f t="shared" si="110"/>
        <v>1.239586329</v>
      </c>
      <c r="V113" s="4">
        <f t="shared" si="110"/>
        <v>1.017250923</v>
      </c>
      <c r="W113" s="4">
        <f t="shared" si="110"/>
        <v>1.659578841</v>
      </c>
      <c r="X113" s="4">
        <f t="shared" si="110"/>
        <v>2.040616407</v>
      </c>
      <c r="Y113" s="4">
        <f t="shared" si="110"/>
        <v>2.687690779</v>
      </c>
      <c r="Z113" s="4">
        <f t="shared" si="110"/>
        <v>2.989935901</v>
      </c>
      <c r="AA113" s="4">
        <f t="shared" si="110"/>
        <v>3.431264108</v>
      </c>
      <c r="AB113" s="4">
        <f t="shared" si="110"/>
        <v>3.721091552</v>
      </c>
      <c r="AC113" s="4">
        <f t="shared" si="110"/>
        <v>3.891126157</v>
      </c>
      <c r="AD113" s="4">
        <f t="shared" si="110"/>
        <v>4.099662406</v>
      </c>
      <c r="AE113" s="4">
        <f t="shared" si="110"/>
        <v>4.297399422</v>
      </c>
      <c r="AF113" s="4">
        <f t="shared" si="110"/>
        <v>4.523822473</v>
      </c>
      <c r="AG113" s="4">
        <f t="shared" si="77"/>
        <v>4.447105794</v>
      </c>
    </row>
    <row r="114" ht="14.25" customHeight="1">
      <c r="A114" s="1" t="s">
        <v>65</v>
      </c>
      <c r="B114" s="1" t="s">
        <v>71</v>
      </c>
      <c r="C114" s="1">
        <v>155317.0</v>
      </c>
      <c r="D114" s="1">
        <v>166358.0</v>
      </c>
      <c r="E114" s="1">
        <v>176092.0</v>
      </c>
      <c r="F114" s="1">
        <v>183465.0</v>
      </c>
      <c r="G114" s="1">
        <v>188533.0</v>
      </c>
      <c r="H114" s="1">
        <v>191909.0</v>
      </c>
      <c r="I114" s="1">
        <v>195873.0</v>
      </c>
      <c r="J114" s="1">
        <v>198365.0</v>
      </c>
      <c r="K114" s="1">
        <v>199612.0</v>
      </c>
      <c r="L114" s="1">
        <v>199152.0</v>
      </c>
      <c r="M114" s="1">
        <v>197508.0</v>
      </c>
      <c r="N114" s="1">
        <v>194860.0</v>
      </c>
      <c r="O114" s="1">
        <v>191254.0</v>
      </c>
      <c r="R114" s="1" t="s">
        <v>65</v>
      </c>
      <c r="S114" s="1" t="s">
        <v>11</v>
      </c>
      <c r="T114" s="4">
        <f t="shared" ref="T114:AF114" si="111">T37*4</f>
        <v>0.9695476546</v>
      </c>
      <c r="U114" s="4">
        <f t="shared" si="111"/>
        <v>0.6987511712</v>
      </c>
      <c r="V114" s="4">
        <f t="shared" si="111"/>
        <v>0.5540294213</v>
      </c>
      <c r="W114" s="4">
        <f t="shared" si="111"/>
        <v>5.009872782</v>
      </c>
      <c r="X114" s="4">
        <f t="shared" si="111"/>
        <v>9.719693156</v>
      </c>
      <c r="Y114" s="4">
        <f t="shared" si="111"/>
        <v>14.28321152</v>
      </c>
      <c r="Z114" s="4">
        <f t="shared" si="111"/>
        <v>17.75757216</v>
      </c>
      <c r="AA114" s="4">
        <f t="shared" si="111"/>
        <v>21.39581893</v>
      </c>
      <c r="AB114" s="4">
        <f t="shared" si="111"/>
        <v>24.87978939</v>
      </c>
      <c r="AC114" s="4">
        <f t="shared" si="111"/>
        <v>25.29179537</v>
      </c>
      <c r="AD114" s="4">
        <f t="shared" si="111"/>
        <v>25.77179524</v>
      </c>
      <c r="AE114" s="4">
        <f t="shared" si="111"/>
        <v>26.28470012</v>
      </c>
      <c r="AF114" s="4">
        <f t="shared" si="111"/>
        <v>26.95411223</v>
      </c>
      <c r="AG114" s="4">
        <f t="shared" si="77"/>
        <v>48.65104848</v>
      </c>
    </row>
    <row r="115" ht="14.25" customHeight="1">
      <c r="A115" s="1" t="s">
        <v>66</v>
      </c>
      <c r="B115" s="1" t="s">
        <v>71</v>
      </c>
      <c r="C115" s="1">
        <v>62183.0</v>
      </c>
      <c r="D115" s="1">
        <v>62847.0</v>
      </c>
      <c r="E115" s="1">
        <v>62845.0</v>
      </c>
      <c r="F115" s="1">
        <v>62275.0</v>
      </c>
      <c r="G115" s="1">
        <v>61099.0</v>
      </c>
      <c r="H115" s="1">
        <v>59273.0</v>
      </c>
      <c r="I115" s="1">
        <v>56887.9</v>
      </c>
      <c r="J115" s="1">
        <v>55720.7</v>
      </c>
      <c r="K115" s="1">
        <v>54255.8</v>
      </c>
      <c r="L115" s="1">
        <v>52570.7</v>
      </c>
      <c r="M115" s="1">
        <v>50627.4</v>
      </c>
      <c r="N115" s="1">
        <v>48444.3</v>
      </c>
      <c r="O115" s="1">
        <v>46057.8</v>
      </c>
      <c r="R115" s="1" t="s">
        <v>66</v>
      </c>
      <c r="S115" s="1" t="s">
        <v>11</v>
      </c>
      <c r="T115" s="4">
        <f t="shared" ref="T115:AF115" si="112">T38*4</f>
        <v>1.355370578</v>
      </c>
      <c r="U115" s="4">
        <f t="shared" si="112"/>
        <v>1.035216325</v>
      </c>
      <c r="V115" s="4">
        <f t="shared" si="112"/>
        <v>0.8688586995</v>
      </c>
      <c r="W115" s="4">
        <f t="shared" si="112"/>
        <v>1.843527303</v>
      </c>
      <c r="X115" s="4">
        <f t="shared" si="112"/>
        <v>2.931372874</v>
      </c>
      <c r="Y115" s="4">
        <f t="shared" si="112"/>
        <v>4.27954448</v>
      </c>
      <c r="Z115" s="4">
        <f t="shared" si="112"/>
        <v>5.314397053</v>
      </c>
      <c r="AA115" s="4">
        <f t="shared" si="112"/>
        <v>6.440957313</v>
      </c>
      <c r="AB115" s="4">
        <f t="shared" si="112"/>
        <v>7.40364758</v>
      </c>
      <c r="AC115" s="4">
        <f t="shared" si="112"/>
        <v>7.873444389</v>
      </c>
      <c r="AD115" s="4">
        <f t="shared" si="112"/>
        <v>8.280182505</v>
      </c>
      <c r="AE115" s="4">
        <f t="shared" si="112"/>
        <v>8.608907057</v>
      </c>
      <c r="AF115" s="4">
        <f t="shared" si="112"/>
        <v>8.91186814</v>
      </c>
      <c r="AG115" s="4">
        <f t="shared" si="77"/>
        <v>10.25698211</v>
      </c>
    </row>
    <row r="116" ht="14.25" customHeight="1">
      <c r="A116" s="1" t="s">
        <v>6</v>
      </c>
      <c r="B116" s="1" t="s">
        <v>69</v>
      </c>
      <c r="C116" s="1">
        <v>143.0</v>
      </c>
      <c r="D116" s="1">
        <v>157.597</v>
      </c>
      <c r="E116" s="1">
        <v>172.0</v>
      </c>
      <c r="F116" s="1">
        <v>187.833</v>
      </c>
      <c r="G116" s="1">
        <v>204.39</v>
      </c>
      <c r="H116" s="1">
        <v>221.252</v>
      </c>
      <c r="I116" s="1">
        <v>240.717</v>
      </c>
      <c r="J116" s="1">
        <v>253.127</v>
      </c>
      <c r="K116" s="1">
        <v>267.206</v>
      </c>
      <c r="L116" s="1">
        <v>280.682</v>
      </c>
      <c r="M116" s="1">
        <v>293.476</v>
      </c>
      <c r="N116" s="1">
        <v>304.242</v>
      </c>
      <c r="O116" s="1">
        <v>314.084</v>
      </c>
      <c r="R116" s="1" t="s">
        <v>6</v>
      </c>
      <c r="S116" s="1" t="s">
        <v>14</v>
      </c>
      <c r="T116" s="4">
        <f t="shared" ref="T116:AF116" si="113">T39*4</f>
        <v>14.20396959</v>
      </c>
      <c r="U116" s="4">
        <f t="shared" si="113"/>
        <v>9.98671705</v>
      </c>
      <c r="V116" s="4">
        <f t="shared" si="113"/>
        <v>8.075327943</v>
      </c>
      <c r="W116" s="4">
        <f t="shared" si="113"/>
        <v>6.049852463</v>
      </c>
      <c r="X116" s="4">
        <f t="shared" si="113"/>
        <v>4.736800736</v>
      </c>
      <c r="Y116" s="4">
        <f t="shared" si="113"/>
        <v>3.664574897</v>
      </c>
      <c r="Z116" s="4">
        <f t="shared" si="113"/>
        <v>1.806992191</v>
      </c>
      <c r="AA116" s="4">
        <f t="shared" si="113"/>
        <v>1.957756363</v>
      </c>
      <c r="AB116" s="4">
        <f t="shared" si="113"/>
        <v>2.147508592</v>
      </c>
      <c r="AC116" s="4">
        <f t="shared" si="113"/>
        <v>2.374534917</v>
      </c>
      <c r="AD116" s="4">
        <f t="shared" si="113"/>
        <v>2.621462679</v>
      </c>
      <c r="AE116" s="4">
        <f t="shared" si="113"/>
        <v>2.894161182</v>
      </c>
      <c r="AF116" s="4">
        <f t="shared" si="113"/>
        <v>3.148281699</v>
      </c>
      <c r="AG116" s="4">
        <f t="shared" si="77"/>
        <v>0.3898642533</v>
      </c>
    </row>
    <row r="117" ht="14.25" customHeight="1">
      <c r="A117" s="1" t="s">
        <v>30</v>
      </c>
      <c r="B117" s="1" t="s">
        <v>69</v>
      </c>
      <c r="C117" s="1">
        <v>14610.0</v>
      </c>
      <c r="D117" s="1">
        <v>16609.0</v>
      </c>
      <c r="E117" s="1">
        <v>18618.0</v>
      </c>
      <c r="F117" s="1">
        <v>20573.0</v>
      </c>
      <c r="G117" s="1">
        <v>22475.6</v>
      </c>
      <c r="H117" s="1">
        <v>24379.8</v>
      </c>
      <c r="I117" s="1">
        <v>26290.1</v>
      </c>
      <c r="J117" s="1">
        <v>28011.2</v>
      </c>
      <c r="K117" s="1">
        <v>29033.4</v>
      </c>
      <c r="L117" s="1">
        <v>29968.4</v>
      </c>
      <c r="M117" s="1">
        <v>30207.0</v>
      </c>
      <c r="N117" s="1">
        <v>30276.7</v>
      </c>
      <c r="O117" s="1">
        <v>30178.0</v>
      </c>
      <c r="R117" s="1" t="s">
        <v>30</v>
      </c>
      <c r="S117" s="1" t="s">
        <v>14</v>
      </c>
      <c r="T117" s="4">
        <f t="shared" ref="T117:AF117" si="114">T40*4</f>
        <v>8.9013192</v>
      </c>
      <c r="U117" s="4">
        <f t="shared" si="114"/>
        <v>6.128040708</v>
      </c>
      <c r="V117" s="4">
        <f t="shared" si="114"/>
        <v>6.306767354</v>
      </c>
      <c r="W117" s="4">
        <f t="shared" si="114"/>
        <v>5.08915786</v>
      </c>
      <c r="X117" s="4">
        <f t="shared" si="114"/>
        <v>3.923020262</v>
      </c>
      <c r="Y117" s="4">
        <f t="shared" si="114"/>
        <v>2.971944678</v>
      </c>
      <c r="Z117" s="4">
        <f t="shared" si="114"/>
        <v>1.728996104</v>
      </c>
      <c r="AA117" s="4">
        <f t="shared" si="114"/>
        <v>1.737093587</v>
      </c>
      <c r="AB117" s="4">
        <f t="shared" si="114"/>
        <v>1.860058097</v>
      </c>
      <c r="AC117" s="4">
        <f t="shared" si="114"/>
        <v>2.114921758</v>
      </c>
      <c r="AD117" s="4">
        <f t="shared" si="114"/>
        <v>2.412814889</v>
      </c>
      <c r="AE117" s="4">
        <f t="shared" si="114"/>
        <v>2.740253144</v>
      </c>
      <c r="AF117" s="4">
        <f t="shared" si="114"/>
        <v>3.068104786</v>
      </c>
      <c r="AG117" s="4">
        <f t="shared" si="77"/>
        <v>0.4864781931</v>
      </c>
    </row>
    <row r="118" ht="14.25" customHeight="1">
      <c r="A118" s="1" t="s">
        <v>32</v>
      </c>
      <c r="B118" s="1" t="s">
        <v>69</v>
      </c>
      <c r="C118" s="1">
        <v>317.0</v>
      </c>
      <c r="D118" s="1">
        <v>351.0</v>
      </c>
      <c r="E118" s="1">
        <v>386.0</v>
      </c>
      <c r="F118" s="1">
        <v>422.0</v>
      </c>
      <c r="G118" s="1">
        <v>458.0</v>
      </c>
      <c r="H118" s="1">
        <v>495.57</v>
      </c>
      <c r="I118" s="1">
        <v>537.645</v>
      </c>
      <c r="J118" s="1">
        <v>564.561</v>
      </c>
      <c r="K118" s="1">
        <v>588.354</v>
      </c>
      <c r="L118" s="1">
        <v>604.275</v>
      </c>
      <c r="M118" s="1">
        <v>615.798</v>
      </c>
      <c r="N118" s="1">
        <v>624.662</v>
      </c>
      <c r="O118" s="1">
        <v>630.134</v>
      </c>
      <c r="R118" s="1" t="s">
        <v>32</v>
      </c>
      <c r="S118" s="1" t="s">
        <v>14</v>
      </c>
      <c r="T118" s="4">
        <f t="shared" ref="T118:AF118" si="115">T41*4</f>
        <v>10.30699051</v>
      </c>
      <c r="U118" s="4">
        <f t="shared" si="115"/>
        <v>8.768626602</v>
      </c>
      <c r="V118" s="4">
        <f t="shared" si="115"/>
        <v>9.068818519</v>
      </c>
      <c r="W118" s="4">
        <f t="shared" si="115"/>
        <v>7.469551486</v>
      </c>
      <c r="X118" s="4">
        <f t="shared" si="115"/>
        <v>5.800142452</v>
      </c>
      <c r="Y118" s="4">
        <f t="shared" si="115"/>
        <v>4.379196088</v>
      </c>
      <c r="Z118" s="4">
        <f t="shared" si="115"/>
        <v>2.652304792</v>
      </c>
      <c r="AA118" s="4">
        <f t="shared" si="115"/>
        <v>2.611130481</v>
      </c>
      <c r="AB118" s="4">
        <f t="shared" si="115"/>
        <v>2.832533909</v>
      </c>
      <c r="AC118" s="4">
        <f t="shared" si="115"/>
        <v>3.256411219</v>
      </c>
      <c r="AD118" s="4">
        <f t="shared" si="115"/>
        <v>3.724705094</v>
      </c>
      <c r="AE118" s="4">
        <f t="shared" si="115"/>
        <v>4.221851555</v>
      </c>
      <c r="AF118" s="4">
        <f t="shared" si="115"/>
        <v>4.69656096</v>
      </c>
      <c r="AG118" s="4">
        <f t="shared" si="77"/>
        <v>0.5178801352</v>
      </c>
    </row>
    <row r="119" ht="14.25" customHeight="1">
      <c r="A119" s="1" t="s">
        <v>33</v>
      </c>
      <c r="B119" s="1" t="s">
        <v>69</v>
      </c>
      <c r="C119" s="1">
        <v>4399.0</v>
      </c>
      <c r="D119" s="1">
        <v>4879.0</v>
      </c>
      <c r="E119" s="1">
        <v>5368.0</v>
      </c>
      <c r="F119" s="1">
        <v>5848.0</v>
      </c>
      <c r="G119" s="1">
        <v>6318.0</v>
      </c>
      <c r="H119" s="1">
        <v>6762.0</v>
      </c>
      <c r="I119" s="1">
        <v>7638.4</v>
      </c>
      <c r="J119" s="1">
        <v>8490.92</v>
      </c>
      <c r="K119" s="1">
        <v>9314.85</v>
      </c>
      <c r="L119" s="1">
        <v>10135.7</v>
      </c>
      <c r="M119" s="1">
        <v>10923.7</v>
      </c>
      <c r="N119" s="1">
        <v>11659.4</v>
      </c>
      <c r="O119" s="1">
        <v>12331.9</v>
      </c>
      <c r="R119" s="1" t="s">
        <v>33</v>
      </c>
      <c r="S119" s="1" t="s">
        <v>14</v>
      </c>
      <c r="T119" s="4">
        <f t="shared" ref="T119:AF119" si="116">T42*4</f>
        <v>22.09764022</v>
      </c>
      <c r="U119" s="4">
        <f t="shared" si="116"/>
        <v>16.88176684</v>
      </c>
      <c r="V119" s="4">
        <f t="shared" si="116"/>
        <v>17.9702243</v>
      </c>
      <c r="W119" s="4">
        <f t="shared" si="116"/>
        <v>13.55840462</v>
      </c>
      <c r="X119" s="4">
        <f t="shared" si="116"/>
        <v>9.594261414</v>
      </c>
      <c r="Y119" s="4">
        <f t="shared" si="116"/>
        <v>6.255869049</v>
      </c>
      <c r="Z119" s="4">
        <f t="shared" si="116"/>
        <v>2.010438197</v>
      </c>
      <c r="AA119" s="4">
        <f t="shared" si="116"/>
        <v>1.446289746</v>
      </c>
      <c r="AB119" s="4">
        <f t="shared" si="116"/>
        <v>1.227485116</v>
      </c>
      <c r="AC119" s="4">
        <f t="shared" si="116"/>
        <v>1.430372725</v>
      </c>
      <c r="AD119" s="4">
        <f t="shared" si="116"/>
        <v>1.638398677</v>
      </c>
      <c r="AE119" s="4">
        <f t="shared" si="116"/>
        <v>1.862244192</v>
      </c>
      <c r="AF119" s="4">
        <f t="shared" si="116"/>
        <v>2.068940836</v>
      </c>
      <c r="AG119" s="4">
        <f t="shared" si="77"/>
        <v>0.1151316089</v>
      </c>
    </row>
    <row r="120" ht="14.25" customHeight="1">
      <c r="A120" s="1" t="s">
        <v>34</v>
      </c>
      <c r="B120" s="1" t="s">
        <v>69</v>
      </c>
      <c r="C120" s="1">
        <v>11758.0</v>
      </c>
      <c r="D120" s="1">
        <v>13375.0</v>
      </c>
      <c r="E120" s="1">
        <v>14917.0</v>
      </c>
      <c r="F120" s="1">
        <v>16554.0</v>
      </c>
      <c r="G120" s="1">
        <v>18199.0</v>
      </c>
      <c r="H120" s="1">
        <v>19741.0</v>
      </c>
      <c r="I120" s="1">
        <v>21527.9</v>
      </c>
      <c r="J120" s="1">
        <v>23681.5</v>
      </c>
      <c r="K120" s="1">
        <v>25765.0</v>
      </c>
      <c r="L120" s="1">
        <v>28508.4</v>
      </c>
      <c r="M120" s="1">
        <v>31131.7</v>
      </c>
      <c r="N120" s="1">
        <v>34432.0</v>
      </c>
      <c r="O120" s="1">
        <v>37545.7</v>
      </c>
      <c r="R120" s="1" t="s">
        <v>34</v>
      </c>
      <c r="S120" s="1" t="s">
        <v>14</v>
      </c>
      <c r="T120" s="4">
        <f t="shared" ref="T120:AF120" si="117">T43*4</f>
        <v>20.07739141</v>
      </c>
      <c r="U120" s="4">
        <f t="shared" si="117"/>
        <v>13.85538561</v>
      </c>
      <c r="V120" s="4">
        <f t="shared" si="117"/>
        <v>10.43247991</v>
      </c>
      <c r="W120" s="4">
        <f t="shared" si="117"/>
        <v>7.797994772</v>
      </c>
      <c r="X120" s="4">
        <f t="shared" si="117"/>
        <v>6.227535356</v>
      </c>
      <c r="Y120" s="4">
        <f t="shared" si="117"/>
        <v>4.547729996</v>
      </c>
      <c r="Z120" s="4">
        <f t="shared" si="117"/>
        <v>2.082227867</v>
      </c>
      <c r="AA120" s="4">
        <f t="shared" si="117"/>
        <v>2.162523071</v>
      </c>
      <c r="AB120" s="4">
        <f t="shared" si="117"/>
        <v>2.340154339</v>
      </c>
      <c r="AC120" s="4">
        <f t="shared" si="117"/>
        <v>2.582565182</v>
      </c>
      <c r="AD120" s="4">
        <f t="shared" si="117"/>
        <v>2.842111756</v>
      </c>
      <c r="AE120" s="4">
        <f t="shared" si="117"/>
        <v>3.119915209</v>
      </c>
      <c r="AF120" s="4">
        <f t="shared" si="117"/>
        <v>3.381411066</v>
      </c>
      <c r="AG120" s="4">
        <f t="shared" si="77"/>
        <v>0.3241234199</v>
      </c>
    </row>
    <row r="121" ht="14.25" customHeight="1">
      <c r="A121" s="1" t="s">
        <v>35</v>
      </c>
      <c r="B121" s="1" t="s">
        <v>69</v>
      </c>
      <c r="C121" s="1">
        <v>5937.0</v>
      </c>
      <c r="D121" s="1">
        <v>6858.0</v>
      </c>
      <c r="E121" s="1">
        <v>7810.0</v>
      </c>
      <c r="F121" s="1">
        <v>8763.0</v>
      </c>
      <c r="G121" s="1">
        <v>9708.0</v>
      </c>
      <c r="H121" s="1">
        <v>10660.0</v>
      </c>
      <c r="I121" s="1">
        <v>11597.2</v>
      </c>
      <c r="J121" s="1">
        <v>11991.7</v>
      </c>
      <c r="K121" s="1">
        <v>12324.9</v>
      </c>
      <c r="L121" s="1">
        <v>12633.4</v>
      </c>
      <c r="M121" s="1">
        <v>12891.7</v>
      </c>
      <c r="N121" s="1">
        <v>13088.8</v>
      </c>
      <c r="O121" s="1">
        <v>13221.4</v>
      </c>
      <c r="R121" s="1" t="s">
        <v>35</v>
      </c>
      <c r="S121" s="1" t="s">
        <v>14</v>
      </c>
      <c r="T121" s="4">
        <f t="shared" ref="T121:AF121" si="118">T44*4</f>
        <v>9.951052001</v>
      </c>
      <c r="U121" s="4">
        <f t="shared" si="118"/>
        <v>6.649559249</v>
      </c>
      <c r="V121" s="4">
        <f t="shared" si="118"/>
        <v>4.90053813</v>
      </c>
      <c r="W121" s="4">
        <f t="shared" si="118"/>
        <v>3.102730718</v>
      </c>
      <c r="X121" s="4">
        <f t="shared" si="118"/>
        <v>3.123489346</v>
      </c>
      <c r="Y121" s="4">
        <f t="shared" si="118"/>
        <v>2.471709968</v>
      </c>
      <c r="Z121" s="4">
        <f t="shared" si="118"/>
        <v>1.506354647</v>
      </c>
      <c r="AA121" s="4">
        <f t="shared" si="118"/>
        <v>1.761656916</v>
      </c>
      <c r="AB121" s="4">
        <f t="shared" si="118"/>
        <v>2.100106156</v>
      </c>
      <c r="AC121" s="4">
        <f t="shared" si="118"/>
        <v>2.46988851</v>
      </c>
      <c r="AD121" s="4">
        <f t="shared" si="118"/>
        <v>2.856831354</v>
      </c>
      <c r="AE121" s="4">
        <f t="shared" si="118"/>
        <v>3.266161193</v>
      </c>
      <c r="AF121" s="4">
        <f t="shared" si="118"/>
        <v>3.65646084</v>
      </c>
      <c r="AG121" s="4">
        <f t="shared" si="77"/>
        <v>0.7461345556</v>
      </c>
    </row>
    <row r="122" ht="14.25" customHeight="1">
      <c r="A122" s="1" t="s">
        <v>36</v>
      </c>
      <c r="B122" s="1" t="s">
        <v>69</v>
      </c>
      <c r="C122" s="1">
        <v>1026.0</v>
      </c>
      <c r="D122" s="1">
        <v>1123.0</v>
      </c>
      <c r="E122" s="1">
        <v>1195.92</v>
      </c>
      <c r="F122" s="1">
        <v>1254.33</v>
      </c>
      <c r="G122" s="1">
        <v>1317.69</v>
      </c>
      <c r="H122" s="1">
        <v>1382.04</v>
      </c>
      <c r="I122" s="1">
        <v>1445.4</v>
      </c>
      <c r="J122" s="1">
        <v>1533.51</v>
      </c>
      <c r="K122" s="1">
        <v>1609.74</v>
      </c>
      <c r="L122" s="1">
        <v>1670.13</v>
      </c>
      <c r="M122" s="1">
        <v>1718.64</v>
      </c>
      <c r="N122" s="1">
        <v>1759.23</v>
      </c>
      <c r="O122" s="1">
        <v>1790.91</v>
      </c>
      <c r="R122" s="1" t="s">
        <v>36</v>
      </c>
      <c r="S122" s="1" t="s">
        <v>14</v>
      </c>
      <c r="T122" s="4">
        <f t="shared" ref="T122:AF122" si="119">T45*4</f>
        <v>2.807137107</v>
      </c>
      <c r="U122" s="4">
        <f t="shared" si="119"/>
        <v>2.07916502</v>
      </c>
      <c r="V122" s="4">
        <f t="shared" si="119"/>
        <v>1.885877758</v>
      </c>
      <c r="W122" s="4">
        <f t="shared" si="119"/>
        <v>1.638447091</v>
      </c>
      <c r="X122" s="4">
        <f t="shared" si="119"/>
        <v>1.33662318</v>
      </c>
      <c r="Y122" s="4">
        <f t="shared" si="119"/>
        <v>1.05070383</v>
      </c>
      <c r="Z122" s="4">
        <f t="shared" si="119"/>
        <v>0.601140762</v>
      </c>
      <c r="AA122" s="4">
        <f t="shared" si="119"/>
        <v>0.6045169748</v>
      </c>
      <c r="AB122" s="4">
        <f t="shared" si="119"/>
        <v>0.6414547464</v>
      </c>
      <c r="AC122" s="4">
        <f t="shared" si="119"/>
        <v>0.7154556276</v>
      </c>
      <c r="AD122" s="4">
        <f t="shared" si="119"/>
        <v>0.7983261579</v>
      </c>
      <c r="AE122" s="4">
        <f t="shared" si="119"/>
        <v>0.886610903</v>
      </c>
      <c r="AF122" s="4">
        <f t="shared" si="119"/>
        <v>0.9700308875</v>
      </c>
      <c r="AG122" s="4">
        <f t="shared" si="77"/>
        <v>0.514365729</v>
      </c>
    </row>
    <row r="123" ht="14.25" customHeight="1">
      <c r="A123" s="1" t="s">
        <v>37</v>
      </c>
      <c r="B123" s="1" t="s">
        <v>69</v>
      </c>
      <c r="C123" s="1">
        <v>183.0</v>
      </c>
      <c r="D123" s="1">
        <v>287.0</v>
      </c>
      <c r="E123" s="1">
        <v>441.0</v>
      </c>
      <c r="F123" s="1">
        <v>686.0</v>
      </c>
      <c r="G123" s="1">
        <v>1056.87</v>
      </c>
      <c r="H123" s="1">
        <v>1426.78</v>
      </c>
      <c r="I123" s="1">
        <v>1784.97</v>
      </c>
      <c r="J123" s="1">
        <v>2147.31</v>
      </c>
      <c r="K123" s="1">
        <v>2385.9</v>
      </c>
      <c r="L123" s="1">
        <v>2625.48</v>
      </c>
      <c r="M123" s="1">
        <v>2723.49</v>
      </c>
      <c r="N123" s="1">
        <v>2807.64</v>
      </c>
      <c r="O123" s="1">
        <v>2876.94</v>
      </c>
      <c r="R123" s="1" t="s">
        <v>37</v>
      </c>
      <c r="S123" s="1" t="s">
        <v>14</v>
      </c>
      <c r="T123" s="4">
        <f t="shared" ref="T123:AF123" si="120">T46*4</f>
        <v>3.572332993</v>
      </c>
      <c r="U123" s="4">
        <f t="shared" si="120"/>
        <v>1.7582343</v>
      </c>
      <c r="V123" s="4">
        <f t="shared" si="120"/>
        <v>0.9603396106</v>
      </c>
      <c r="W123" s="4">
        <f t="shared" si="120"/>
        <v>0.4800340059</v>
      </c>
      <c r="X123" s="4">
        <f t="shared" si="120"/>
        <v>0.3388239489</v>
      </c>
      <c r="Y123" s="4">
        <f t="shared" si="120"/>
        <v>0.331513631</v>
      </c>
      <c r="Z123" s="4">
        <f t="shared" si="120"/>
        <v>0.3107863077</v>
      </c>
      <c r="AA123" s="4">
        <f t="shared" si="120"/>
        <v>0.3498986886</v>
      </c>
      <c r="AB123" s="4">
        <f t="shared" si="120"/>
        <v>0.393119288</v>
      </c>
      <c r="AC123" s="4">
        <f t="shared" si="120"/>
        <v>0.4321086062</v>
      </c>
      <c r="AD123" s="4">
        <f t="shared" si="120"/>
        <v>0.4720071937</v>
      </c>
      <c r="AE123" s="4">
        <f t="shared" si="120"/>
        <v>0.512815632</v>
      </c>
      <c r="AF123" s="4">
        <f t="shared" si="120"/>
        <v>0.5472974652</v>
      </c>
      <c r="AG123" s="4">
        <f t="shared" si="77"/>
        <v>0.5698999179</v>
      </c>
    </row>
    <row r="124" ht="14.25" customHeight="1">
      <c r="A124" s="1" t="s">
        <v>38</v>
      </c>
      <c r="B124" s="1" t="s">
        <v>69</v>
      </c>
      <c r="C124" s="1">
        <v>16369.0</v>
      </c>
      <c r="D124" s="1">
        <v>18417.0</v>
      </c>
      <c r="E124" s="1">
        <v>20438.0</v>
      </c>
      <c r="F124" s="1">
        <v>22314.6</v>
      </c>
      <c r="G124" s="1">
        <v>24306.5</v>
      </c>
      <c r="H124" s="1">
        <v>26325.1</v>
      </c>
      <c r="I124" s="1">
        <v>28238.8</v>
      </c>
      <c r="J124" s="1">
        <v>29936.6</v>
      </c>
      <c r="K124" s="1">
        <v>31429.5</v>
      </c>
      <c r="L124" s="1">
        <v>32707.6</v>
      </c>
      <c r="M124" s="1">
        <v>33823.3</v>
      </c>
      <c r="N124" s="1">
        <v>34768.8</v>
      </c>
      <c r="O124" s="1">
        <v>35532.1</v>
      </c>
      <c r="R124" s="1" t="s">
        <v>38</v>
      </c>
      <c r="S124" s="1" t="s">
        <v>14</v>
      </c>
      <c r="T124" s="4">
        <f t="shared" ref="T124:AF124" si="121">T47*4</f>
        <v>3.027356872</v>
      </c>
      <c r="U124" s="4">
        <f t="shared" si="121"/>
        <v>2.420458184</v>
      </c>
      <c r="V124" s="4">
        <f t="shared" si="121"/>
        <v>2.054235883</v>
      </c>
      <c r="W124" s="4">
        <f t="shared" si="121"/>
        <v>1.581438342</v>
      </c>
      <c r="X124" s="4">
        <f t="shared" si="121"/>
        <v>1.154293617</v>
      </c>
      <c r="Y124" s="4">
        <f t="shared" si="121"/>
        <v>0.8403788666</v>
      </c>
      <c r="Z124" s="4">
        <f t="shared" si="121"/>
        <v>0.4421519917</v>
      </c>
      <c r="AA124" s="4">
        <f t="shared" si="121"/>
        <v>0.473075717</v>
      </c>
      <c r="AB124" s="4">
        <f t="shared" si="121"/>
        <v>0.5550043133</v>
      </c>
      <c r="AC124" s="4">
        <f t="shared" si="121"/>
        <v>0.6625836472</v>
      </c>
      <c r="AD124" s="4">
        <f t="shared" si="121"/>
        <v>0.7716450497</v>
      </c>
      <c r="AE124" s="4">
        <f t="shared" si="121"/>
        <v>0.8844060984</v>
      </c>
      <c r="AF124" s="4">
        <f t="shared" si="121"/>
        <v>0.9902425886</v>
      </c>
      <c r="AG124" s="4">
        <f t="shared" si="77"/>
        <v>0.4820491147</v>
      </c>
    </row>
    <row r="125" ht="14.25" customHeight="1">
      <c r="A125" s="1" t="s">
        <v>39</v>
      </c>
      <c r="B125" s="1" t="s">
        <v>69</v>
      </c>
      <c r="C125" s="1">
        <v>161.0</v>
      </c>
      <c r="D125" s="1">
        <v>264.0</v>
      </c>
      <c r="E125" s="1">
        <v>408.0</v>
      </c>
      <c r="F125" s="1">
        <v>613.0</v>
      </c>
      <c r="G125" s="1">
        <v>916.0</v>
      </c>
      <c r="H125" s="1">
        <v>1227.16</v>
      </c>
      <c r="I125" s="1">
        <v>1481.76</v>
      </c>
      <c r="J125" s="1">
        <v>1677.86</v>
      </c>
      <c r="K125" s="1">
        <v>1880.56</v>
      </c>
      <c r="L125" s="1">
        <v>2007.9</v>
      </c>
      <c r="M125" s="1">
        <v>2097.55</v>
      </c>
      <c r="N125" s="1">
        <v>2156.7</v>
      </c>
      <c r="O125" s="1">
        <v>2204.93</v>
      </c>
      <c r="R125" s="1" t="s">
        <v>39</v>
      </c>
      <c r="S125" s="1" t="s">
        <v>14</v>
      </c>
      <c r="T125" s="4">
        <f t="shared" ref="T125:AF125" si="122">T48*4</f>
        <v>5.66145823</v>
      </c>
      <c r="U125" s="4">
        <f t="shared" si="122"/>
        <v>2.665046363</v>
      </c>
      <c r="V125" s="4">
        <f t="shared" si="122"/>
        <v>1.447286661</v>
      </c>
      <c r="W125" s="4">
        <f t="shared" si="122"/>
        <v>0.8090226488</v>
      </c>
      <c r="X125" s="4">
        <f t="shared" si="122"/>
        <v>0.8056070434</v>
      </c>
      <c r="Y125" s="4">
        <f t="shared" si="122"/>
        <v>0.9929067724</v>
      </c>
      <c r="Z125" s="4">
        <f t="shared" si="122"/>
        <v>1.077934888</v>
      </c>
      <c r="AA125" s="4">
        <f t="shared" si="122"/>
        <v>1.209796192</v>
      </c>
      <c r="AB125" s="4">
        <f t="shared" si="122"/>
        <v>1.307482645</v>
      </c>
      <c r="AC125" s="4">
        <f t="shared" si="122"/>
        <v>1.396300605</v>
      </c>
      <c r="AD125" s="4">
        <f t="shared" si="122"/>
        <v>1.489585636</v>
      </c>
      <c r="AE125" s="4">
        <f t="shared" si="122"/>
        <v>1.59503234</v>
      </c>
      <c r="AF125" s="4">
        <f t="shared" si="122"/>
        <v>1.695822663</v>
      </c>
      <c r="AG125" s="4">
        <f t="shared" si="77"/>
        <v>1.171725483</v>
      </c>
    </row>
    <row r="126" ht="14.25" customHeight="1">
      <c r="A126" s="1" t="s">
        <v>40</v>
      </c>
      <c r="B126" s="1" t="s">
        <v>69</v>
      </c>
      <c r="C126" s="1">
        <v>907.0</v>
      </c>
      <c r="D126" s="1">
        <v>1029.0</v>
      </c>
      <c r="E126" s="1">
        <v>1148.0</v>
      </c>
      <c r="F126" s="1">
        <v>1262.0</v>
      </c>
      <c r="G126" s="1">
        <v>1369.0</v>
      </c>
      <c r="H126" s="1">
        <v>1482.0</v>
      </c>
      <c r="I126" s="1">
        <v>1545.66</v>
      </c>
      <c r="J126" s="1">
        <v>1600.2</v>
      </c>
      <c r="K126" s="1">
        <v>1655.29</v>
      </c>
      <c r="L126" s="1">
        <v>1699.24</v>
      </c>
      <c r="M126" s="1">
        <v>1716.72</v>
      </c>
      <c r="N126" s="1">
        <v>1725.92</v>
      </c>
      <c r="O126" s="1">
        <v>1725.0</v>
      </c>
      <c r="R126" s="1" t="s">
        <v>40</v>
      </c>
      <c r="S126" s="1" t="s">
        <v>14</v>
      </c>
      <c r="T126" s="4">
        <f t="shared" ref="T126:AF126" si="123">T49*4</f>
        <v>8.034272785</v>
      </c>
      <c r="U126" s="4">
        <f t="shared" si="123"/>
        <v>5.466279132</v>
      </c>
      <c r="V126" s="4">
        <f t="shared" si="123"/>
        <v>4.112158197</v>
      </c>
      <c r="W126" s="4">
        <f t="shared" si="123"/>
        <v>2.887113335</v>
      </c>
      <c r="X126" s="4">
        <f t="shared" si="123"/>
        <v>1.874778685</v>
      </c>
      <c r="Y126" s="4">
        <f t="shared" si="123"/>
        <v>1.628729759</v>
      </c>
      <c r="Z126" s="4">
        <f t="shared" si="123"/>
        <v>1.008771664</v>
      </c>
      <c r="AA126" s="4">
        <f t="shared" si="123"/>
        <v>1.254869978</v>
      </c>
      <c r="AB126" s="4">
        <f t="shared" si="123"/>
        <v>1.474738512</v>
      </c>
      <c r="AC126" s="4">
        <f t="shared" si="123"/>
        <v>1.647383584</v>
      </c>
      <c r="AD126" s="4">
        <f t="shared" si="123"/>
        <v>1.821792031</v>
      </c>
      <c r="AE126" s="4">
        <f t="shared" si="123"/>
        <v>2.009368914</v>
      </c>
      <c r="AF126" s="4">
        <f t="shared" si="123"/>
        <v>2.18903825</v>
      </c>
      <c r="AG126" s="4">
        <f t="shared" si="77"/>
        <v>0.5323331801</v>
      </c>
    </row>
    <row r="127" ht="14.25" customHeight="1">
      <c r="A127" s="1" t="s">
        <v>41</v>
      </c>
      <c r="B127" s="1" t="s">
        <v>69</v>
      </c>
      <c r="C127" s="1">
        <v>25745.0</v>
      </c>
      <c r="D127" s="1">
        <v>29457.0</v>
      </c>
      <c r="E127" s="1">
        <v>33315.0</v>
      </c>
      <c r="F127" s="1">
        <v>37192.0</v>
      </c>
      <c r="G127" s="1">
        <v>41002.0</v>
      </c>
      <c r="H127" s="1">
        <v>44717.0</v>
      </c>
      <c r="I127" s="1">
        <v>48300.9</v>
      </c>
      <c r="J127" s="1">
        <v>50425.4</v>
      </c>
      <c r="K127" s="1">
        <v>52324.6</v>
      </c>
      <c r="L127" s="1">
        <v>53993.0</v>
      </c>
      <c r="M127" s="1">
        <v>55426.0</v>
      </c>
      <c r="N127" s="1">
        <v>56607.2</v>
      </c>
      <c r="O127" s="1">
        <v>57520.5</v>
      </c>
      <c r="R127" s="1" t="s">
        <v>41</v>
      </c>
      <c r="S127" s="1" t="s">
        <v>14</v>
      </c>
      <c r="T127" s="4">
        <f t="shared" ref="T127:AF127" si="124">T50*4</f>
        <v>10.48875275</v>
      </c>
      <c r="U127" s="4">
        <f t="shared" si="124"/>
        <v>7.096072758</v>
      </c>
      <c r="V127" s="4">
        <f t="shared" si="124"/>
        <v>5.271538056</v>
      </c>
      <c r="W127" s="4">
        <f t="shared" si="124"/>
        <v>4.375589195</v>
      </c>
      <c r="X127" s="4">
        <f t="shared" si="124"/>
        <v>3.416056643</v>
      </c>
      <c r="Y127" s="4">
        <f t="shared" si="124"/>
        <v>2.660119333</v>
      </c>
      <c r="Z127" s="4">
        <f t="shared" si="124"/>
        <v>1.552260871</v>
      </c>
      <c r="AA127" s="4">
        <f t="shared" si="124"/>
        <v>1.780755596</v>
      </c>
      <c r="AB127" s="4">
        <f t="shared" si="124"/>
        <v>2.086557424</v>
      </c>
      <c r="AC127" s="4">
        <f t="shared" si="124"/>
        <v>2.41613482</v>
      </c>
      <c r="AD127" s="4">
        <f t="shared" si="124"/>
        <v>2.755211204</v>
      </c>
      <c r="AE127" s="4">
        <f t="shared" si="124"/>
        <v>3.10984561</v>
      </c>
      <c r="AF127" s="4">
        <f t="shared" si="124"/>
        <v>3.443107345</v>
      </c>
      <c r="AG127" s="4">
        <f t="shared" si="77"/>
        <v>0.6531504294</v>
      </c>
    </row>
    <row r="128" ht="14.25" customHeight="1">
      <c r="A128" s="1" t="s">
        <v>42</v>
      </c>
      <c r="B128" s="1" t="s">
        <v>69</v>
      </c>
      <c r="C128" s="1">
        <v>689.0</v>
      </c>
      <c r="D128" s="1">
        <v>726.0</v>
      </c>
      <c r="E128" s="1">
        <v>759.0</v>
      </c>
      <c r="F128" s="1">
        <v>787.0</v>
      </c>
      <c r="G128" s="1">
        <v>810.0</v>
      </c>
      <c r="H128" s="1">
        <v>831.568</v>
      </c>
      <c r="I128" s="1">
        <v>870.528</v>
      </c>
      <c r="J128" s="1">
        <v>909.02</v>
      </c>
      <c r="K128" s="1">
        <v>942.86</v>
      </c>
      <c r="L128" s="1">
        <v>973.98</v>
      </c>
      <c r="M128" s="1">
        <v>1000.76</v>
      </c>
      <c r="N128" s="1">
        <v>1022.33</v>
      </c>
      <c r="O128" s="1">
        <v>1038.13</v>
      </c>
      <c r="R128" s="1" t="s">
        <v>42</v>
      </c>
      <c r="S128" s="1" t="s">
        <v>14</v>
      </c>
      <c r="T128" s="4">
        <f t="shared" ref="T128:AF128" si="125">T51*4</f>
        <v>21.9169905</v>
      </c>
      <c r="U128" s="4">
        <f t="shared" si="125"/>
        <v>18.66019609</v>
      </c>
      <c r="V128" s="4">
        <f t="shared" si="125"/>
        <v>15.05246896</v>
      </c>
      <c r="W128" s="4">
        <f t="shared" si="125"/>
        <v>12.65596613</v>
      </c>
      <c r="X128" s="4">
        <f t="shared" si="125"/>
        <v>10.10374072</v>
      </c>
      <c r="Y128" s="4">
        <f t="shared" si="125"/>
        <v>7.684543362</v>
      </c>
      <c r="Z128" s="4">
        <f t="shared" si="125"/>
        <v>3.743608938</v>
      </c>
      <c r="AA128" s="4">
        <f t="shared" si="125"/>
        <v>3.695415514</v>
      </c>
      <c r="AB128" s="4">
        <f t="shared" si="125"/>
        <v>4.013708357</v>
      </c>
      <c r="AC128" s="4">
        <f t="shared" si="125"/>
        <v>4.353780018</v>
      </c>
      <c r="AD128" s="4">
        <f t="shared" si="125"/>
        <v>4.747379611</v>
      </c>
      <c r="AE128" s="4">
        <f t="shared" si="125"/>
        <v>5.16666939</v>
      </c>
      <c r="AF128" s="4">
        <f t="shared" si="125"/>
        <v>5.555558096</v>
      </c>
      <c r="AG128" s="4">
        <f t="shared" si="77"/>
        <v>0.3690795251</v>
      </c>
    </row>
    <row r="129" ht="14.25" customHeight="1">
      <c r="A129" s="1" t="s">
        <v>43</v>
      </c>
      <c r="B129" s="1" t="s">
        <v>69</v>
      </c>
      <c r="C129" s="1">
        <v>8842.0</v>
      </c>
      <c r="D129" s="1">
        <v>10415.0</v>
      </c>
      <c r="E129" s="1">
        <v>12064.0</v>
      </c>
      <c r="F129" s="1">
        <v>13723.0</v>
      </c>
      <c r="G129" s="1">
        <v>15397.0</v>
      </c>
      <c r="H129" s="1">
        <v>17094.0</v>
      </c>
      <c r="I129" s="1">
        <v>19183.5</v>
      </c>
      <c r="J129" s="1">
        <v>20472.7</v>
      </c>
      <c r="K129" s="1">
        <v>21688.1</v>
      </c>
      <c r="L129" s="1">
        <v>22827.3</v>
      </c>
      <c r="M129" s="1">
        <v>23897.0</v>
      </c>
      <c r="N129" s="1">
        <v>24885.7</v>
      </c>
      <c r="O129" s="1">
        <v>25779.5</v>
      </c>
      <c r="R129" s="1" t="s">
        <v>43</v>
      </c>
      <c r="S129" s="1" t="s">
        <v>14</v>
      </c>
      <c r="T129" s="4">
        <f t="shared" ref="T129:AF129" si="126">T52*4</f>
        <v>9.815984509</v>
      </c>
      <c r="U129" s="4">
        <f t="shared" si="126"/>
        <v>7.024934985</v>
      </c>
      <c r="V129" s="4">
        <f t="shared" si="126"/>
        <v>6.542953803</v>
      </c>
      <c r="W129" s="4">
        <f t="shared" si="126"/>
        <v>5.196642712</v>
      </c>
      <c r="X129" s="4">
        <f t="shared" si="126"/>
        <v>3.895833555</v>
      </c>
      <c r="Y129" s="4">
        <f t="shared" si="126"/>
        <v>2.847646166</v>
      </c>
      <c r="Z129" s="4">
        <f t="shared" si="126"/>
        <v>1.581599407</v>
      </c>
      <c r="AA129" s="4">
        <f t="shared" si="126"/>
        <v>1.535016456</v>
      </c>
      <c r="AB129" s="4">
        <f t="shared" si="126"/>
        <v>1.597265391</v>
      </c>
      <c r="AC129" s="4">
        <f t="shared" si="126"/>
        <v>1.761131122</v>
      </c>
      <c r="AD129" s="4">
        <f t="shared" si="126"/>
        <v>1.932798467</v>
      </c>
      <c r="AE129" s="4">
        <f t="shared" si="126"/>
        <v>2.113649293</v>
      </c>
      <c r="AF129" s="4">
        <f t="shared" si="126"/>
        <v>2.281758892</v>
      </c>
      <c r="AG129" s="4">
        <f t="shared" si="77"/>
        <v>0.34873529</v>
      </c>
    </row>
    <row r="130" ht="14.25" customHeight="1">
      <c r="A130" s="1" t="s">
        <v>44</v>
      </c>
      <c r="B130" s="1" t="s">
        <v>69</v>
      </c>
      <c r="C130" s="1">
        <v>7933.0</v>
      </c>
      <c r="D130" s="1">
        <v>8933.0</v>
      </c>
      <c r="E130" s="1">
        <v>9938.0</v>
      </c>
      <c r="F130" s="1">
        <v>10932.0</v>
      </c>
      <c r="G130" s="1">
        <v>11899.0</v>
      </c>
      <c r="H130" s="1">
        <v>12816.0</v>
      </c>
      <c r="I130" s="1">
        <v>13618.6</v>
      </c>
      <c r="J130" s="1">
        <v>14346.8</v>
      </c>
      <c r="K130" s="1">
        <v>15006.0</v>
      </c>
      <c r="L130" s="1">
        <v>15564.3</v>
      </c>
      <c r="M130" s="1">
        <v>16039.6</v>
      </c>
      <c r="N130" s="1">
        <v>16432.5</v>
      </c>
      <c r="O130" s="1">
        <v>16738.8</v>
      </c>
      <c r="R130" s="1" t="s">
        <v>44</v>
      </c>
      <c r="S130" s="1" t="s">
        <v>14</v>
      </c>
      <c r="T130" s="4">
        <f t="shared" ref="T130:AF130" si="127">T53*4</f>
        <v>10.05560655</v>
      </c>
      <c r="U130" s="4">
        <f t="shared" si="127"/>
        <v>6.892900976</v>
      </c>
      <c r="V130" s="4">
        <f t="shared" si="127"/>
        <v>5.200038969</v>
      </c>
      <c r="W130" s="4">
        <f t="shared" si="127"/>
        <v>3.648519957</v>
      </c>
      <c r="X130" s="4">
        <f t="shared" si="127"/>
        <v>2.360980743</v>
      </c>
      <c r="Y130" s="4">
        <f t="shared" si="127"/>
        <v>1.419853491</v>
      </c>
      <c r="Z130" s="4">
        <f t="shared" si="127"/>
        <v>0</v>
      </c>
      <c r="AA130" s="4">
        <f t="shared" si="127"/>
        <v>0</v>
      </c>
      <c r="AB130" s="4">
        <f t="shared" si="127"/>
        <v>0.0008450390857</v>
      </c>
      <c r="AC130" s="4">
        <f t="shared" si="127"/>
        <v>0.006277997123</v>
      </c>
      <c r="AD130" s="4">
        <f t="shared" si="127"/>
        <v>0.03769420401</v>
      </c>
      <c r="AE130" s="4">
        <f t="shared" si="127"/>
        <v>0.1248148826</v>
      </c>
      <c r="AF130" s="4">
        <f t="shared" si="127"/>
        <v>0.2849887128</v>
      </c>
      <c r="AG130" s="4">
        <f t="shared" si="77"/>
        <v>0.05480511097</v>
      </c>
    </row>
    <row r="131" ht="14.25" customHeight="1">
      <c r="A131" s="1" t="s">
        <v>45</v>
      </c>
      <c r="B131" s="1" t="s">
        <v>69</v>
      </c>
      <c r="C131" s="1">
        <v>3371.0</v>
      </c>
      <c r="D131" s="1">
        <v>3708.0</v>
      </c>
      <c r="E131" s="1">
        <v>4026.0</v>
      </c>
      <c r="F131" s="1">
        <v>4351.0</v>
      </c>
      <c r="G131" s="1">
        <v>4684.0</v>
      </c>
      <c r="H131" s="1">
        <v>5005.0</v>
      </c>
      <c r="I131" s="1">
        <v>5411.66</v>
      </c>
      <c r="J131" s="1">
        <v>5636.12</v>
      </c>
      <c r="K131" s="1">
        <v>5830.61</v>
      </c>
      <c r="L131" s="1">
        <v>5997.91</v>
      </c>
      <c r="M131" s="1">
        <v>6137.63</v>
      </c>
      <c r="N131" s="1">
        <v>6248.24</v>
      </c>
      <c r="O131" s="1">
        <v>6328.57</v>
      </c>
      <c r="R131" s="1" t="s">
        <v>45</v>
      </c>
      <c r="S131" s="1" t="s">
        <v>14</v>
      </c>
      <c r="T131" s="4">
        <f t="shared" ref="T131:AF131" si="128">T54*4</f>
        <v>8.520371326</v>
      </c>
      <c r="U131" s="4">
        <f t="shared" si="128"/>
        <v>9.576988149</v>
      </c>
      <c r="V131" s="4">
        <f t="shared" si="128"/>
        <v>7.499046972</v>
      </c>
      <c r="W131" s="4">
        <f t="shared" si="128"/>
        <v>5.711624415</v>
      </c>
      <c r="X131" s="4">
        <f t="shared" si="128"/>
        <v>4.46297191</v>
      </c>
      <c r="Y131" s="4">
        <f t="shared" si="128"/>
        <v>3.192220092</v>
      </c>
      <c r="Z131" s="4">
        <f t="shared" si="128"/>
        <v>1.696536878</v>
      </c>
      <c r="AA131" s="4">
        <f t="shared" si="128"/>
        <v>1.507691782</v>
      </c>
      <c r="AB131" s="4">
        <f t="shared" si="128"/>
        <v>1.659498543</v>
      </c>
      <c r="AC131" s="4">
        <f t="shared" si="128"/>
        <v>1.830045784</v>
      </c>
      <c r="AD131" s="4">
        <f t="shared" si="128"/>
        <v>2.014773678</v>
      </c>
      <c r="AE131" s="4">
        <f t="shared" si="128"/>
        <v>2.21517936</v>
      </c>
      <c r="AF131" s="4">
        <f t="shared" si="128"/>
        <v>2.405632282</v>
      </c>
      <c r="AG131" s="4">
        <f t="shared" si="77"/>
        <v>0.3207917341</v>
      </c>
    </row>
    <row r="132" ht="14.25" customHeight="1">
      <c r="A132" s="1" t="s">
        <v>46</v>
      </c>
      <c r="B132" s="1" t="s">
        <v>69</v>
      </c>
      <c r="C132" s="1">
        <v>23626.0</v>
      </c>
      <c r="D132" s="1">
        <v>26373.0</v>
      </c>
      <c r="E132" s="1">
        <v>29044.0</v>
      </c>
      <c r="F132" s="1">
        <v>31620.0</v>
      </c>
      <c r="G132" s="1">
        <v>34111.0</v>
      </c>
      <c r="H132" s="1">
        <v>36511.0</v>
      </c>
      <c r="I132" s="1">
        <v>39144.0</v>
      </c>
      <c r="J132" s="1">
        <v>40425.2</v>
      </c>
      <c r="K132" s="1">
        <v>41517.3</v>
      </c>
      <c r="L132" s="1">
        <v>42526.8</v>
      </c>
      <c r="M132" s="1">
        <v>43363.5</v>
      </c>
      <c r="N132" s="1">
        <v>43988.2</v>
      </c>
      <c r="O132" s="1">
        <v>44393.3</v>
      </c>
      <c r="R132" s="1" t="s">
        <v>46</v>
      </c>
      <c r="S132" s="1" t="s">
        <v>14</v>
      </c>
      <c r="T132" s="4">
        <f t="shared" ref="T132:AF132" si="129">T55*4</f>
        <v>7.577644055</v>
      </c>
      <c r="U132" s="4">
        <f t="shared" si="129"/>
        <v>5.714296678</v>
      </c>
      <c r="V132" s="4">
        <f t="shared" si="129"/>
        <v>6.375070308</v>
      </c>
      <c r="W132" s="4">
        <f t="shared" si="129"/>
        <v>5.261712231</v>
      </c>
      <c r="X132" s="4">
        <f t="shared" si="129"/>
        <v>4.10162397</v>
      </c>
      <c r="Y132" s="4">
        <f t="shared" si="129"/>
        <v>3.105044703</v>
      </c>
      <c r="Z132" s="4">
        <f t="shared" si="129"/>
        <v>1.848721111</v>
      </c>
      <c r="AA132" s="4">
        <f t="shared" si="129"/>
        <v>1.783691843</v>
      </c>
      <c r="AB132" s="4">
        <f t="shared" si="129"/>
        <v>1.834945701</v>
      </c>
      <c r="AC132" s="4">
        <f t="shared" si="129"/>
        <v>2.047776366</v>
      </c>
      <c r="AD132" s="4">
        <f t="shared" si="129"/>
        <v>2.268505741</v>
      </c>
      <c r="AE132" s="4">
        <f t="shared" si="129"/>
        <v>2.502711577</v>
      </c>
      <c r="AF132" s="4">
        <f t="shared" si="129"/>
        <v>2.72266663</v>
      </c>
      <c r="AG132" s="4">
        <f t="shared" si="77"/>
        <v>0.4270802515</v>
      </c>
    </row>
    <row r="133" ht="14.25" customHeight="1">
      <c r="A133" s="1" t="s">
        <v>47</v>
      </c>
      <c r="B133" s="1" t="s">
        <v>69</v>
      </c>
      <c r="C133" s="1">
        <v>15935.0</v>
      </c>
      <c r="D133" s="1">
        <v>20602.0</v>
      </c>
      <c r="E133" s="1">
        <v>25200.0</v>
      </c>
      <c r="F133" s="1">
        <v>29465.0</v>
      </c>
      <c r="G133" s="1">
        <v>33051.0</v>
      </c>
      <c r="H133" s="1">
        <v>35630.0</v>
      </c>
      <c r="I133" s="1">
        <v>35611.6</v>
      </c>
      <c r="J133" s="1">
        <v>35152.8</v>
      </c>
      <c r="K133" s="1">
        <v>34521.3</v>
      </c>
      <c r="L133" s="1">
        <v>33952.9</v>
      </c>
      <c r="M133" s="1">
        <v>33256.4</v>
      </c>
      <c r="N133" s="1">
        <v>32390.2</v>
      </c>
      <c r="O133" s="1">
        <v>31365.9</v>
      </c>
      <c r="R133" s="1" t="s">
        <v>47</v>
      </c>
      <c r="S133" s="1" t="s">
        <v>14</v>
      </c>
      <c r="T133" s="4">
        <f t="shared" ref="T133:AF133" si="130">T56*4</f>
        <v>4.906489862</v>
      </c>
      <c r="U133" s="4">
        <f t="shared" si="130"/>
        <v>1.482784696</v>
      </c>
      <c r="V133" s="4">
        <f t="shared" si="130"/>
        <v>3.284151594</v>
      </c>
      <c r="W133" s="4">
        <f t="shared" si="130"/>
        <v>2.310274752</v>
      </c>
      <c r="X133" s="4">
        <f t="shared" si="130"/>
        <v>1.600809997</v>
      </c>
      <c r="Y133" s="4">
        <f t="shared" si="130"/>
        <v>1.053755354</v>
      </c>
      <c r="Z133" s="4">
        <f t="shared" si="130"/>
        <v>0.4077197292</v>
      </c>
      <c r="AA133" s="4">
        <f t="shared" si="130"/>
        <v>0.325285808</v>
      </c>
      <c r="AB133" s="4">
        <f t="shared" si="130"/>
        <v>0.2788670512</v>
      </c>
      <c r="AC133" s="4">
        <f t="shared" si="130"/>
        <v>0.3653660795</v>
      </c>
      <c r="AD133" s="4">
        <f t="shared" si="130"/>
        <v>0.4617088942</v>
      </c>
      <c r="AE133" s="4">
        <f t="shared" si="130"/>
        <v>0.5707608171</v>
      </c>
      <c r="AF133" s="4">
        <f t="shared" si="130"/>
        <v>0.6862472497</v>
      </c>
      <c r="AG133" s="4">
        <f t="shared" si="77"/>
        <v>0.208957239</v>
      </c>
    </row>
    <row r="134" ht="14.25" customHeight="1">
      <c r="A134" s="1" t="s">
        <v>48</v>
      </c>
      <c r="B134" s="1" t="s">
        <v>69</v>
      </c>
      <c r="C134" s="1">
        <v>62.0</v>
      </c>
      <c r="D134" s="1">
        <v>75.0</v>
      </c>
      <c r="E134" s="1">
        <v>88.0</v>
      </c>
      <c r="F134" s="1">
        <v>101.0</v>
      </c>
      <c r="G134" s="1">
        <v>115.0</v>
      </c>
      <c r="H134" s="1">
        <v>130.633</v>
      </c>
      <c r="I134" s="1">
        <v>150.88</v>
      </c>
      <c r="J134" s="1">
        <v>168.5</v>
      </c>
      <c r="K134" s="1">
        <v>182.32</v>
      </c>
      <c r="L134" s="1">
        <v>196.0</v>
      </c>
      <c r="M134" s="1">
        <v>204.74</v>
      </c>
      <c r="N134" s="1">
        <v>213.0</v>
      </c>
      <c r="O134" s="1">
        <v>216.55</v>
      </c>
      <c r="R134" s="1" t="s">
        <v>48</v>
      </c>
      <c r="S134" s="1" t="s">
        <v>14</v>
      </c>
      <c r="T134" s="4">
        <f t="shared" ref="T134:AF134" si="131">T57*4</f>
        <v>0</v>
      </c>
      <c r="U134" s="4">
        <f t="shared" si="131"/>
        <v>0.1153263668</v>
      </c>
      <c r="V134" s="4">
        <f t="shared" si="131"/>
        <v>0.1164623647</v>
      </c>
      <c r="W134" s="4">
        <f t="shared" si="131"/>
        <v>0.14245758</v>
      </c>
      <c r="X134" s="4">
        <f t="shared" si="131"/>
        <v>0.1355738004</v>
      </c>
      <c r="Y134" s="4">
        <f t="shared" si="131"/>
        <v>0.1166267493</v>
      </c>
      <c r="Z134" s="4">
        <f t="shared" si="131"/>
        <v>0.104623525</v>
      </c>
      <c r="AA134" s="4">
        <f t="shared" si="131"/>
        <v>0.1004958732</v>
      </c>
      <c r="AB134" s="4">
        <f t="shared" si="131"/>
        <v>0.106430522</v>
      </c>
      <c r="AC134" s="4">
        <f t="shared" si="131"/>
        <v>0.1171247502</v>
      </c>
      <c r="AD134" s="4">
        <f t="shared" si="131"/>
        <v>0.1300478079</v>
      </c>
      <c r="AE134" s="4">
        <f t="shared" si="131"/>
        <v>0.1433223375</v>
      </c>
      <c r="AF134" s="4">
        <f t="shared" si="131"/>
        <v>0.1567561123</v>
      </c>
      <c r="AG134" s="4">
        <f t="shared" si="77"/>
        <v>1.345980847</v>
      </c>
    </row>
    <row r="135" ht="14.25" customHeight="1">
      <c r="A135" s="1" t="s">
        <v>49</v>
      </c>
      <c r="B135" s="1" t="s">
        <v>69</v>
      </c>
      <c r="C135" s="1">
        <v>50.0</v>
      </c>
      <c r="D135" s="1">
        <v>60.0</v>
      </c>
      <c r="E135" s="1">
        <v>66.0</v>
      </c>
      <c r="F135" s="1">
        <v>69.3</v>
      </c>
      <c r="G135" s="1">
        <v>70.29</v>
      </c>
      <c r="H135" s="1">
        <v>72.27</v>
      </c>
      <c r="I135" s="1">
        <v>74.25</v>
      </c>
      <c r="J135" s="1">
        <v>77.22</v>
      </c>
      <c r="K135" s="1">
        <v>79.2</v>
      </c>
      <c r="L135" s="1">
        <v>81.18</v>
      </c>
      <c r="M135" s="1">
        <v>82.17</v>
      </c>
      <c r="N135" s="1">
        <v>83.16</v>
      </c>
      <c r="O135" s="1">
        <v>0.0</v>
      </c>
      <c r="R135" s="1" t="s">
        <v>49</v>
      </c>
      <c r="S135" s="1" t="s">
        <v>14</v>
      </c>
      <c r="T135" s="4">
        <f t="shared" ref="T135:AF135" si="132">T58*4</f>
        <v>1.327328487</v>
      </c>
      <c r="U135" s="4">
        <f t="shared" si="132"/>
        <v>0.8546950979</v>
      </c>
      <c r="V135" s="4">
        <f t="shared" si="132"/>
        <v>0.7218045938</v>
      </c>
      <c r="W135" s="4">
        <f t="shared" si="132"/>
        <v>0.6090592742</v>
      </c>
      <c r="X135" s="4">
        <f t="shared" si="132"/>
        <v>0.5898136082</v>
      </c>
      <c r="Y135" s="4">
        <f t="shared" si="132"/>
        <v>0.5432564349</v>
      </c>
      <c r="Z135" s="4">
        <f t="shared" si="132"/>
        <v>0.3854995112</v>
      </c>
      <c r="AA135" s="4">
        <f t="shared" si="132"/>
        <v>0.4222395556</v>
      </c>
      <c r="AB135" s="4">
        <f t="shared" si="132"/>
        <v>0.4723890857</v>
      </c>
      <c r="AC135" s="4">
        <f t="shared" si="132"/>
        <v>0.5372238917</v>
      </c>
      <c r="AD135" s="4">
        <f t="shared" si="132"/>
        <v>0.6099967449</v>
      </c>
      <c r="AE135" s="4">
        <f t="shared" si="132"/>
        <v>0.6852059189</v>
      </c>
      <c r="AF135" s="4" t="str">
        <f t="shared" si="132"/>
        <v>#DIV/0!</v>
      </c>
      <c r="AG135" s="4" t="str">
        <f t="shared" si="77"/>
        <v>#DIV/0!</v>
      </c>
    </row>
    <row r="136" ht="14.25" customHeight="1">
      <c r="A136" s="1" t="s">
        <v>50</v>
      </c>
      <c r="B136" s="1" t="s">
        <v>69</v>
      </c>
      <c r="C136" s="1">
        <v>50818.0</v>
      </c>
      <c r="D136" s="1">
        <v>55342.0</v>
      </c>
      <c r="E136" s="1">
        <v>59710.0</v>
      </c>
      <c r="F136" s="1">
        <v>63809.0</v>
      </c>
      <c r="G136" s="1">
        <v>67671.0</v>
      </c>
      <c r="H136" s="1">
        <v>71225.0</v>
      </c>
      <c r="I136" s="1">
        <v>75396.7</v>
      </c>
      <c r="J136" s="1">
        <v>79143.0</v>
      </c>
      <c r="K136" s="1">
        <v>82498.6</v>
      </c>
      <c r="L136" s="1">
        <v>85481.8</v>
      </c>
      <c r="M136" s="1">
        <v>88072.8</v>
      </c>
      <c r="N136" s="1">
        <v>90228.8</v>
      </c>
      <c r="O136" s="1">
        <v>91922.0</v>
      </c>
      <c r="R136" s="1" t="s">
        <v>50</v>
      </c>
      <c r="S136" s="1" t="s">
        <v>14</v>
      </c>
      <c r="T136" s="4">
        <f t="shared" ref="T136:AF136" si="133">T59*4</f>
        <v>9.159498626</v>
      </c>
      <c r="U136" s="4">
        <f t="shared" si="133"/>
        <v>6.498418405</v>
      </c>
      <c r="V136" s="4">
        <f t="shared" si="133"/>
        <v>5.392556051</v>
      </c>
      <c r="W136" s="4">
        <f t="shared" si="133"/>
        <v>4.100761885</v>
      </c>
      <c r="X136" s="4">
        <f t="shared" si="133"/>
        <v>2.914957718</v>
      </c>
      <c r="Y136" s="4">
        <f t="shared" si="133"/>
        <v>1.983466137</v>
      </c>
      <c r="Z136" s="4">
        <f t="shared" si="133"/>
        <v>0.5450674156</v>
      </c>
      <c r="AA136" s="4">
        <f t="shared" si="133"/>
        <v>0.6115135691</v>
      </c>
      <c r="AB136" s="4">
        <f t="shared" si="133"/>
        <v>0.7488578609</v>
      </c>
      <c r="AC136" s="4">
        <f t="shared" si="133"/>
        <v>0.9516769223</v>
      </c>
      <c r="AD136" s="4">
        <f t="shared" si="133"/>
        <v>1.158259592</v>
      </c>
      <c r="AE136" s="4">
        <f t="shared" si="133"/>
        <v>1.379518602</v>
      </c>
      <c r="AF136" s="4">
        <f t="shared" si="133"/>
        <v>1.58617556</v>
      </c>
      <c r="AG136" s="4">
        <f t="shared" si="77"/>
        <v>0.2941416918</v>
      </c>
    </row>
    <row r="137" ht="14.25" customHeight="1">
      <c r="A137" s="1" t="s">
        <v>51</v>
      </c>
      <c r="B137" s="1" t="s">
        <v>69</v>
      </c>
      <c r="C137" s="1">
        <v>595.0</v>
      </c>
      <c r="D137" s="1">
        <v>636.0</v>
      </c>
      <c r="E137" s="1">
        <v>676.0</v>
      </c>
      <c r="F137" s="1">
        <v>715.0</v>
      </c>
      <c r="G137" s="1">
        <v>752.0</v>
      </c>
      <c r="H137" s="1">
        <v>784.0</v>
      </c>
      <c r="I137" s="1">
        <v>835.961</v>
      </c>
      <c r="J137" s="1">
        <v>883.708</v>
      </c>
      <c r="K137" s="1">
        <v>927.416</v>
      </c>
      <c r="L137" s="1">
        <v>959.435</v>
      </c>
      <c r="M137" s="1">
        <v>985.592</v>
      </c>
      <c r="N137" s="1">
        <v>1006.14</v>
      </c>
      <c r="O137" s="1">
        <v>1021.42</v>
      </c>
      <c r="R137" s="1" t="s">
        <v>51</v>
      </c>
      <c r="S137" s="1" t="s">
        <v>14</v>
      </c>
      <c r="T137" s="4">
        <f t="shared" ref="T137:AF137" si="134">T60*4</f>
        <v>13.09784704</v>
      </c>
      <c r="U137" s="4">
        <f t="shared" si="134"/>
        <v>10.89287424</v>
      </c>
      <c r="V137" s="4">
        <f t="shared" si="134"/>
        <v>10.82285251</v>
      </c>
      <c r="W137" s="4">
        <f t="shared" si="134"/>
        <v>8.845828978</v>
      </c>
      <c r="X137" s="4">
        <f t="shared" si="134"/>
        <v>6.751373137</v>
      </c>
      <c r="Y137" s="4">
        <f t="shared" si="134"/>
        <v>4.929420996</v>
      </c>
      <c r="Z137" s="4">
        <f t="shared" si="134"/>
        <v>2.388338469</v>
      </c>
      <c r="AA137" s="4">
        <f t="shared" si="134"/>
        <v>2.164535006</v>
      </c>
      <c r="AB137" s="4">
        <f t="shared" si="134"/>
        <v>2.183353887</v>
      </c>
      <c r="AC137" s="4">
        <f t="shared" si="134"/>
        <v>2.403719098</v>
      </c>
      <c r="AD137" s="4">
        <f t="shared" si="134"/>
        <v>2.65397386</v>
      </c>
      <c r="AE137" s="4">
        <f t="shared" si="134"/>
        <v>2.924613297</v>
      </c>
      <c r="AF137" s="4">
        <f t="shared" si="134"/>
        <v>3.181313333</v>
      </c>
      <c r="AG137" s="4">
        <f t="shared" si="77"/>
        <v>0.2939440716</v>
      </c>
    </row>
    <row r="138" ht="14.25" customHeight="1">
      <c r="A138" s="1" t="s">
        <v>52</v>
      </c>
      <c r="B138" s="1" t="s">
        <v>69</v>
      </c>
      <c r="C138" s="1">
        <v>834.0</v>
      </c>
      <c r="D138" s="1">
        <v>920.0</v>
      </c>
      <c r="E138" s="1">
        <v>1009.0</v>
      </c>
      <c r="F138" s="1">
        <v>1100.0</v>
      </c>
      <c r="G138" s="1">
        <v>1190.0</v>
      </c>
      <c r="H138" s="1">
        <v>1252.1</v>
      </c>
      <c r="I138" s="1">
        <v>1321.04</v>
      </c>
      <c r="J138" s="1">
        <v>1323.59</v>
      </c>
      <c r="K138" s="1">
        <v>1319.43</v>
      </c>
      <c r="L138" s="1">
        <v>1296.62</v>
      </c>
      <c r="M138" s="1">
        <v>1262.7</v>
      </c>
      <c r="N138" s="1">
        <v>1221.23</v>
      </c>
      <c r="O138" s="1">
        <v>1172.75</v>
      </c>
      <c r="R138" s="1" t="s">
        <v>52</v>
      </c>
      <c r="S138" s="1" t="s">
        <v>14</v>
      </c>
      <c r="T138" s="4">
        <f t="shared" ref="T138:AF138" si="135">T61*4</f>
        <v>5.458720257</v>
      </c>
      <c r="U138" s="4">
        <f t="shared" si="135"/>
        <v>4.410342137</v>
      </c>
      <c r="V138" s="4">
        <f t="shared" si="135"/>
        <v>4.141592095</v>
      </c>
      <c r="W138" s="4">
        <f t="shared" si="135"/>
        <v>3.202905188</v>
      </c>
      <c r="X138" s="4">
        <f t="shared" si="135"/>
        <v>2.313684288</v>
      </c>
      <c r="Y138" s="4">
        <f t="shared" si="135"/>
        <v>1.601295739</v>
      </c>
      <c r="Z138" s="4">
        <f t="shared" si="135"/>
        <v>0.6408839615</v>
      </c>
      <c r="AA138" s="4">
        <f t="shared" si="135"/>
        <v>0.5341819879</v>
      </c>
      <c r="AB138" s="4">
        <f t="shared" si="135"/>
        <v>0.4945749879</v>
      </c>
      <c r="AC138" s="4">
        <f t="shared" si="135"/>
        <v>0.5295606816</v>
      </c>
      <c r="AD138" s="4">
        <f t="shared" si="135"/>
        <v>0.5752353454</v>
      </c>
      <c r="AE138" s="4">
        <f t="shared" si="135"/>
        <v>0.6281880909</v>
      </c>
      <c r="AF138" s="4">
        <f t="shared" si="135"/>
        <v>0.6787145259</v>
      </c>
      <c r="AG138" s="4">
        <f t="shared" si="77"/>
        <v>0.1638776853</v>
      </c>
    </row>
    <row r="139" ht="14.25" customHeight="1">
      <c r="A139" s="1" t="s">
        <v>53</v>
      </c>
      <c r="B139" s="1" t="s">
        <v>69</v>
      </c>
      <c r="C139" s="1">
        <v>20069.0</v>
      </c>
      <c r="D139" s="1">
        <v>22234.0</v>
      </c>
      <c r="E139" s="1">
        <v>24318.0</v>
      </c>
      <c r="F139" s="1">
        <v>26292.0</v>
      </c>
      <c r="G139" s="1">
        <v>28085.0</v>
      </c>
      <c r="H139" s="1">
        <v>29730.0</v>
      </c>
      <c r="I139" s="1">
        <v>31475.6</v>
      </c>
      <c r="J139" s="1">
        <v>33042.1</v>
      </c>
      <c r="K139" s="1">
        <v>34444.1</v>
      </c>
      <c r="L139" s="1">
        <v>35701.1</v>
      </c>
      <c r="M139" s="1">
        <v>36800.0</v>
      </c>
      <c r="N139" s="1">
        <v>37720.6</v>
      </c>
      <c r="O139" s="1">
        <v>38450.5</v>
      </c>
      <c r="R139" s="1" t="s">
        <v>53</v>
      </c>
      <c r="S139" s="1" t="s">
        <v>14</v>
      </c>
      <c r="T139" s="4">
        <f t="shared" ref="T139:AF139" si="136">T62*4</f>
        <v>9.209679355</v>
      </c>
      <c r="U139" s="4">
        <f t="shared" si="136"/>
        <v>6.447419249</v>
      </c>
      <c r="V139" s="4">
        <f t="shared" si="136"/>
        <v>4.948260234</v>
      </c>
      <c r="W139" s="4">
        <f t="shared" si="136"/>
        <v>4.161954814</v>
      </c>
      <c r="X139" s="4">
        <f t="shared" si="136"/>
        <v>3.427080704</v>
      </c>
      <c r="Y139" s="4">
        <f t="shared" si="136"/>
        <v>2.668766571</v>
      </c>
      <c r="Z139" s="4">
        <f t="shared" si="136"/>
        <v>1.455732286</v>
      </c>
      <c r="AA139" s="4">
        <f t="shared" si="136"/>
        <v>1.551230291</v>
      </c>
      <c r="AB139" s="4">
        <f t="shared" si="136"/>
        <v>1.70509057</v>
      </c>
      <c r="AC139" s="4">
        <f t="shared" si="136"/>
        <v>1.8814127</v>
      </c>
      <c r="AD139" s="4">
        <f t="shared" si="136"/>
        <v>2.073960638</v>
      </c>
      <c r="AE139" s="4">
        <f t="shared" si="136"/>
        <v>2.278980312</v>
      </c>
      <c r="AF139" s="4">
        <f t="shared" si="136"/>
        <v>2.473096114</v>
      </c>
      <c r="AG139" s="4">
        <f t="shared" si="77"/>
        <v>0.4997910371</v>
      </c>
    </row>
    <row r="140" ht="14.25" customHeight="1">
      <c r="A140" s="1" t="s">
        <v>54</v>
      </c>
      <c r="B140" s="1" t="s">
        <v>69</v>
      </c>
      <c r="C140" s="1">
        <v>572.0</v>
      </c>
      <c r="D140" s="1">
        <v>617.0</v>
      </c>
      <c r="E140" s="1">
        <v>663.0</v>
      </c>
      <c r="F140" s="1">
        <v>709.0</v>
      </c>
      <c r="G140" s="1">
        <v>753.0</v>
      </c>
      <c r="H140" s="1">
        <v>780.554</v>
      </c>
      <c r="I140" s="1">
        <v>810.489</v>
      </c>
      <c r="J140" s="1">
        <v>817.64</v>
      </c>
      <c r="K140" s="1">
        <v>820.598</v>
      </c>
      <c r="L140" s="1">
        <v>812.458</v>
      </c>
      <c r="M140" s="1">
        <v>798.42</v>
      </c>
      <c r="N140" s="1">
        <v>778.91</v>
      </c>
      <c r="O140" s="1">
        <v>755.648</v>
      </c>
      <c r="R140" s="1" t="s">
        <v>54</v>
      </c>
      <c r="S140" s="1" t="s">
        <v>14</v>
      </c>
      <c r="T140" s="4">
        <f t="shared" ref="T140:AF140" si="137">T63*4</f>
        <v>3.945163197</v>
      </c>
      <c r="U140" s="4">
        <f t="shared" si="137"/>
        <v>3.646561494</v>
      </c>
      <c r="V140" s="4">
        <f t="shared" si="137"/>
        <v>3.724449431</v>
      </c>
      <c r="W140" s="4">
        <f t="shared" si="137"/>
        <v>2.973046775</v>
      </c>
      <c r="X140" s="4">
        <f t="shared" si="137"/>
        <v>2.200911634</v>
      </c>
      <c r="Y140" s="4">
        <f t="shared" si="137"/>
        <v>1.540768187</v>
      </c>
      <c r="Z140" s="4">
        <f t="shared" si="137"/>
        <v>0.6966580536</v>
      </c>
      <c r="AA140" s="4">
        <f t="shared" si="137"/>
        <v>0.5541107983</v>
      </c>
      <c r="AB140" s="4">
        <f t="shared" si="137"/>
        <v>0.5170844818</v>
      </c>
      <c r="AC140" s="4">
        <f t="shared" si="137"/>
        <v>0.5661960453</v>
      </c>
      <c r="AD140" s="4">
        <f t="shared" si="137"/>
        <v>0.6254814071</v>
      </c>
      <c r="AE140" s="4">
        <f t="shared" si="137"/>
        <v>0.6928521503</v>
      </c>
      <c r="AF140" s="4">
        <f t="shared" si="137"/>
        <v>0.7597522829</v>
      </c>
      <c r="AG140" s="4">
        <f t="shared" si="77"/>
        <v>0.203990495</v>
      </c>
    </row>
    <row r="141" ht="14.25" customHeight="1">
      <c r="A141" s="1" t="s">
        <v>55</v>
      </c>
      <c r="B141" s="1" t="s">
        <v>69</v>
      </c>
      <c r="C141" s="1">
        <v>571.0</v>
      </c>
      <c r="D141" s="1">
        <v>747.0</v>
      </c>
      <c r="E141" s="1">
        <v>941.0</v>
      </c>
      <c r="F141" s="1">
        <v>1150.0</v>
      </c>
      <c r="G141" s="1">
        <v>1367.0</v>
      </c>
      <c r="H141" s="1">
        <v>1581.0</v>
      </c>
      <c r="I141" s="1">
        <v>1691.16</v>
      </c>
      <c r="J141" s="1">
        <v>1748.6</v>
      </c>
      <c r="K141" s="1">
        <v>1772.16</v>
      </c>
      <c r="L141" s="1">
        <v>1764.72</v>
      </c>
      <c r="M141" s="1">
        <v>1729.12</v>
      </c>
      <c r="N141" s="1">
        <v>1694.91</v>
      </c>
      <c r="O141" s="1">
        <v>1650.92</v>
      </c>
      <c r="R141" s="1" t="s">
        <v>55</v>
      </c>
      <c r="S141" s="1" t="s">
        <v>14</v>
      </c>
      <c r="T141" s="4">
        <f t="shared" ref="T141:AF141" si="138">T64*4</f>
        <v>8.052988572</v>
      </c>
      <c r="U141" s="4">
        <f t="shared" si="138"/>
        <v>5.839509788</v>
      </c>
      <c r="V141" s="4">
        <f t="shared" si="138"/>
        <v>5.156282214</v>
      </c>
      <c r="W141" s="4">
        <f t="shared" si="138"/>
        <v>3.749881477</v>
      </c>
      <c r="X141" s="4">
        <f t="shared" si="138"/>
        <v>2.653355594</v>
      </c>
      <c r="Y141" s="4">
        <f t="shared" si="138"/>
        <v>1.886241907</v>
      </c>
      <c r="Z141" s="4">
        <f t="shared" si="138"/>
        <v>1.111058526</v>
      </c>
      <c r="AA141" s="4">
        <f t="shared" si="138"/>
        <v>1.045081213</v>
      </c>
      <c r="AB141" s="4">
        <f t="shared" si="138"/>
        <v>1.053135446</v>
      </c>
      <c r="AC141" s="4">
        <f t="shared" si="138"/>
        <v>1.135276239</v>
      </c>
      <c r="AD141" s="4">
        <f t="shared" si="138"/>
        <v>1.247790172</v>
      </c>
      <c r="AE141" s="4">
        <f t="shared" si="138"/>
        <v>1.373952016</v>
      </c>
      <c r="AF141" s="4">
        <f t="shared" si="138"/>
        <v>1.506561572</v>
      </c>
      <c r="AG141" s="4">
        <f t="shared" si="77"/>
        <v>0.2921798128</v>
      </c>
    </row>
    <row r="142" ht="14.25" customHeight="1">
      <c r="A142" s="1" t="s">
        <v>56</v>
      </c>
      <c r="B142" s="1" t="s">
        <v>69</v>
      </c>
      <c r="C142" s="1">
        <v>7004.0</v>
      </c>
      <c r="D142" s="1">
        <v>7582.0</v>
      </c>
      <c r="E142" s="1">
        <v>8148.0</v>
      </c>
      <c r="F142" s="1">
        <v>8696.0</v>
      </c>
      <c r="G142" s="1">
        <v>9210.0</v>
      </c>
      <c r="H142" s="1">
        <v>9754.77</v>
      </c>
      <c r="I142" s="1">
        <v>10300.0</v>
      </c>
      <c r="J142" s="1">
        <v>10853.5</v>
      </c>
      <c r="K142" s="1">
        <v>11351.7</v>
      </c>
      <c r="L142" s="1">
        <v>11858.6</v>
      </c>
      <c r="M142" s="1">
        <v>12321.3</v>
      </c>
      <c r="N142" s="1">
        <v>12717.6</v>
      </c>
      <c r="O142" s="1">
        <v>13041.6</v>
      </c>
      <c r="R142" s="1" t="s">
        <v>56</v>
      </c>
      <c r="S142" s="1" t="s">
        <v>14</v>
      </c>
      <c r="T142" s="4">
        <f t="shared" ref="T142:AF142" si="139">T65*4</f>
        <v>16.6443638</v>
      </c>
      <c r="U142" s="4">
        <f t="shared" si="139"/>
        <v>12.00953776</v>
      </c>
      <c r="V142" s="4">
        <f t="shared" si="139"/>
        <v>9.382968914</v>
      </c>
      <c r="W142" s="4">
        <f t="shared" si="139"/>
        <v>7.84049127</v>
      </c>
      <c r="X142" s="4">
        <f t="shared" si="139"/>
        <v>6.358844576</v>
      </c>
      <c r="Y142" s="4">
        <f t="shared" si="139"/>
        <v>4.949669244</v>
      </c>
      <c r="Z142" s="4">
        <f t="shared" si="139"/>
        <v>2.684265041</v>
      </c>
      <c r="AA142" s="4">
        <f t="shared" si="139"/>
        <v>3.001152832</v>
      </c>
      <c r="AB142" s="4">
        <f t="shared" si="139"/>
        <v>3.467334182</v>
      </c>
      <c r="AC142" s="4">
        <f t="shared" si="139"/>
        <v>3.940497871</v>
      </c>
      <c r="AD142" s="4">
        <f t="shared" si="139"/>
        <v>4.448220105</v>
      </c>
      <c r="AE142" s="4">
        <f t="shared" si="139"/>
        <v>4.990608717</v>
      </c>
      <c r="AF142" s="4">
        <f t="shared" si="139"/>
        <v>5.507872832</v>
      </c>
      <c r="AG142" s="4">
        <f t="shared" si="77"/>
        <v>0.5870074688</v>
      </c>
    </row>
    <row r="143" ht="14.25" customHeight="1">
      <c r="A143" s="1" t="s">
        <v>57</v>
      </c>
      <c r="B143" s="1" t="s">
        <v>69</v>
      </c>
      <c r="C143" s="1">
        <v>10399.0</v>
      </c>
      <c r="D143" s="1">
        <v>11450.0</v>
      </c>
      <c r="E143" s="1">
        <v>12469.0</v>
      </c>
      <c r="F143" s="1">
        <v>13441.0</v>
      </c>
      <c r="G143" s="1">
        <v>14360.0</v>
      </c>
      <c r="H143" s="1">
        <v>15227.0</v>
      </c>
      <c r="I143" s="1">
        <v>16307.7</v>
      </c>
      <c r="J143" s="1">
        <v>16899.5</v>
      </c>
      <c r="K143" s="1">
        <v>17407.5</v>
      </c>
      <c r="L143" s="1">
        <v>17859.0</v>
      </c>
      <c r="M143" s="1">
        <v>18233.2</v>
      </c>
      <c r="N143" s="1">
        <v>18520.7</v>
      </c>
      <c r="O143" s="1">
        <v>18717.1</v>
      </c>
      <c r="R143" s="1" t="s">
        <v>57</v>
      </c>
      <c r="S143" s="1" t="s">
        <v>14</v>
      </c>
      <c r="T143" s="4">
        <f t="shared" ref="T143:AF143" si="140">T66*4</f>
        <v>9.605714281</v>
      </c>
      <c r="U143" s="4">
        <f t="shared" si="140"/>
        <v>6.953436211</v>
      </c>
      <c r="V143" s="4">
        <f t="shared" si="140"/>
        <v>5.966578578</v>
      </c>
      <c r="W143" s="4">
        <f t="shared" si="140"/>
        <v>4.815386821</v>
      </c>
      <c r="X143" s="4">
        <f t="shared" si="140"/>
        <v>3.62994149</v>
      </c>
      <c r="Y143" s="4">
        <f t="shared" si="140"/>
        <v>2.659780086</v>
      </c>
      <c r="Z143" s="4">
        <f t="shared" si="140"/>
        <v>1.247326248</v>
      </c>
      <c r="AA143" s="4">
        <f t="shared" si="140"/>
        <v>1.308609793</v>
      </c>
      <c r="AB143" s="4">
        <f t="shared" si="140"/>
        <v>1.461481056</v>
      </c>
      <c r="AC143" s="4">
        <f t="shared" si="140"/>
        <v>1.673474437</v>
      </c>
      <c r="AD143" s="4">
        <f t="shared" si="140"/>
        <v>1.89792446</v>
      </c>
      <c r="AE143" s="4">
        <f t="shared" si="140"/>
        <v>2.137791501</v>
      </c>
      <c r="AF143" s="4">
        <f t="shared" si="140"/>
        <v>2.36893907</v>
      </c>
      <c r="AG143" s="4">
        <f t="shared" si="77"/>
        <v>0.397034756</v>
      </c>
    </row>
    <row r="144" ht="14.25" customHeight="1">
      <c r="A144" s="1" t="s">
        <v>58</v>
      </c>
      <c r="B144" s="1" t="s">
        <v>69</v>
      </c>
      <c r="C144" s="1">
        <v>853.0</v>
      </c>
      <c r="D144" s="1">
        <v>970.0</v>
      </c>
      <c r="E144" s="1">
        <v>1098.0</v>
      </c>
      <c r="F144" s="1">
        <v>1241.0</v>
      </c>
      <c r="G144" s="1">
        <v>1397.0</v>
      </c>
      <c r="H144" s="1">
        <v>1516.31</v>
      </c>
      <c r="I144" s="1">
        <v>1641.5</v>
      </c>
      <c r="J144" s="1">
        <v>1699.54</v>
      </c>
      <c r="K144" s="1">
        <v>1747.27</v>
      </c>
      <c r="L144" s="1">
        <v>1786.69</v>
      </c>
      <c r="M144" s="1">
        <v>1817.64</v>
      </c>
      <c r="N144" s="1">
        <v>1839.92</v>
      </c>
      <c r="O144" s="1">
        <v>1851.84</v>
      </c>
      <c r="R144" s="1" t="s">
        <v>58</v>
      </c>
      <c r="S144" s="1" t="s">
        <v>14</v>
      </c>
      <c r="T144" s="4">
        <f t="shared" ref="T144:AF144" si="141">T67*4</f>
        <v>7.358040388</v>
      </c>
      <c r="U144" s="4">
        <f t="shared" si="141"/>
        <v>5.069604608</v>
      </c>
      <c r="V144" s="4">
        <f t="shared" si="141"/>
        <v>3.774678301</v>
      </c>
      <c r="W144" s="4">
        <f t="shared" si="141"/>
        <v>2.59731411</v>
      </c>
      <c r="X144" s="4">
        <f t="shared" si="141"/>
        <v>2.126494286</v>
      </c>
      <c r="Y144" s="4">
        <f t="shared" si="141"/>
        <v>1.769386795</v>
      </c>
      <c r="Z144" s="4">
        <f t="shared" si="141"/>
        <v>1.027987164</v>
      </c>
      <c r="AA144" s="4">
        <f t="shared" si="141"/>
        <v>1.145546816</v>
      </c>
      <c r="AB144" s="4">
        <f t="shared" si="141"/>
        <v>1.281770416</v>
      </c>
      <c r="AC144" s="4">
        <f t="shared" si="141"/>
        <v>1.42949162</v>
      </c>
      <c r="AD144" s="4">
        <f t="shared" si="141"/>
        <v>1.585318915</v>
      </c>
      <c r="AE144" s="4">
        <f t="shared" si="141"/>
        <v>1.757670239</v>
      </c>
      <c r="AF144" s="4">
        <f t="shared" si="141"/>
        <v>1.922887965</v>
      </c>
      <c r="AG144" s="4">
        <f t="shared" si="77"/>
        <v>0.5094177072</v>
      </c>
    </row>
    <row r="145" ht="14.25" customHeight="1">
      <c r="A145" s="1" t="s">
        <v>59</v>
      </c>
      <c r="B145" s="1" t="s">
        <v>69</v>
      </c>
      <c r="C145" s="1">
        <v>17048.0</v>
      </c>
      <c r="D145" s="1">
        <v>19013.0</v>
      </c>
      <c r="E145" s="1">
        <v>20874.0</v>
      </c>
      <c r="F145" s="1">
        <v>22615.0</v>
      </c>
      <c r="G145" s="1">
        <v>24192.0</v>
      </c>
      <c r="H145" s="1">
        <v>25765.0</v>
      </c>
      <c r="I145" s="1">
        <v>28237.5</v>
      </c>
      <c r="J145" s="1">
        <v>30605.5</v>
      </c>
      <c r="K145" s="1">
        <v>32864.1</v>
      </c>
      <c r="L145" s="1">
        <v>34964.2</v>
      </c>
      <c r="M145" s="1">
        <v>36914.3</v>
      </c>
      <c r="N145" s="1">
        <v>38695.2</v>
      </c>
      <c r="O145" s="1">
        <v>40280.5</v>
      </c>
      <c r="R145" s="1" t="s">
        <v>59</v>
      </c>
      <c r="S145" s="1" t="s">
        <v>14</v>
      </c>
      <c r="T145" s="4">
        <f t="shared" ref="T145:AF145" si="142">T68*4</f>
        <v>9.24135205</v>
      </c>
      <c r="U145" s="4">
        <f t="shared" si="142"/>
        <v>7.032916071</v>
      </c>
      <c r="V145" s="4">
        <f t="shared" si="142"/>
        <v>7.116385054</v>
      </c>
      <c r="W145" s="4">
        <f t="shared" si="142"/>
        <v>5.776139079</v>
      </c>
      <c r="X145" s="4">
        <f t="shared" si="142"/>
        <v>4.435941177</v>
      </c>
      <c r="Y145" s="4">
        <f t="shared" si="142"/>
        <v>3.26816873</v>
      </c>
      <c r="Z145" s="4">
        <f t="shared" si="142"/>
        <v>1.71448589</v>
      </c>
      <c r="AA145" s="4">
        <f t="shared" si="142"/>
        <v>1.562604437</v>
      </c>
      <c r="AB145" s="4">
        <f t="shared" si="142"/>
        <v>1.541593043</v>
      </c>
      <c r="AC145" s="4">
        <f t="shared" si="142"/>
        <v>1.676542702</v>
      </c>
      <c r="AD145" s="4">
        <f t="shared" si="142"/>
        <v>1.831648341</v>
      </c>
      <c r="AE145" s="4">
        <f t="shared" si="142"/>
        <v>1.998544991</v>
      </c>
      <c r="AF145" s="4">
        <f t="shared" si="142"/>
        <v>2.155502017</v>
      </c>
      <c r="AG145" s="4">
        <f t="shared" si="77"/>
        <v>0.3028928312</v>
      </c>
    </row>
    <row r="146" ht="14.25" customHeight="1">
      <c r="A146" s="1" t="s">
        <v>60</v>
      </c>
      <c r="B146" s="1" t="s">
        <v>69</v>
      </c>
      <c r="C146" s="1">
        <v>154.0</v>
      </c>
      <c r="D146" s="1">
        <v>224.0</v>
      </c>
      <c r="E146" s="1">
        <v>304.0</v>
      </c>
      <c r="F146" s="1">
        <v>391.0</v>
      </c>
      <c r="G146" s="1">
        <v>480.0</v>
      </c>
      <c r="H146" s="1">
        <v>566.0</v>
      </c>
      <c r="I146" s="1">
        <v>600.6</v>
      </c>
      <c r="J146" s="1">
        <v>620.1</v>
      </c>
      <c r="K146" s="1">
        <v>636.74</v>
      </c>
      <c r="L146" s="1">
        <v>645.6</v>
      </c>
      <c r="M146" s="1">
        <v>640.8</v>
      </c>
      <c r="N146" s="1">
        <v>633.6</v>
      </c>
      <c r="O146" s="1">
        <v>623.2</v>
      </c>
      <c r="R146" s="1" t="s">
        <v>60</v>
      </c>
      <c r="S146" s="1" t="s">
        <v>14</v>
      </c>
      <c r="T146" s="4">
        <f t="shared" ref="T146:AF146" si="143">T69*4</f>
        <v>10.76879164</v>
      </c>
      <c r="U146" s="4">
        <f t="shared" si="143"/>
        <v>5.717966772</v>
      </c>
      <c r="V146" s="4">
        <f t="shared" si="143"/>
        <v>3.536140365</v>
      </c>
      <c r="W146" s="4">
        <f t="shared" si="143"/>
        <v>2.215317227</v>
      </c>
      <c r="X146" s="4">
        <f t="shared" si="143"/>
        <v>1.841741609</v>
      </c>
      <c r="Y146" s="4">
        <f t="shared" si="143"/>
        <v>1.503692131</v>
      </c>
      <c r="Z146" s="4">
        <f t="shared" si="143"/>
        <v>1.061171386</v>
      </c>
      <c r="AA146" s="4">
        <f t="shared" si="143"/>
        <v>1.214290414</v>
      </c>
      <c r="AB146" s="4">
        <f t="shared" si="143"/>
        <v>1.397970919</v>
      </c>
      <c r="AC146" s="4">
        <f t="shared" si="143"/>
        <v>1.583571235</v>
      </c>
      <c r="AD146" s="4">
        <f t="shared" si="143"/>
        <v>1.789845748</v>
      </c>
      <c r="AE146" s="4">
        <f t="shared" si="143"/>
        <v>2.008872768</v>
      </c>
      <c r="AF146" s="4">
        <f t="shared" si="143"/>
        <v>2.204627473</v>
      </c>
      <c r="AG146" s="4">
        <f t="shared" si="77"/>
        <v>0.6234558717</v>
      </c>
    </row>
    <row r="147" ht="14.25" customHeight="1">
      <c r="A147" s="1" t="s">
        <v>61</v>
      </c>
      <c r="B147" s="1" t="s">
        <v>69</v>
      </c>
      <c r="C147" s="1">
        <v>34917.0</v>
      </c>
      <c r="D147" s="1">
        <v>37756.0</v>
      </c>
      <c r="E147" s="1">
        <v>40334.0</v>
      </c>
      <c r="F147" s="1">
        <v>42669.0</v>
      </c>
      <c r="G147" s="1">
        <v>44742.0</v>
      </c>
      <c r="H147" s="1">
        <v>46554.0</v>
      </c>
      <c r="I147" s="1">
        <v>48632.9</v>
      </c>
      <c r="J147" s="1">
        <v>49495.7</v>
      </c>
      <c r="K147" s="1">
        <v>50110.7</v>
      </c>
      <c r="L147" s="1">
        <v>50810.2</v>
      </c>
      <c r="M147" s="1">
        <v>51326.1</v>
      </c>
      <c r="N147" s="1">
        <v>51570.0</v>
      </c>
      <c r="O147" s="1">
        <v>51539.7</v>
      </c>
      <c r="R147" s="1" t="s">
        <v>61</v>
      </c>
      <c r="S147" s="1" t="s">
        <v>14</v>
      </c>
      <c r="T147" s="4">
        <f t="shared" ref="T147:AF147" si="144">T70*4</f>
        <v>6.298801635</v>
      </c>
      <c r="U147" s="4">
        <f t="shared" si="144"/>
        <v>4.724085244</v>
      </c>
      <c r="V147" s="4">
        <f t="shared" si="144"/>
        <v>9.552704533</v>
      </c>
      <c r="W147" s="4">
        <f t="shared" si="144"/>
        <v>4.900287649</v>
      </c>
      <c r="X147" s="4">
        <f t="shared" si="144"/>
        <v>5.298898322</v>
      </c>
      <c r="Y147" s="4">
        <f t="shared" si="144"/>
        <v>3.934127944</v>
      </c>
      <c r="Z147" s="4">
        <f t="shared" si="144"/>
        <v>2.019748848</v>
      </c>
      <c r="AA147" s="4">
        <f t="shared" si="144"/>
        <v>1.515574591</v>
      </c>
      <c r="AB147" s="4">
        <f t="shared" si="144"/>
        <v>1.165114666</v>
      </c>
      <c r="AC147" s="4">
        <f t="shared" si="144"/>
        <v>1.336850733</v>
      </c>
      <c r="AD147" s="4">
        <f t="shared" si="144"/>
        <v>1.514812224</v>
      </c>
      <c r="AE147" s="4">
        <f t="shared" si="144"/>
        <v>1.701784327</v>
      </c>
      <c r="AF147" s="4">
        <f t="shared" si="144"/>
        <v>1.868400636</v>
      </c>
      <c r="AG147" s="4">
        <f t="shared" si="77"/>
        <v>0.1955886555</v>
      </c>
    </row>
    <row r="148" ht="14.25" customHeight="1">
      <c r="A148" s="1" t="s">
        <v>62</v>
      </c>
      <c r="B148" s="1" t="s">
        <v>69</v>
      </c>
      <c r="C148" s="1">
        <v>961.0</v>
      </c>
      <c r="D148" s="1">
        <v>1220.0</v>
      </c>
      <c r="E148" s="1">
        <v>1505.0</v>
      </c>
      <c r="F148" s="1">
        <v>1813.0</v>
      </c>
      <c r="G148" s="1">
        <v>2136.0</v>
      </c>
      <c r="H148" s="1">
        <v>2460.0</v>
      </c>
      <c r="I148" s="1">
        <v>2562.0</v>
      </c>
      <c r="J148" s="1">
        <v>2595.78</v>
      </c>
      <c r="K148" s="1">
        <v>2598.62</v>
      </c>
      <c r="L148" s="1">
        <v>2586.86</v>
      </c>
      <c r="M148" s="1">
        <v>2549.41</v>
      </c>
      <c r="N148" s="1">
        <v>2495.91</v>
      </c>
      <c r="O148" s="1">
        <v>2403.12</v>
      </c>
      <c r="R148" s="1" t="s">
        <v>62</v>
      </c>
      <c r="S148" s="1" t="s">
        <v>14</v>
      </c>
      <c r="T148" s="4">
        <f t="shared" ref="T148:AF148" si="145">T71*4</f>
        <v>11.49469237</v>
      </c>
      <c r="U148" s="4">
        <f t="shared" si="145"/>
        <v>8.3250162</v>
      </c>
      <c r="V148" s="4">
        <f t="shared" si="145"/>
        <v>8.175787659</v>
      </c>
      <c r="W148" s="4">
        <f t="shared" si="145"/>
        <v>7.143126539</v>
      </c>
      <c r="X148" s="4">
        <f t="shared" si="145"/>
        <v>6.1206272</v>
      </c>
      <c r="Y148" s="4">
        <f t="shared" si="145"/>
        <v>5.350137872</v>
      </c>
      <c r="Z148" s="4">
        <f t="shared" si="145"/>
        <v>4.596972368</v>
      </c>
      <c r="AA148" s="4">
        <f t="shared" si="145"/>
        <v>4.702587314</v>
      </c>
      <c r="AB148" s="4">
        <f t="shared" si="145"/>
        <v>4.860227188</v>
      </c>
      <c r="AC148" s="4">
        <f t="shared" si="145"/>
        <v>5.133491363</v>
      </c>
      <c r="AD148" s="4">
        <f t="shared" si="145"/>
        <v>5.479412078</v>
      </c>
      <c r="AE148" s="4">
        <f t="shared" si="145"/>
        <v>5.895502152</v>
      </c>
      <c r="AF148" s="4">
        <f t="shared" si="145"/>
        <v>6.365287333</v>
      </c>
      <c r="AG148" s="4">
        <f t="shared" si="77"/>
        <v>0.7785534065</v>
      </c>
    </row>
    <row r="149" ht="14.25" customHeight="1">
      <c r="A149" s="1" t="s">
        <v>63</v>
      </c>
      <c r="B149" s="1" t="s">
        <v>69</v>
      </c>
      <c r="C149" s="1">
        <v>13731.0</v>
      </c>
      <c r="D149" s="1">
        <v>15612.0</v>
      </c>
      <c r="E149" s="1">
        <v>17514.0</v>
      </c>
      <c r="F149" s="1">
        <v>19349.0</v>
      </c>
      <c r="G149" s="1">
        <v>21090.0</v>
      </c>
      <c r="H149" s="1">
        <v>22733.0</v>
      </c>
      <c r="I149" s="1">
        <v>23637.3</v>
      </c>
      <c r="J149" s="1">
        <v>24391.0</v>
      </c>
      <c r="K149" s="1">
        <v>25014.2</v>
      </c>
      <c r="L149" s="1">
        <v>25564.1</v>
      </c>
      <c r="M149" s="1">
        <v>25983.6</v>
      </c>
      <c r="N149" s="1">
        <v>26252.8</v>
      </c>
      <c r="O149" s="1">
        <v>26368.3</v>
      </c>
      <c r="R149" s="1" t="s">
        <v>63</v>
      </c>
      <c r="S149" s="1" t="s">
        <v>14</v>
      </c>
      <c r="T149" s="4">
        <f t="shared" ref="T149:AF149" si="146">T72*4</f>
        <v>5.368328384</v>
      </c>
      <c r="U149" s="4">
        <f t="shared" si="146"/>
        <v>3.667154771</v>
      </c>
      <c r="V149" s="4">
        <f t="shared" si="146"/>
        <v>3.054470132</v>
      </c>
      <c r="W149" s="4">
        <f t="shared" si="146"/>
        <v>2.367259516</v>
      </c>
      <c r="X149" s="4">
        <f t="shared" si="146"/>
        <v>1.842899845</v>
      </c>
      <c r="Y149" s="4">
        <f t="shared" si="146"/>
        <v>1.419602474</v>
      </c>
      <c r="Z149" s="4">
        <f t="shared" si="146"/>
        <v>0.7677812566</v>
      </c>
      <c r="AA149" s="4">
        <f t="shared" si="146"/>
        <v>0.8506721696</v>
      </c>
      <c r="AB149" s="4">
        <f t="shared" si="146"/>
        <v>0.9775122651</v>
      </c>
      <c r="AC149" s="4">
        <f t="shared" si="146"/>
        <v>1.141290848</v>
      </c>
      <c r="AD149" s="4">
        <f t="shared" si="146"/>
        <v>1.314447923</v>
      </c>
      <c r="AE149" s="4">
        <f t="shared" si="146"/>
        <v>1.490164928</v>
      </c>
      <c r="AF149" s="4">
        <f t="shared" si="146"/>
        <v>1.646114967</v>
      </c>
      <c r="AG149" s="4">
        <f t="shared" si="77"/>
        <v>0.5389199751</v>
      </c>
    </row>
    <row r="150" ht="14.25" customHeight="1">
      <c r="A150" s="1" t="s">
        <v>64</v>
      </c>
      <c r="B150" s="1" t="s">
        <v>69</v>
      </c>
      <c r="C150" s="1">
        <v>3049.0</v>
      </c>
      <c r="D150" s="1">
        <v>3506.0</v>
      </c>
      <c r="E150" s="1">
        <v>3985.0</v>
      </c>
      <c r="F150" s="1">
        <v>4473.0</v>
      </c>
      <c r="G150" s="1">
        <v>4965.0</v>
      </c>
      <c r="H150" s="1">
        <v>5449.0</v>
      </c>
      <c r="I150" s="1">
        <v>6027.07</v>
      </c>
      <c r="J150" s="1">
        <v>6337.89</v>
      </c>
      <c r="K150" s="1">
        <v>6621.0</v>
      </c>
      <c r="L150" s="1">
        <v>6870.64</v>
      </c>
      <c r="M150" s="1">
        <v>7091.44</v>
      </c>
      <c r="N150" s="1">
        <v>7282.04</v>
      </c>
      <c r="O150" s="1">
        <v>7440.04</v>
      </c>
      <c r="R150" s="1" t="s">
        <v>64</v>
      </c>
      <c r="S150" s="1" t="s">
        <v>14</v>
      </c>
      <c r="T150" s="4">
        <f t="shared" ref="T150:AF150" si="147">T73*4</f>
        <v>11.24297015</v>
      </c>
      <c r="U150" s="4">
        <f t="shared" si="147"/>
        <v>7.918861364</v>
      </c>
      <c r="V150" s="4">
        <f t="shared" si="147"/>
        <v>6.088536521</v>
      </c>
      <c r="W150" s="4">
        <f t="shared" si="147"/>
        <v>5.837050421</v>
      </c>
      <c r="X150" s="4">
        <f t="shared" si="147"/>
        <v>5.71099697</v>
      </c>
      <c r="Y150" s="4">
        <f t="shared" si="147"/>
        <v>5.624001991</v>
      </c>
      <c r="Z150" s="4">
        <f t="shared" si="147"/>
        <v>4.937519672</v>
      </c>
      <c r="AA150" s="4">
        <f t="shared" si="147"/>
        <v>5.401789175</v>
      </c>
      <c r="AB150" s="4">
        <f t="shared" si="147"/>
        <v>5.831924203</v>
      </c>
      <c r="AC150" s="4">
        <f t="shared" si="147"/>
        <v>6.204600658</v>
      </c>
      <c r="AD150" s="4">
        <f t="shared" si="147"/>
        <v>6.664637265</v>
      </c>
      <c r="AE150" s="4">
        <f t="shared" si="147"/>
        <v>7.175226948</v>
      </c>
      <c r="AF150" s="4">
        <f t="shared" si="147"/>
        <v>7.706653776</v>
      </c>
      <c r="AG150" s="4">
        <f t="shared" si="77"/>
        <v>1.265764564</v>
      </c>
    </row>
    <row r="151" ht="14.25" customHeight="1">
      <c r="A151" s="1" t="s">
        <v>65</v>
      </c>
      <c r="B151" s="1" t="s">
        <v>69</v>
      </c>
      <c r="C151" s="1">
        <v>44495.0</v>
      </c>
      <c r="D151" s="1">
        <v>49729.0</v>
      </c>
      <c r="E151" s="1">
        <v>54815.0</v>
      </c>
      <c r="F151" s="1">
        <v>59394.0</v>
      </c>
      <c r="G151" s="1">
        <v>63430.0</v>
      </c>
      <c r="H151" s="1">
        <v>67081.0</v>
      </c>
      <c r="I151" s="1">
        <v>70987.2</v>
      </c>
      <c r="J151" s="1">
        <v>74492.5</v>
      </c>
      <c r="K151" s="1">
        <v>77629.9</v>
      </c>
      <c r="L151" s="1">
        <v>80166.2</v>
      </c>
      <c r="M151" s="1">
        <v>82250.9</v>
      </c>
      <c r="N151" s="1">
        <v>83911.9</v>
      </c>
      <c r="O151" s="1">
        <v>85126.3</v>
      </c>
      <c r="R151" s="1" t="s">
        <v>65</v>
      </c>
      <c r="S151" s="1" t="s">
        <v>14</v>
      </c>
      <c r="T151" s="4">
        <f t="shared" ref="T151:AF151" si="148">T74*4</f>
        <v>10.73953299</v>
      </c>
      <c r="U151" s="4">
        <f t="shared" si="148"/>
        <v>7.798619038</v>
      </c>
      <c r="V151" s="4">
        <f t="shared" si="148"/>
        <v>6.639376353</v>
      </c>
      <c r="W151" s="4">
        <f t="shared" si="148"/>
        <v>5.435447581</v>
      </c>
      <c r="X151" s="4">
        <f t="shared" si="148"/>
        <v>4.314755099</v>
      </c>
      <c r="Y151" s="4">
        <f t="shared" si="148"/>
        <v>3.342725698</v>
      </c>
      <c r="Z151" s="4">
        <f t="shared" si="148"/>
        <v>1.873959146</v>
      </c>
      <c r="AA151" s="4">
        <f t="shared" si="148"/>
        <v>1.946540133</v>
      </c>
      <c r="AB151" s="4">
        <f t="shared" si="148"/>
        <v>2.125298507</v>
      </c>
      <c r="AC151" s="4">
        <f t="shared" si="148"/>
        <v>2.383146327</v>
      </c>
      <c r="AD151" s="4">
        <f t="shared" si="148"/>
        <v>2.68859664</v>
      </c>
      <c r="AE151" s="4">
        <f t="shared" si="148"/>
        <v>3.032590943</v>
      </c>
      <c r="AF151" s="4">
        <f t="shared" si="148"/>
        <v>3.383210913</v>
      </c>
      <c r="AG151" s="4">
        <f t="shared" si="77"/>
        <v>0.5095675758</v>
      </c>
    </row>
    <row r="152" ht="14.25" customHeight="1">
      <c r="A152" s="1" t="s">
        <v>66</v>
      </c>
      <c r="B152" s="1" t="s">
        <v>69</v>
      </c>
      <c r="C152" s="1">
        <v>29093.0</v>
      </c>
      <c r="D152" s="1">
        <v>32232.0</v>
      </c>
      <c r="E152" s="1">
        <v>35280.0</v>
      </c>
      <c r="F152" s="1">
        <v>38247.0</v>
      </c>
      <c r="G152" s="1">
        <v>41068.0</v>
      </c>
      <c r="H152" s="1">
        <v>43658.0</v>
      </c>
      <c r="I152" s="1">
        <v>46374.1</v>
      </c>
      <c r="J152" s="1">
        <v>47191.3</v>
      </c>
      <c r="K152" s="1">
        <v>47772.2</v>
      </c>
      <c r="L152" s="1">
        <v>48158.3</v>
      </c>
      <c r="M152" s="1">
        <v>48288.6</v>
      </c>
      <c r="N152" s="1">
        <v>48148.7</v>
      </c>
      <c r="O152" s="1">
        <v>47742.2</v>
      </c>
      <c r="R152" s="1" t="s">
        <v>66</v>
      </c>
      <c r="S152" s="1" t="s">
        <v>14</v>
      </c>
      <c r="T152" s="4">
        <f t="shared" ref="T152:AF152" si="149">T75*4</f>
        <v>9.491487552</v>
      </c>
      <c r="U152" s="4">
        <f t="shared" si="149"/>
        <v>6.637004425</v>
      </c>
      <c r="V152" s="4">
        <f t="shared" si="149"/>
        <v>5.507776079</v>
      </c>
      <c r="W152" s="4">
        <f t="shared" si="149"/>
        <v>4.432612194</v>
      </c>
      <c r="X152" s="4">
        <f t="shared" si="149"/>
        <v>3.375564513</v>
      </c>
      <c r="Y152" s="4">
        <f t="shared" si="149"/>
        <v>2.505072756</v>
      </c>
      <c r="Z152" s="4">
        <f t="shared" si="149"/>
        <v>1.16383607</v>
      </c>
      <c r="AA152" s="4">
        <f t="shared" si="149"/>
        <v>1.237456787</v>
      </c>
      <c r="AB152" s="4">
        <f t="shared" si="149"/>
        <v>1.375149037</v>
      </c>
      <c r="AC152" s="4">
        <f t="shared" si="149"/>
        <v>1.565100644</v>
      </c>
      <c r="AD152" s="4">
        <f t="shared" si="149"/>
        <v>1.783435879</v>
      </c>
      <c r="AE152" s="4">
        <f t="shared" si="149"/>
        <v>2.024054288</v>
      </c>
      <c r="AF152" s="4">
        <f t="shared" si="149"/>
        <v>2.260963753</v>
      </c>
      <c r="AG152" s="4">
        <f t="shared" si="77"/>
        <v>0.4105039349</v>
      </c>
    </row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V79:V152">
    <cfRule type="cellIs" dxfId="0" priority="1" operator="greaterThan">
      <formula>15</formula>
    </cfRule>
  </conditionalFormatting>
  <conditionalFormatting sqref="W80:W152">
    <cfRule type="expression" dxfId="0" priority="2">
      <formula>"W79 &lt; $V79"</formula>
    </cfRule>
  </conditionalFormatting>
  <conditionalFormatting sqref="AF79:AF152">
    <cfRule type="cellIs" dxfId="0" priority="3" operator="greaterThan">
      <formula>15</formula>
    </cfRule>
  </conditionalFormatting>
  <conditionalFormatting sqref="AF79:AF152">
    <cfRule type="cellIs" dxfId="1" priority="4" operator="lessThan">
      <formula>1</formula>
    </cfRule>
  </conditionalFormatting>
  <conditionalFormatting sqref="AG116:AG152">
    <cfRule type="cellIs" dxfId="2" priority="5" operator="greaterThan">
      <formula>1</formula>
    </cfRule>
  </conditionalFormatting>
  <conditionalFormatting sqref="AG79:AG114">
    <cfRule type="cellIs" dxfId="3" priority="6" operator="lessThan">
      <formula>1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86"/>
    <col customWidth="1" min="3" max="26" width="8.71"/>
  </cols>
  <sheetData>
    <row r="1" ht="14.25" customHeight="1">
      <c r="A1" s="1" t="s">
        <v>2</v>
      </c>
      <c r="B1" s="1" t="s">
        <v>68</v>
      </c>
      <c r="C1" s="1">
        <v>2010.0</v>
      </c>
      <c r="D1" s="1">
        <v>2015.0</v>
      </c>
      <c r="E1" s="1">
        <v>2020.0</v>
      </c>
      <c r="F1" s="1">
        <v>2025.0</v>
      </c>
      <c r="G1" s="1">
        <v>2030.0</v>
      </c>
      <c r="H1" s="1">
        <v>2035.0</v>
      </c>
      <c r="I1" s="1">
        <v>2040.0</v>
      </c>
      <c r="J1" s="1">
        <v>2045.0</v>
      </c>
      <c r="K1" s="1">
        <v>2050.0</v>
      </c>
      <c r="L1" s="1">
        <v>2055.0</v>
      </c>
      <c r="M1" s="1">
        <v>2060.0</v>
      </c>
      <c r="N1" s="1">
        <v>2065.0</v>
      </c>
      <c r="O1" s="1">
        <v>2070.0</v>
      </c>
    </row>
    <row r="2" ht="14.25" hidden="1" customHeight="1">
      <c r="A2" s="1" t="s">
        <v>6</v>
      </c>
      <c r="B2" s="1" t="s">
        <v>71</v>
      </c>
      <c r="C2" s="1">
        <v>238.0</v>
      </c>
      <c r="D2" s="1">
        <v>233.403</v>
      </c>
      <c r="E2" s="1">
        <v>228.0</v>
      </c>
      <c r="F2" s="1">
        <v>222.167</v>
      </c>
      <c r="G2" s="1">
        <v>214.61</v>
      </c>
      <c r="H2" s="1">
        <v>207.748</v>
      </c>
      <c r="I2" s="1">
        <v>197.283</v>
      </c>
      <c r="J2" s="1">
        <v>194.873</v>
      </c>
      <c r="K2" s="1">
        <v>192.794</v>
      </c>
      <c r="L2" s="1">
        <v>189.318</v>
      </c>
      <c r="M2" s="1">
        <v>184.524</v>
      </c>
      <c r="N2" s="1">
        <v>177.758</v>
      </c>
      <c r="O2" s="1">
        <v>169.916</v>
      </c>
    </row>
    <row r="3" ht="14.25" customHeight="1">
      <c r="A3" s="1" t="s">
        <v>6</v>
      </c>
      <c r="B3" s="1" t="s">
        <v>69</v>
      </c>
      <c r="C3" s="1">
        <v>143.0</v>
      </c>
      <c r="D3" s="1">
        <v>157.597</v>
      </c>
      <c r="E3" s="1">
        <v>172.0</v>
      </c>
      <c r="F3" s="1">
        <v>187.833</v>
      </c>
      <c r="G3" s="1">
        <v>204.39</v>
      </c>
      <c r="H3" s="1">
        <v>221.252</v>
      </c>
      <c r="I3" s="1">
        <v>240.717</v>
      </c>
      <c r="J3" s="1">
        <v>253.127</v>
      </c>
      <c r="K3" s="1">
        <v>267.206</v>
      </c>
      <c r="L3" s="1">
        <v>280.682</v>
      </c>
      <c r="M3" s="1">
        <v>293.476</v>
      </c>
      <c r="N3" s="1">
        <v>304.242</v>
      </c>
      <c r="O3" s="1">
        <v>314.084</v>
      </c>
    </row>
    <row r="4" ht="14.25" hidden="1" customHeight="1">
      <c r="A4" s="1" t="s">
        <v>30</v>
      </c>
      <c r="B4" s="1" t="s">
        <v>71</v>
      </c>
      <c r="C4" s="1">
        <v>34967.0</v>
      </c>
      <c r="D4" s="1">
        <v>34762.0</v>
      </c>
      <c r="E4" s="1">
        <v>34169.0</v>
      </c>
      <c r="F4" s="1">
        <v>33136.0</v>
      </c>
      <c r="G4" s="1">
        <v>31739.4</v>
      </c>
      <c r="H4" s="1">
        <v>30113.2</v>
      </c>
      <c r="I4" s="1">
        <v>28480.9</v>
      </c>
      <c r="J4" s="1">
        <v>26912.8</v>
      </c>
      <c r="K4" s="1">
        <v>25746.6</v>
      </c>
      <c r="L4" s="1">
        <v>24519.6</v>
      </c>
      <c r="M4" s="1">
        <v>23734.0</v>
      </c>
      <c r="N4" s="1">
        <v>22840.3</v>
      </c>
      <c r="O4" s="1">
        <v>21853.0</v>
      </c>
    </row>
    <row r="5" ht="14.25" customHeight="1">
      <c r="A5" s="1" t="s">
        <v>30</v>
      </c>
      <c r="B5" s="1" t="s">
        <v>69</v>
      </c>
      <c r="C5" s="1">
        <v>14610.0</v>
      </c>
      <c r="D5" s="1">
        <v>16609.0</v>
      </c>
      <c r="E5" s="1">
        <v>18618.0</v>
      </c>
      <c r="F5" s="1">
        <v>20573.0</v>
      </c>
      <c r="G5" s="1">
        <v>22475.6</v>
      </c>
      <c r="H5" s="1">
        <v>24379.8</v>
      </c>
      <c r="I5" s="1">
        <v>26290.1</v>
      </c>
      <c r="J5" s="1">
        <v>28011.2</v>
      </c>
      <c r="K5" s="1">
        <v>29033.4</v>
      </c>
      <c r="L5" s="1">
        <v>29968.4</v>
      </c>
      <c r="M5" s="1">
        <v>30207.0</v>
      </c>
      <c r="N5" s="1">
        <v>30276.7</v>
      </c>
      <c r="O5" s="1">
        <v>30178.0</v>
      </c>
    </row>
    <row r="6" ht="14.25" hidden="1" customHeight="1">
      <c r="A6" s="1" t="s">
        <v>32</v>
      </c>
      <c r="B6" s="1" t="s">
        <v>71</v>
      </c>
      <c r="C6" s="1">
        <v>1067.0</v>
      </c>
      <c r="D6" s="1">
        <v>1108.0</v>
      </c>
      <c r="E6" s="1">
        <v>1147.0</v>
      </c>
      <c r="F6" s="1">
        <v>1182.0</v>
      </c>
      <c r="G6" s="1">
        <v>1211.0</v>
      </c>
      <c r="H6" s="1">
        <v>1239.43</v>
      </c>
      <c r="I6" s="1">
        <v>1263.35</v>
      </c>
      <c r="J6" s="1">
        <v>1305.44</v>
      </c>
      <c r="K6" s="1">
        <v>1338.65</v>
      </c>
      <c r="L6" s="1">
        <v>1352.72</v>
      </c>
      <c r="M6" s="1">
        <v>1356.2</v>
      </c>
      <c r="N6" s="1">
        <v>1353.34</v>
      </c>
      <c r="O6" s="1">
        <v>1342.87</v>
      </c>
    </row>
    <row r="7" ht="14.25" customHeight="1">
      <c r="A7" s="1" t="s">
        <v>32</v>
      </c>
      <c r="B7" s="1" t="s">
        <v>69</v>
      </c>
      <c r="C7" s="1">
        <v>317.0</v>
      </c>
      <c r="D7" s="1">
        <v>351.0</v>
      </c>
      <c r="E7" s="1">
        <v>386.0</v>
      </c>
      <c r="F7" s="1">
        <v>422.0</v>
      </c>
      <c r="G7" s="1">
        <v>458.0</v>
      </c>
      <c r="H7" s="1">
        <v>495.57</v>
      </c>
      <c r="I7" s="1">
        <v>537.645</v>
      </c>
      <c r="J7" s="1">
        <v>564.561</v>
      </c>
      <c r="K7" s="1">
        <v>588.354</v>
      </c>
      <c r="L7" s="1">
        <v>604.275</v>
      </c>
      <c r="M7" s="1">
        <v>615.798</v>
      </c>
      <c r="N7" s="1">
        <v>624.662</v>
      </c>
      <c r="O7" s="1">
        <v>630.134</v>
      </c>
    </row>
    <row r="8" ht="14.25" hidden="1" customHeight="1">
      <c r="A8" s="1" t="s">
        <v>33</v>
      </c>
      <c r="B8" s="1" t="s">
        <v>71</v>
      </c>
      <c r="C8" s="1">
        <v>26807.0</v>
      </c>
      <c r="D8" s="1">
        <v>28289.0</v>
      </c>
      <c r="E8" s="1">
        <v>29675.0</v>
      </c>
      <c r="F8" s="1">
        <v>30869.0</v>
      </c>
      <c r="G8" s="1">
        <v>31878.0</v>
      </c>
      <c r="H8" s="1">
        <v>32637.0</v>
      </c>
      <c r="I8" s="1">
        <v>32734.6</v>
      </c>
      <c r="J8" s="1">
        <v>32575.1</v>
      </c>
      <c r="K8" s="1">
        <v>32208.2</v>
      </c>
      <c r="L8" s="1">
        <v>31765.3</v>
      </c>
      <c r="M8" s="1">
        <v>31177.3</v>
      </c>
      <c r="N8" s="1">
        <v>30427.6</v>
      </c>
      <c r="O8" s="1">
        <v>29528.1</v>
      </c>
    </row>
    <row r="9" ht="14.25" customHeight="1">
      <c r="A9" s="1" t="s">
        <v>33</v>
      </c>
      <c r="B9" s="1" t="s">
        <v>69</v>
      </c>
      <c r="C9" s="1">
        <v>4399.0</v>
      </c>
      <c r="D9" s="1">
        <v>4879.0</v>
      </c>
      <c r="E9" s="1">
        <v>5368.0</v>
      </c>
      <c r="F9" s="1">
        <v>5848.0</v>
      </c>
      <c r="G9" s="1">
        <v>6318.0</v>
      </c>
      <c r="H9" s="1">
        <v>6762.0</v>
      </c>
      <c r="I9" s="1">
        <v>7638.4</v>
      </c>
      <c r="J9" s="1">
        <v>8490.92</v>
      </c>
      <c r="K9" s="1">
        <v>9314.85</v>
      </c>
      <c r="L9" s="1">
        <v>10135.7</v>
      </c>
      <c r="M9" s="1">
        <v>10923.7</v>
      </c>
      <c r="N9" s="1">
        <v>11659.4</v>
      </c>
      <c r="O9" s="1">
        <v>12331.9</v>
      </c>
    </row>
    <row r="10" ht="14.25" hidden="1" customHeight="1">
      <c r="A10" s="1" t="s">
        <v>34</v>
      </c>
      <c r="B10" s="1" t="s">
        <v>71</v>
      </c>
      <c r="C10" s="1">
        <v>92341.0</v>
      </c>
      <c r="D10" s="1">
        <v>100801.0</v>
      </c>
      <c r="E10" s="1">
        <v>108166.0</v>
      </c>
      <c r="F10" s="1">
        <v>115711.0</v>
      </c>
      <c r="G10" s="1">
        <v>122842.0</v>
      </c>
      <c r="H10" s="1">
        <v>128835.0</v>
      </c>
      <c r="I10" s="1">
        <v>132243.0</v>
      </c>
      <c r="J10" s="1">
        <v>134195.0</v>
      </c>
      <c r="K10" s="1">
        <v>135266.0</v>
      </c>
      <c r="L10" s="1">
        <v>134397.0</v>
      </c>
      <c r="M10" s="1">
        <v>132719.0</v>
      </c>
      <c r="N10" s="1">
        <v>129530.0</v>
      </c>
      <c r="O10" s="1">
        <v>125696.0</v>
      </c>
    </row>
    <row r="11" ht="14.25" customHeight="1">
      <c r="A11" s="1" t="s">
        <v>34</v>
      </c>
      <c r="B11" s="1" t="s">
        <v>69</v>
      </c>
      <c r="C11" s="1">
        <v>11758.0</v>
      </c>
      <c r="D11" s="1">
        <v>13375.0</v>
      </c>
      <c r="E11" s="1">
        <v>14917.0</v>
      </c>
      <c r="F11" s="1">
        <v>16554.0</v>
      </c>
      <c r="G11" s="1">
        <v>18199.0</v>
      </c>
      <c r="H11" s="1">
        <v>19741.0</v>
      </c>
      <c r="I11" s="1">
        <v>21527.9</v>
      </c>
      <c r="J11" s="1">
        <v>23681.5</v>
      </c>
      <c r="K11" s="1">
        <v>25765.0</v>
      </c>
      <c r="L11" s="1">
        <v>28508.4</v>
      </c>
      <c r="M11" s="1">
        <v>31131.7</v>
      </c>
      <c r="N11" s="1">
        <v>34432.0</v>
      </c>
      <c r="O11" s="1">
        <v>37545.7</v>
      </c>
    </row>
    <row r="12" ht="14.25" hidden="1" customHeight="1">
      <c r="A12" s="1" t="s">
        <v>35</v>
      </c>
      <c r="B12" s="1" t="s">
        <v>71</v>
      </c>
      <c r="C12" s="1">
        <v>19608.0</v>
      </c>
      <c r="D12" s="1">
        <v>20713.0</v>
      </c>
      <c r="E12" s="1">
        <v>21683.0</v>
      </c>
      <c r="F12" s="1">
        <v>22448.0</v>
      </c>
      <c r="G12" s="1">
        <v>23011.0</v>
      </c>
      <c r="H12" s="1">
        <v>23421.0</v>
      </c>
      <c r="I12" s="1">
        <v>23341.8</v>
      </c>
      <c r="J12" s="1">
        <v>23564.3</v>
      </c>
      <c r="K12" s="1">
        <v>23641.1</v>
      </c>
      <c r="L12" s="1">
        <v>23649.6</v>
      </c>
      <c r="M12" s="1">
        <v>23547.3</v>
      </c>
      <c r="N12" s="1">
        <v>23322.2</v>
      </c>
      <c r="O12" s="1">
        <v>22976.6</v>
      </c>
    </row>
    <row r="13" ht="14.25" customHeight="1">
      <c r="A13" s="1" t="s">
        <v>35</v>
      </c>
      <c r="B13" s="1" t="s">
        <v>69</v>
      </c>
      <c r="C13" s="1">
        <v>5937.0</v>
      </c>
      <c r="D13" s="1">
        <v>6858.0</v>
      </c>
      <c r="E13" s="1">
        <v>7810.0</v>
      </c>
      <c r="F13" s="1">
        <v>8763.0</v>
      </c>
      <c r="G13" s="1">
        <v>9708.0</v>
      </c>
      <c r="H13" s="1">
        <v>10660.0</v>
      </c>
      <c r="I13" s="1">
        <v>11597.2</v>
      </c>
      <c r="J13" s="1">
        <v>11991.7</v>
      </c>
      <c r="K13" s="1">
        <v>12324.9</v>
      </c>
      <c r="L13" s="1">
        <v>12633.4</v>
      </c>
      <c r="M13" s="1">
        <v>12891.7</v>
      </c>
      <c r="N13" s="1">
        <v>13088.8</v>
      </c>
      <c r="O13" s="1">
        <v>13221.4</v>
      </c>
    </row>
    <row r="14" ht="14.25" hidden="1" customHeight="1">
      <c r="A14" s="1" t="s">
        <v>36</v>
      </c>
      <c r="B14" s="1" t="s">
        <v>71</v>
      </c>
      <c r="C14" s="1">
        <v>29.0</v>
      </c>
      <c r="D14" s="1">
        <v>13.0</v>
      </c>
      <c r="E14" s="1">
        <v>12.08</v>
      </c>
      <c r="F14" s="1">
        <v>12.67</v>
      </c>
      <c r="G14" s="1">
        <v>13.31</v>
      </c>
      <c r="H14" s="1">
        <v>13.96</v>
      </c>
      <c r="I14" s="1">
        <v>14.6</v>
      </c>
      <c r="J14" s="1">
        <v>15.49</v>
      </c>
      <c r="K14" s="1">
        <v>16.26</v>
      </c>
      <c r="L14" s="1">
        <v>16.87</v>
      </c>
      <c r="M14" s="1">
        <v>17.36</v>
      </c>
      <c r="N14" s="1">
        <v>17.77</v>
      </c>
      <c r="O14" s="1">
        <v>18.09</v>
      </c>
    </row>
    <row r="15" ht="14.25" customHeight="1">
      <c r="A15" s="1" t="s">
        <v>36</v>
      </c>
      <c r="B15" s="1" t="s">
        <v>69</v>
      </c>
      <c r="C15" s="1">
        <v>1026.0</v>
      </c>
      <c r="D15" s="1">
        <v>1123.0</v>
      </c>
      <c r="E15" s="1">
        <v>1195.92</v>
      </c>
      <c r="F15" s="1">
        <v>1254.33</v>
      </c>
      <c r="G15" s="1">
        <v>1317.69</v>
      </c>
      <c r="H15" s="1">
        <v>1382.04</v>
      </c>
      <c r="I15" s="1">
        <v>1445.4</v>
      </c>
      <c r="J15" s="1">
        <v>1533.51</v>
      </c>
      <c r="K15" s="1">
        <v>1609.74</v>
      </c>
      <c r="L15" s="1">
        <v>1670.13</v>
      </c>
      <c r="M15" s="1">
        <v>1718.64</v>
      </c>
      <c r="N15" s="1">
        <v>1759.23</v>
      </c>
      <c r="O15" s="1">
        <v>1790.91</v>
      </c>
    </row>
    <row r="16" ht="14.25" hidden="1" customHeight="1">
      <c r="A16" s="1" t="s">
        <v>37</v>
      </c>
      <c r="B16" s="1" t="s">
        <v>71</v>
      </c>
      <c r="C16" s="1">
        <v>60.0</v>
      </c>
      <c r="D16" s="1">
        <v>42.0</v>
      </c>
      <c r="E16" s="1">
        <v>28.0</v>
      </c>
      <c r="F16" s="1">
        <v>19.0</v>
      </c>
      <c r="G16" s="1">
        <v>14.1293</v>
      </c>
      <c r="H16" s="1">
        <v>10.2174</v>
      </c>
      <c r="I16" s="1">
        <v>18.03</v>
      </c>
      <c r="J16" s="1">
        <v>21.69</v>
      </c>
      <c r="K16" s="1">
        <v>24.1</v>
      </c>
      <c r="L16" s="1">
        <v>26.52</v>
      </c>
      <c r="M16" s="1">
        <v>27.51</v>
      </c>
      <c r="N16" s="1">
        <v>28.36</v>
      </c>
      <c r="O16" s="1">
        <v>29.06</v>
      </c>
    </row>
    <row r="17" ht="14.25" customHeight="1">
      <c r="A17" s="1" t="s">
        <v>37</v>
      </c>
      <c r="B17" s="1" t="s">
        <v>69</v>
      </c>
      <c r="C17" s="1">
        <v>183.0</v>
      </c>
      <c r="D17" s="1">
        <v>287.0</v>
      </c>
      <c r="E17" s="1">
        <v>441.0</v>
      </c>
      <c r="F17" s="1">
        <v>686.0</v>
      </c>
      <c r="G17" s="1">
        <v>1056.87</v>
      </c>
      <c r="H17" s="1">
        <v>1426.78</v>
      </c>
      <c r="I17" s="1">
        <v>1784.97</v>
      </c>
      <c r="J17" s="1">
        <v>2147.31</v>
      </c>
      <c r="K17" s="1">
        <v>2385.9</v>
      </c>
      <c r="L17" s="1">
        <v>2625.48</v>
      </c>
      <c r="M17" s="1">
        <v>2723.49</v>
      </c>
      <c r="N17" s="1">
        <v>2807.64</v>
      </c>
      <c r="O17" s="1">
        <v>2876.94</v>
      </c>
    </row>
    <row r="18" ht="14.25" hidden="1" customHeight="1">
      <c r="A18" s="1" t="s">
        <v>38</v>
      </c>
      <c r="B18" s="1" t="s">
        <v>71</v>
      </c>
      <c r="C18" s="1">
        <v>419.0</v>
      </c>
      <c r="D18" s="1">
        <v>260.0</v>
      </c>
      <c r="E18" s="1">
        <v>133.0</v>
      </c>
      <c r="F18" s="1">
        <v>225.4</v>
      </c>
      <c r="G18" s="1">
        <v>245.52</v>
      </c>
      <c r="H18" s="1">
        <v>265.91</v>
      </c>
      <c r="I18" s="1">
        <v>285.24</v>
      </c>
      <c r="J18" s="1">
        <v>302.39</v>
      </c>
      <c r="K18" s="1">
        <v>317.47</v>
      </c>
      <c r="L18" s="1">
        <v>330.38</v>
      </c>
      <c r="M18" s="1">
        <v>341.65</v>
      </c>
      <c r="N18" s="1">
        <v>351.2</v>
      </c>
      <c r="O18" s="1">
        <v>358.91</v>
      </c>
    </row>
    <row r="19" ht="14.25" customHeight="1">
      <c r="A19" s="1" t="s">
        <v>38</v>
      </c>
      <c r="B19" s="1" t="s">
        <v>69</v>
      </c>
      <c r="C19" s="1">
        <v>16369.0</v>
      </c>
      <c r="D19" s="1">
        <v>18417.0</v>
      </c>
      <c r="E19" s="1">
        <v>20438.0</v>
      </c>
      <c r="F19" s="1">
        <v>22314.6</v>
      </c>
      <c r="G19" s="1">
        <v>24306.5</v>
      </c>
      <c r="H19" s="1">
        <v>26325.1</v>
      </c>
      <c r="I19" s="1">
        <v>28238.8</v>
      </c>
      <c r="J19" s="1">
        <v>29936.6</v>
      </c>
      <c r="K19" s="1">
        <v>31429.5</v>
      </c>
      <c r="L19" s="1">
        <v>32707.6</v>
      </c>
      <c r="M19" s="1">
        <v>33823.3</v>
      </c>
      <c r="N19" s="1">
        <v>34768.8</v>
      </c>
      <c r="O19" s="1">
        <v>35532.1</v>
      </c>
    </row>
    <row r="20" ht="14.25" hidden="1" customHeight="1">
      <c r="A20" s="1" t="s">
        <v>39</v>
      </c>
      <c r="B20" s="1" t="s">
        <v>71</v>
      </c>
      <c r="C20" s="1">
        <v>183.0</v>
      </c>
      <c r="D20" s="1">
        <v>188.0</v>
      </c>
      <c r="E20" s="1">
        <v>200.0</v>
      </c>
      <c r="F20" s="1">
        <v>223.0</v>
      </c>
      <c r="G20" s="1">
        <v>262.0</v>
      </c>
      <c r="H20" s="1">
        <v>293.84</v>
      </c>
      <c r="I20" s="1">
        <v>282.24</v>
      </c>
      <c r="J20" s="1">
        <v>273.14</v>
      </c>
      <c r="K20" s="1">
        <v>256.44</v>
      </c>
      <c r="L20" s="1">
        <v>223.1</v>
      </c>
      <c r="M20" s="1">
        <v>207.45</v>
      </c>
      <c r="N20" s="1">
        <v>213.3</v>
      </c>
      <c r="O20" s="1">
        <v>218.07</v>
      </c>
    </row>
    <row r="21" ht="14.25" customHeight="1">
      <c r="A21" s="1" t="s">
        <v>39</v>
      </c>
      <c r="B21" s="1" t="s">
        <v>69</v>
      </c>
      <c r="C21" s="1">
        <v>161.0</v>
      </c>
      <c r="D21" s="1">
        <v>264.0</v>
      </c>
      <c r="E21" s="1">
        <v>408.0</v>
      </c>
      <c r="F21" s="1">
        <v>613.0</v>
      </c>
      <c r="G21" s="1">
        <v>916.0</v>
      </c>
      <c r="H21" s="1">
        <v>1227.16</v>
      </c>
      <c r="I21" s="1">
        <v>1481.76</v>
      </c>
      <c r="J21" s="1">
        <v>1677.86</v>
      </c>
      <c r="K21" s="1">
        <v>1880.56</v>
      </c>
      <c r="L21" s="1">
        <v>2007.9</v>
      </c>
      <c r="M21" s="1">
        <v>2097.55</v>
      </c>
      <c r="N21" s="1">
        <v>2156.7</v>
      </c>
      <c r="O21" s="1">
        <v>2204.93</v>
      </c>
    </row>
    <row r="22" ht="14.25" hidden="1" customHeight="1">
      <c r="A22" s="1" t="s">
        <v>40</v>
      </c>
      <c r="B22" s="1" t="s">
        <v>71</v>
      </c>
      <c r="C22" s="1">
        <v>552.0</v>
      </c>
      <c r="D22" s="1">
        <v>483.0</v>
      </c>
      <c r="E22" s="1">
        <v>411.0</v>
      </c>
      <c r="F22" s="1">
        <v>337.0</v>
      </c>
      <c r="G22" s="1">
        <v>264.0</v>
      </c>
      <c r="H22" s="1">
        <v>198.004</v>
      </c>
      <c r="I22" s="1">
        <v>181.335</v>
      </c>
      <c r="J22" s="1">
        <v>177.8</v>
      </c>
      <c r="K22" s="1">
        <v>163.71</v>
      </c>
      <c r="L22" s="1">
        <v>147.76</v>
      </c>
      <c r="M22" s="1">
        <v>149.28</v>
      </c>
      <c r="N22" s="1">
        <v>150.08</v>
      </c>
      <c r="O22" s="1">
        <v>150.0</v>
      </c>
    </row>
    <row r="23" ht="14.25" customHeight="1">
      <c r="A23" s="1" t="s">
        <v>40</v>
      </c>
      <c r="B23" s="1" t="s">
        <v>69</v>
      </c>
      <c r="C23" s="1">
        <v>907.0</v>
      </c>
      <c r="D23" s="1">
        <v>1029.0</v>
      </c>
      <c r="E23" s="1">
        <v>1148.0</v>
      </c>
      <c r="F23" s="1">
        <v>1262.0</v>
      </c>
      <c r="G23" s="1">
        <v>1369.0</v>
      </c>
      <c r="H23" s="1">
        <v>1482.0</v>
      </c>
      <c r="I23" s="1">
        <v>1545.66</v>
      </c>
      <c r="J23" s="1">
        <v>1600.2</v>
      </c>
      <c r="K23" s="1">
        <v>1655.29</v>
      </c>
      <c r="L23" s="1">
        <v>1699.24</v>
      </c>
      <c r="M23" s="1">
        <v>1716.72</v>
      </c>
      <c r="N23" s="1">
        <v>1725.92</v>
      </c>
      <c r="O23" s="1">
        <v>1725.0</v>
      </c>
    </row>
    <row r="24" ht="14.25" hidden="1" customHeight="1">
      <c r="A24" s="1" t="s">
        <v>41</v>
      </c>
      <c r="B24" s="1" t="s">
        <v>71</v>
      </c>
      <c r="C24" s="1">
        <v>34695.0</v>
      </c>
      <c r="D24" s="1">
        <v>35701.0</v>
      </c>
      <c r="E24" s="1">
        <v>36473.0</v>
      </c>
      <c r="F24" s="1">
        <v>36894.0</v>
      </c>
      <c r="G24" s="1">
        <v>36929.0</v>
      </c>
      <c r="H24" s="1">
        <v>36599.0</v>
      </c>
      <c r="I24" s="1">
        <v>35158.1</v>
      </c>
      <c r="J24" s="1">
        <v>34596.6</v>
      </c>
      <c r="K24" s="1">
        <v>33765.4</v>
      </c>
      <c r="L24" s="1">
        <v>32693.0</v>
      </c>
      <c r="M24" s="1">
        <v>31408.0</v>
      </c>
      <c r="N24" s="1">
        <v>29931.8</v>
      </c>
      <c r="O24" s="1">
        <v>28287.5</v>
      </c>
    </row>
    <row r="25" ht="14.25" customHeight="1">
      <c r="A25" s="1" t="s">
        <v>41</v>
      </c>
      <c r="B25" s="1" t="s">
        <v>69</v>
      </c>
      <c r="C25" s="1">
        <v>25745.0</v>
      </c>
      <c r="D25" s="1">
        <v>29457.0</v>
      </c>
      <c r="E25" s="1">
        <v>33315.0</v>
      </c>
      <c r="F25" s="1">
        <v>37192.0</v>
      </c>
      <c r="G25" s="1">
        <v>41002.0</v>
      </c>
      <c r="H25" s="1">
        <v>44717.0</v>
      </c>
      <c r="I25" s="1">
        <v>48300.9</v>
      </c>
      <c r="J25" s="1">
        <v>50425.4</v>
      </c>
      <c r="K25" s="1">
        <v>52324.6</v>
      </c>
      <c r="L25" s="1">
        <v>53993.0</v>
      </c>
      <c r="M25" s="1">
        <v>55426.0</v>
      </c>
      <c r="N25" s="1">
        <v>56607.2</v>
      </c>
      <c r="O25" s="1">
        <v>57520.5</v>
      </c>
    </row>
    <row r="26" ht="14.25" hidden="1" customHeight="1">
      <c r="A26" s="1" t="s">
        <v>42</v>
      </c>
      <c r="B26" s="1" t="s">
        <v>71</v>
      </c>
      <c r="C26" s="1">
        <v>6176.0</v>
      </c>
      <c r="D26" s="1">
        <v>6432.0</v>
      </c>
      <c r="E26" s="1">
        <v>6635.0</v>
      </c>
      <c r="F26" s="1">
        <v>6792.0</v>
      </c>
      <c r="G26" s="1">
        <v>6902.0</v>
      </c>
      <c r="H26" s="1">
        <v>6996.43</v>
      </c>
      <c r="I26" s="1">
        <v>7072.47</v>
      </c>
      <c r="J26" s="1">
        <v>7137.98</v>
      </c>
      <c r="K26" s="1">
        <v>7162.14</v>
      </c>
      <c r="L26" s="1">
        <v>7163.02</v>
      </c>
      <c r="M26" s="1">
        <v>7131.24</v>
      </c>
      <c r="N26" s="1">
        <v>7063.67</v>
      </c>
      <c r="O26" s="1">
        <v>6959.87</v>
      </c>
    </row>
    <row r="27" ht="14.25" customHeight="1">
      <c r="A27" s="1" t="s">
        <v>42</v>
      </c>
      <c r="B27" s="1" t="s">
        <v>69</v>
      </c>
      <c r="C27" s="1">
        <v>689.0</v>
      </c>
      <c r="D27" s="1">
        <v>726.0</v>
      </c>
      <c r="E27" s="1">
        <v>759.0</v>
      </c>
      <c r="F27" s="1">
        <v>787.0</v>
      </c>
      <c r="G27" s="1">
        <v>810.0</v>
      </c>
      <c r="H27" s="1">
        <v>831.568</v>
      </c>
      <c r="I27" s="1">
        <v>870.528</v>
      </c>
      <c r="J27" s="1">
        <v>909.02</v>
      </c>
      <c r="K27" s="1">
        <v>942.86</v>
      </c>
      <c r="L27" s="1">
        <v>973.98</v>
      </c>
      <c r="M27" s="1">
        <v>1000.76</v>
      </c>
      <c r="N27" s="1">
        <v>1022.33</v>
      </c>
      <c r="O27" s="1">
        <v>1038.13</v>
      </c>
    </row>
    <row r="28" ht="14.25" hidden="1" customHeight="1">
      <c r="A28" s="1" t="s">
        <v>43</v>
      </c>
      <c r="B28" s="1" t="s">
        <v>71</v>
      </c>
      <c r="C28" s="1">
        <v>16509.0</v>
      </c>
      <c r="D28" s="1">
        <v>17040.0</v>
      </c>
      <c r="E28" s="1">
        <v>17419.0</v>
      </c>
      <c r="F28" s="1">
        <v>17576.0</v>
      </c>
      <c r="G28" s="1">
        <v>17549.0</v>
      </c>
      <c r="H28" s="1">
        <v>17375.0</v>
      </c>
      <c r="I28" s="1">
        <v>16869.5</v>
      </c>
      <c r="J28" s="1">
        <v>16903.3</v>
      </c>
      <c r="K28" s="1">
        <v>16774.9</v>
      </c>
      <c r="L28" s="1">
        <v>16498.7</v>
      </c>
      <c r="M28" s="1">
        <v>16095.0</v>
      </c>
      <c r="N28" s="1">
        <v>15570.3</v>
      </c>
      <c r="O28" s="1">
        <v>14931.5</v>
      </c>
    </row>
    <row r="29" ht="14.25" customHeight="1">
      <c r="A29" s="1" t="s">
        <v>43</v>
      </c>
      <c r="B29" s="1" t="s">
        <v>69</v>
      </c>
      <c r="C29" s="1">
        <v>8842.0</v>
      </c>
      <c r="D29" s="1">
        <v>10415.0</v>
      </c>
      <c r="E29" s="1">
        <v>12064.0</v>
      </c>
      <c r="F29" s="1">
        <v>13723.0</v>
      </c>
      <c r="G29" s="1">
        <v>15397.0</v>
      </c>
      <c r="H29" s="1">
        <v>17094.0</v>
      </c>
      <c r="I29" s="1">
        <v>19183.5</v>
      </c>
      <c r="J29" s="1">
        <v>20472.7</v>
      </c>
      <c r="K29" s="1">
        <v>21688.1</v>
      </c>
      <c r="L29" s="1">
        <v>22827.3</v>
      </c>
      <c r="M29" s="1">
        <v>23897.0</v>
      </c>
      <c r="N29" s="1">
        <v>24885.7</v>
      </c>
      <c r="O29" s="1">
        <v>25779.5</v>
      </c>
    </row>
    <row r="30" ht="14.25" hidden="1" customHeight="1">
      <c r="A30" s="1" t="s">
        <v>44</v>
      </c>
      <c r="B30" s="1" t="s">
        <v>71</v>
      </c>
      <c r="C30" s="1">
        <v>25055.0</v>
      </c>
      <c r="D30" s="1">
        <v>26867.0</v>
      </c>
      <c r="E30" s="1">
        <v>28533.0</v>
      </c>
      <c r="F30" s="1">
        <v>30026.0</v>
      </c>
      <c r="G30" s="1">
        <v>31310.0</v>
      </c>
      <c r="H30" s="1">
        <v>32339.0</v>
      </c>
      <c r="I30" s="1">
        <v>32899.4</v>
      </c>
      <c r="J30" s="1">
        <v>33207.2</v>
      </c>
      <c r="K30" s="1">
        <v>33302.0</v>
      </c>
      <c r="L30" s="1">
        <v>33139.7</v>
      </c>
      <c r="M30" s="1">
        <v>32786.4</v>
      </c>
      <c r="N30" s="1">
        <v>32264.5</v>
      </c>
      <c r="O30" s="1">
        <v>31586.2</v>
      </c>
    </row>
    <row r="31" ht="14.25" customHeight="1">
      <c r="A31" s="1" t="s">
        <v>44</v>
      </c>
      <c r="B31" s="1" t="s">
        <v>69</v>
      </c>
      <c r="C31" s="1">
        <v>7933.0</v>
      </c>
      <c r="D31" s="1">
        <v>8933.0</v>
      </c>
      <c r="E31" s="1">
        <v>9938.0</v>
      </c>
      <c r="F31" s="1">
        <v>10932.0</v>
      </c>
      <c r="G31" s="1">
        <v>11899.0</v>
      </c>
      <c r="H31" s="1">
        <v>12816.0</v>
      </c>
      <c r="I31" s="1">
        <v>13618.6</v>
      </c>
      <c r="J31" s="1">
        <v>14346.8</v>
      </c>
      <c r="K31" s="1">
        <v>15006.0</v>
      </c>
      <c r="L31" s="1">
        <v>15564.3</v>
      </c>
      <c r="M31" s="1">
        <v>16039.6</v>
      </c>
      <c r="N31" s="1">
        <v>16432.5</v>
      </c>
      <c r="O31" s="1">
        <v>16738.8</v>
      </c>
    </row>
    <row r="32" ht="14.25" hidden="1" customHeight="1">
      <c r="A32" s="1" t="s">
        <v>45</v>
      </c>
      <c r="B32" s="1" t="s">
        <v>71</v>
      </c>
      <c r="C32" s="1">
        <v>8896.0</v>
      </c>
      <c r="D32" s="1">
        <v>9189.0</v>
      </c>
      <c r="E32" s="1">
        <v>9382.0</v>
      </c>
      <c r="F32" s="1">
        <v>9545.0</v>
      </c>
      <c r="G32" s="1">
        <v>9677.0</v>
      </c>
      <c r="H32" s="1">
        <v>9742.0</v>
      </c>
      <c r="I32" s="1">
        <v>9874.34</v>
      </c>
      <c r="J32" s="1">
        <v>10080.9</v>
      </c>
      <c r="K32" s="1">
        <v>10221.4</v>
      </c>
      <c r="L32" s="1">
        <v>10304.1</v>
      </c>
      <c r="M32" s="1">
        <v>10331.4</v>
      </c>
      <c r="N32" s="1">
        <v>10303.8</v>
      </c>
      <c r="O32" s="1">
        <v>10222.4</v>
      </c>
    </row>
    <row r="33" ht="14.25" customHeight="1">
      <c r="A33" s="1" t="s">
        <v>45</v>
      </c>
      <c r="B33" s="1" t="s">
        <v>69</v>
      </c>
      <c r="C33" s="1">
        <v>3371.0</v>
      </c>
      <c r="D33" s="1">
        <v>3708.0</v>
      </c>
      <c r="E33" s="1">
        <v>4026.0</v>
      </c>
      <c r="F33" s="1">
        <v>4351.0</v>
      </c>
      <c r="G33" s="1">
        <v>4684.0</v>
      </c>
      <c r="H33" s="1">
        <v>5005.0</v>
      </c>
      <c r="I33" s="1">
        <v>5411.66</v>
      </c>
      <c r="J33" s="1">
        <v>5636.12</v>
      </c>
      <c r="K33" s="1">
        <v>5830.61</v>
      </c>
      <c r="L33" s="1">
        <v>5997.91</v>
      </c>
      <c r="M33" s="1">
        <v>6137.63</v>
      </c>
      <c r="N33" s="1">
        <v>6248.24</v>
      </c>
      <c r="O33" s="1">
        <v>6328.57</v>
      </c>
    </row>
    <row r="34" ht="14.25" hidden="1" customHeight="1">
      <c r="A34" s="1" t="s">
        <v>46</v>
      </c>
      <c r="B34" s="1" t="s">
        <v>71</v>
      </c>
      <c r="C34" s="1">
        <v>37469.0</v>
      </c>
      <c r="D34" s="1">
        <v>37856.0</v>
      </c>
      <c r="E34" s="1">
        <v>37801.0</v>
      </c>
      <c r="F34" s="1">
        <v>37342.0</v>
      </c>
      <c r="G34" s="1">
        <v>36541.0</v>
      </c>
      <c r="H34" s="1">
        <v>35437.0</v>
      </c>
      <c r="I34" s="1">
        <v>33912.0</v>
      </c>
      <c r="J34" s="1">
        <v>33242.8</v>
      </c>
      <c r="K34" s="1">
        <v>32356.7</v>
      </c>
      <c r="L34" s="1">
        <v>31359.2</v>
      </c>
      <c r="M34" s="1">
        <v>30199.5</v>
      </c>
      <c r="N34" s="1">
        <v>28874.8</v>
      </c>
      <c r="O34" s="1">
        <v>27406.7</v>
      </c>
    </row>
    <row r="35" ht="14.25" customHeight="1">
      <c r="A35" s="1" t="s">
        <v>46</v>
      </c>
      <c r="B35" s="1" t="s">
        <v>69</v>
      </c>
      <c r="C35" s="1">
        <v>23626.0</v>
      </c>
      <c r="D35" s="1">
        <v>26373.0</v>
      </c>
      <c r="E35" s="1">
        <v>29044.0</v>
      </c>
      <c r="F35" s="1">
        <v>31620.0</v>
      </c>
      <c r="G35" s="1">
        <v>34111.0</v>
      </c>
      <c r="H35" s="1">
        <v>36511.0</v>
      </c>
      <c r="I35" s="1">
        <v>39144.0</v>
      </c>
      <c r="J35" s="1">
        <v>40425.2</v>
      </c>
      <c r="K35" s="1">
        <v>41517.3</v>
      </c>
      <c r="L35" s="1">
        <v>42526.8</v>
      </c>
      <c r="M35" s="1">
        <v>43363.5</v>
      </c>
      <c r="N35" s="1">
        <v>43988.2</v>
      </c>
      <c r="O35" s="1">
        <v>44393.3</v>
      </c>
    </row>
    <row r="36" ht="14.25" hidden="1" customHeight="1">
      <c r="A36" s="1" t="s">
        <v>47</v>
      </c>
      <c r="B36" s="1" t="s">
        <v>71</v>
      </c>
      <c r="C36" s="1">
        <v>17471.0</v>
      </c>
      <c r="D36" s="1">
        <v>13976.0</v>
      </c>
      <c r="E36" s="1">
        <v>10289.0</v>
      </c>
      <c r="F36" s="1">
        <v>6742.0</v>
      </c>
      <c r="G36" s="1">
        <v>3644.0</v>
      </c>
      <c r="H36" s="1">
        <v>1319.0</v>
      </c>
      <c r="I36" s="1">
        <v>1101.39</v>
      </c>
      <c r="J36" s="1">
        <v>1087.2</v>
      </c>
      <c r="K36" s="1">
        <v>1067.67</v>
      </c>
      <c r="L36" s="1">
        <v>1050.09</v>
      </c>
      <c r="M36" s="1">
        <v>1028.55</v>
      </c>
      <c r="N36" s="1">
        <v>1001.76</v>
      </c>
      <c r="O36" s="1">
        <v>970.08</v>
      </c>
    </row>
    <row r="37" ht="14.25" customHeight="1">
      <c r="A37" s="1" t="s">
        <v>47</v>
      </c>
      <c r="B37" s="1" t="s">
        <v>69</v>
      </c>
      <c r="C37" s="1">
        <v>15935.0</v>
      </c>
      <c r="D37" s="1">
        <v>20602.0</v>
      </c>
      <c r="E37" s="1">
        <v>25200.0</v>
      </c>
      <c r="F37" s="1">
        <v>29465.0</v>
      </c>
      <c r="G37" s="1">
        <v>33051.0</v>
      </c>
      <c r="H37" s="1">
        <v>35630.0</v>
      </c>
      <c r="I37" s="1">
        <v>35611.6</v>
      </c>
      <c r="J37" s="1">
        <v>35152.8</v>
      </c>
      <c r="K37" s="1">
        <v>34521.3</v>
      </c>
      <c r="L37" s="1">
        <v>33952.9</v>
      </c>
      <c r="M37" s="1">
        <v>33256.4</v>
      </c>
      <c r="N37" s="1">
        <v>32390.2</v>
      </c>
      <c r="O37" s="1">
        <v>31365.9</v>
      </c>
    </row>
    <row r="38" ht="14.25" hidden="1" customHeight="1">
      <c r="A38" s="1" t="s">
        <v>48</v>
      </c>
      <c r="B38" s="1" t="s">
        <v>71</v>
      </c>
      <c r="C38" s="1">
        <v>212.0</v>
      </c>
      <c r="D38" s="1">
        <v>212.0</v>
      </c>
      <c r="E38" s="1">
        <v>209.0</v>
      </c>
      <c r="F38" s="1">
        <v>204.0</v>
      </c>
      <c r="G38" s="1">
        <v>197.0</v>
      </c>
      <c r="H38" s="1">
        <v>189.367</v>
      </c>
      <c r="I38" s="1">
        <v>177.12</v>
      </c>
      <c r="J38" s="1">
        <v>168.5</v>
      </c>
      <c r="K38" s="1">
        <v>161.68</v>
      </c>
      <c r="L38" s="1">
        <v>154.0</v>
      </c>
      <c r="M38" s="1">
        <v>148.26</v>
      </c>
      <c r="N38" s="1">
        <v>142.0</v>
      </c>
      <c r="O38" s="1">
        <v>138.45</v>
      </c>
    </row>
    <row r="39" ht="14.25" customHeight="1">
      <c r="A39" s="1" t="s">
        <v>48</v>
      </c>
      <c r="B39" s="1" t="s">
        <v>69</v>
      </c>
      <c r="C39" s="1">
        <v>62.0</v>
      </c>
      <c r="D39" s="1">
        <v>75.0</v>
      </c>
      <c r="E39" s="1">
        <v>88.0</v>
      </c>
      <c r="F39" s="1">
        <v>101.0</v>
      </c>
      <c r="G39" s="1">
        <v>115.0</v>
      </c>
      <c r="H39" s="1">
        <v>130.633</v>
      </c>
      <c r="I39" s="1">
        <v>150.88</v>
      </c>
      <c r="J39" s="1">
        <v>168.5</v>
      </c>
      <c r="K39" s="1">
        <v>182.32</v>
      </c>
      <c r="L39" s="1">
        <v>196.0</v>
      </c>
      <c r="M39" s="1">
        <v>204.74</v>
      </c>
      <c r="N39" s="1">
        <v>213.0</v>
      </c>
      <c r="O39" s="1">
        <v>216.55</v>
      </c>
    </row>
    <row r="40" ht="14.25" hidden="1" customHeight="1">
      <c r="A40" s="1" t="s">
        <v>49</v>
      </c>
      <c r="B40" s="1" t="s">
        <v>71</v>
      </c>
      <c r="C40" s="1">
        <v>14.0</v>
      </c>
      <c r="D40" s="1">
        <v>7.0</v>
      </c>
      <c r="E40" s="1">
        <v>2.0</v>
      </c>
      <c r="F40" s="1">
        <v>0.7</v>
      </c>
      <c r="G40" s="1">
        <v>0.71</v>
      </c>
      <c r="H40" s="1">
        <v>0.73</v>
      </c>
      <c r="I40" s="1">
        <v>0.75</v>
      </c>
      <c r="J40" s="1">
        <v>0.78</v>
      </c>
      <c r="K40" s="1">
        <v>0.8</v>
      </c>
      <c r="L40" s="1">
        <v>0.82</v>
      </c>
      <c r="M40" s="1">
        <v>0.83</v>
      </c>
      <c r="N40" s="1">
        <v>0.84</v>
      </c>
      <c r="O40" s="1">
        <v>0.0</v>
      </c>
    </row>
    <row r="41" ht="14.25" customHeight="1">
      <c r="A41" s="1" t="s">
        <v>49</v>
      </c>
      <c r="B41" s="1" t="s">
        <v>69</v>
      </c>
      <c r="C41" s="1">
        <v>50.0</v>
      </c>
      <c r="D41" s="1">
        <v>60.0</v>
      </c>
      <c r="E41" s="1">
        <v>66.0</v>
      </c>
      <c r="F41" s="1">
        <v>69.3</v>
      </c>
      <c r="G41" s="1">
        <v>70.29</v>
      </c>
      <c r="H41" s="1">
        <v>72.27</v>
      </c>
      <c r="I41" s="1">
        <v>74.25</v>
      </c>
      <c r="J41" s="1">
        <v>77.22</v>
      </c>
      <c r="K41" s="1">
        <v>79.2</v>
      </c>
      <c r="L41" s="1">
        <v>81.18</v>
      </c>
      <c r="M41" s="1">
        <v>82.17</v>
      </c>
      <c r="N41" s="1">
        <v>83.16</v>
      </c>
      <c r="O41" s="1">
        <v>0.0</v>
      </c>
    </row>
    <row r="42" ht="14.25" hidden="1" customHeight="1">
      <c r="A42" s="1" t="s">
        <v>50</v>
      </c>
      <c r="B42" s="1" t="s">
        <v>71</v>
      </c>
      <c r="C42" s="1">
        <v>61556.0</v>
      </c>
      <c r="D42" s="1">
        <v>63385.0</v>
      </c>
      <c r="E42" s="1">
        <v>64727.0</v>
      </c>
      <c r="F42" s="1">
        <v>65499.0</v>
      </c>
      <c r="G42" s="1">
        <v>65780.0</v>
      </c>
      <c r="H42" s="1">
        <v>65539.0</v>
      </c>
      <c r="I42" s="1">
        <v>65644.3</v>
      </c>
      <c r="J42" s="1">
        <v>65184.0</v>
      </c>
      <c r="K42" s="1">
        <v>64258.4</v>
      </c>
      <c r="L42" s="1">
        <v>62942.2</v>
      </c>
      <c r="M42" s="1">
        <v>61275.2</v>
      </c>
      <c r="N42" s="1">
        <v>59280.2</v>
      </c>
      <c r="O42" s="1">
        <v>56991.0</v>
      </c>
    </row>
    <row r="43" ht="14.25" customHeight="1">
      <c r="A43" s="1" t="s">
        <v>50</v>
      </c>
      <c r="B43" s="1" t="s">
        <v>69</v>
      </c>
      <c r="C43" s="1">
        <v>50818.0</v>
      </c>
      <c r="D43" s="1">
        <v>55342.0</v>
      </c>
      <c r="E43" s="1">
        <v>59710.0</v>
      </c>
      <c r="F43" s="1">
        <v>63809.0</v>
      </c>
      <c r="G43" s="1">
        <v>67671.0</v>
      </c>
      <c r="H43" s="1">
        <v>71225.0</v>
      </c>
      <c r="I43" s="1">
        <v>75396.7</v>
      </c>
      <c r="J43" s="1">
        <v>79143.0</v>
      </c>
      <c r="K43" s="1">
        <v>82498.6</v>
      </c>
      <c r="L43" s="1">
        <v>85481.8</v>
      </c>
      <c r="M43" s="1">
        <v>88072.8</v>
      </c>
      <c r="N43" s="1">
        <v>90228.8</v>
      </c>
      <c r="O43" s="1">
        <v>91922.0</v>
      </c>
    </row>
    <row r="44" ht="14.25" hidden="1" customHeight="1">
      <c r="A44" s="1" t="s">
        <v>51</v>
      </c>
      <c r="B44" s="1" t="s">
        <v>71</v>
      </c>
      <c r="C44" s="1">
        <v>2372.0</v>
      </c>
      <c r="D44" s="1">
        <v>2493.0</v>
      </c>
      <c r="E44" s="1">
        <v>2612.0</v>
      </c>
      <c r="F44" s="1">
        <v>2725.0</v>
      </c>
      <c r="G44" s="1">
        <v>2826.0</v>
      </c>
      <c r="H44" s="1">
        <v>2902.0</v>
      </c>
      <c r="I44" s="1">
        <v>2974.04</v>
      </c>
      <c r="J44" s="1">
        <v>3024.29</v>
      </c>
      <c r="K44" s="1">
        <v>3055.58</v>
      </c>
      <c r="L44" s="1">
        <v>3045.57</v>
      </c>
      <c r="M44" s="1">
        <v>3016.41</v>
      </c>
      <c r="N44" s="1">
        <v>2970.86</v>
      </c>
      <c r="O44" s="1">
        <v>2911.58</v>
      </c>
    </row>
    <row r="45" ht="14.25" customHeight="1">
      <c r="A45" s="1" t="s">
        <v>51</v>
      </c>
      <c r="B45" s="1" t="s">
        <v>69</v>
      </c>
      <c r="C45" s="1">
        <v>595.0</v>
      </c>
      <c r="D45" s="1">
        <v>636.0</v>
      </c>
      <c r="E45" s="1">
        <v>676.0</v>
      </c>
      <c r="F45" s="1">
        <v>715.0</v>
      </c>
      <c r="G45" s="1">
        <v>752.0</v>
      </c>
      <c r="H45" s="1">
        <v>784.0</v>
      </c>
      <c r="I45" s="1">
        <v>835.961</v>
      </c>
      <c r="J45" s="1">
        <v>883.708</v>
      </c>
      <c r="K45" s="1">
        <v>927.416</v>
      </c>
      <c r="L45" s="1">
        <v>959.435</v>
      </c>
      <c r="M45" s="1">
        <v>985.592</v>
      </c>
      <c r="N45" s="1">
        <v>1006.14</v>
      </c>
      <c r="O45" s="1">
        <v>1021.42</v>
      </c>
    </row>
    <row r="46" ht="14.25" hidden="1" customHeight="1">
      <c r="A46" s="1" t="s">
        <v>52</v>
      </c>
      <c r="B46" s="1" t="s">
        <v>71</v>
      </c>
      <c r="C46" s="1">
        <v>2022.0</v>
      </c>
      <c r="D46" s="1">
        <v>2092.0</v>
      </c>
      <c r="E46" s="1">
        <v>2156.0</v>
      </c>
      <c r="F46" s="1">
        <v>2211.0</v>
      </c>
      <c r="G46" s="1">
        <v>2254.0</v>
      </c>
      <c r="H46" s="1">
        <v>2234.9</v>
      </c>
      <c r="I46" s="1">
        <v>2208.96</v>
      </c>
      <c r="J46" s="1">
        <v>2166.41</v>
      </c>
      <c r="K46" s="1">
        <v>2113.57</v>
      </c>
      <c r="L46" s="1">
        <v>2032.38</v>
      </c>
      <c r="M46" s="1">
        <v>1936.3</v>
      </c>
      <c r="N46" s="1">
        <v>1831.77</v>
      </c>
      <c r="O46" s="1">
        <v>1720.25</v>
      </c>
    </row>
    <row r="47" ht="14.25" customHeight="1">
      <c r="A47" s="1" t="s">
        <v>52</v>
      </c>
      <c r="B47" s="1" t="s">
        <v>69</v>
      </c>
      <c r="C47" s="1">
        <v>834.0</v>
      </c>
      <c r="D47" s="1">
        <v>920.0</v>
      </c>
      <c r="E47" s="1">
        <v>1009.0</v>
      </c>
      <c r="F47" s="1">
        <v>1100.0</v>
      </c>
      <c r="G47" s="1">
        <v>1190.0</v>
      </c>
      <c r="H47" s="1">
        <v>1252.1</v>
      </c>
      <c r="I47" s="1">
        <v>1321.04</v>
      </c>
      <c r="J47" s="1">
        <v>1323.59</v>
      </c>
      <c r="K47" s="1">
        <v>1319.43</v>
      </c>
      <c r="L47" s="1">
        <v>1296.62</v>
      </c>
      <c r="M47" s="1">
        <v>1262.7</v>
      </c>
      <c r="N47" s="1">
        <v>1221.23</v>
      </c>
      <c r="O47" s="1">
        <v>1172.75</v>
      </c>
    </row>
    <row r="48" ht="14.25" hidden="1" customHeight="1">
      <c r="A48" s="1" t="s">
        <v>53</v>
      </c>
      <c r="B48" s="1" t="s">
        <v>71</v>
      </c>
      <c r="C48" s="1">
        <v>52558.0</v>
      </c>
      <c r="D48" s="1">
        <v>56572.0</v>
      </c>
      <c r="E48" s="1">
        <v>60198.0</v>
      </c>
      <c r="F48" s="1">
        <v>63381.0</v>
      </c>
      <c r="G48" s="1">
        <v>65972.0</v>
      </c>
      <c r="H48" s="1">
        <v>68074.0</v>
      </c>
      <c r="I48" s="1">
        <v>69614.4</v>
      </c>
      <c r="J48" s="1">
        <v>70619.9</v>
      </c>
      <c r="K48" s="1">
        <v>71168.9</v>
      </c>
      <c r="L48" s="1">
        <v>71341.9</v>
      </c>
      <c r="M48" s="1">
        <v>71147.0</v>
      </c>
      <c r="N48" s="1">
        <v>70580.4</v>
      </c>
      <c r="O48" s="1">
        <v>69653.5</v>
      </c>
    </row>
    <row r="49" ht="14.25" customHeight="1">
      <c r="A49" s="1" t="s">
        <v>53</v>
      </c>
      <c r="B49" s="1" t="s">
        <v>69</v>
      </c>
      <c r="C49" s="1">
        <v>20069.0</v>
      </c>
      <c r="D49" s="1">
        <v>22234.0</v>
      </c>
      <c r="E49" s="1">
        <v>24318.0</v>
      </c>
      <c r="F49" s="1">
        <v>26292.0</v>
      </c>
      <c r="G49" s="1">
        <v>28085.0</v>
      </c>
      <c r="H49" s="1">
        <v>29730.0</v>
      </c>
      <c r="I49" s="1">
        <v>31475.6</v>
      </c>
      <c r="J49" s="1">
        <v>33042.1</v>
      </c>
      <c r="K49" s="1">
        <v>34444.1</v>
      </c>
      <c r="L49" s="1">
        <v>35701.1</v>
      </c>
      <c r="M49" s="1">
        <v>36800.0</v>
      </c>
      <c r="N49" s="1">
        <v>37720.6</v>
      </c>
      <c r="O49" s="1">
        <v>38450.5</v>
      </c>
    </row>
    <row r="50" ht="14.25" hidden="1" customHeight="1">
      <c r="A50" s="1" t="s">
        <v>54</v>
      </c>
      <c r="B50" s="1" t="s">
        <v>71</v>
      </c>
      <c r="C50" s="1">
        <v>525.0</v>
      </c>
      <c r="D50" s="1">
        <v>540.0</v>
      </c>
      <c r="E50" s="1">
        <v>553.0</v>
      </c>
      <c r="F50" s="1">
        <v>563.0</v>
      </c>
      <c r="G50" s="1">
        <v>570.0</v>
      </c>
      <c r="H50" s="1">
        <v>564.446</v>
      </c>
      <c r="I50" s="1">
        <v>556.511</v>
      </c>
      <c r="J50" s="1">
        <v>545.36</v>
      </c>
      <c r="K50" s="1">
        <v>531.402</v>
      </c>
      <c r="L50" s="1">
        <v>510.542</v>
      </c>
      <c r="M50" s="1">
        <v>486.58</v>
      </c>
      <c r="N50" s="1">
        <v>460.09</v>
      </c>
      <c r="O50" s="1">
        <v>432.352</v>
      </c>
    </row>
    <row r="51" ht="14.25" customHeight="1">
      <c r="A51" s="1" t="s">
        <v>54</v>
      </c>
      <c r="B51" s="1" t="s">
        <v>69</v>
      </c>
      <c r="C51" s="1">
        <v>572.0</v>
      </c>
      <c r="D51" s="1">
        <v>617.0</v>
      </c>
      <c r="E51" s="1">
        <v>663.0</v>
      </c>
      <c r="F51" s="1">
        <v>709.0</v>
      </c>
      <c r="G51" s="1">
        <v>753.0</v>
      </c>
      <c r="H51" s="1">
        <v>780.554</v>
      </c>
      <c r="I51" s="1">
        <v>810.489</v>
      </c>
      <c r="J51" s="1">
        <v>817.64</v>
      </c>
      <c r="K51" s="1">
        <v>820.598</v>
      </c>
      <c r="L51" s="1">
        <v>812.458</v>
      </c>
      <c r="M51" s="1">
        <v>798.42</v>
      </c>
      <c r="N51" s="1">
        <v>778.91</v>
      </c>
      <c r="O51" s="1">
        <v>755.648</v>
      </c>
    </row>
    <row r="52" ht="14.25" hidden="1" customHeight="1">
      <c r="A52" s="1" t="s">
        <v>55</v>
      </c>
      <c r="B52" s="1" t="s">
        <v>71</v>
      </c>
      <c r="C52" s="1">
        <v>1408.0</v>
      </c>
      <c r="D52" s="1">
        <v>1339.0</v>
      </c>
      <c r="E52" s="1">
        <v>1251.0</v>
      </c>
      <c r="F52" s="1">
        <v>1144.0</v>
      </c>
      <c r="G52" s="1">
        <v>1019.0</v>
      </c>
      <c r="H52" s="1">
        <v>877.0</v>
      </c>
      <c r="I52" s="1">
        <v>795.84</v>
      </c>
      <c r="J52" s="1">
        <v>749.4</v>
      </c>
      <c r="K52" s="1">
        <v>723.84</v>
      </c>
      <c r="L52" s="1">
        <v>686.28</v>
      </c>
      <c r="M52" s="1">
        <v>655.875</v>
      </c>
      <c r="N52" s="1">
        <v>611.09</v>
      </c>
      <c r="O52" s="1">
        <v>565.08</v>
      </c>
    </row>
    <row r="53" ht="14.25" customHeight="1">
      <c r="A53" s="1" t="s">
        <v>55</v>
      </c>
      <c r="B53" s="1" t="s">
        <v>69</v>
      </c>
      <c r="C53" s="1">
        <v>571.0</v>
      </c>
      <c r="D53" s="1">
        <v>747.0</v>
      </c>
      <c r="E53" s="1">
        <v>941.0</v>
      </c>
      <c r="F53" s="1">
        <v>1150.0</v>
      </c>
      <c r="G53" s="1">
        <v>1367.0</v>
      </c>
      <c r="H53" s="1">
        <v>1581.0</v>
      </c>
      <c r="I53" s="1">
        <v>1691.16</v>
      </c>
      <c r="J53" s="1">
        <v>1748.6</v>
      </c>
      <c r="K53" s="1">
        <v>1772.16</v>
      </c>
      <c r="L53" s="1">
        <v>1764.72</v>
      </c>
      <c r="M53" s="1">
        <v>1729.12</v>
      </c>
      <c r="N53" s="1">
        <v>1694.91</v>
      </c>
      <c r="O53" s="1">
        <v>1650.92</v>
      </c>
    </row>
    <row r="54" ht="14.25" hidden="1" customHeight="1">
      <c r="A54" s="1" t="s">
        <v>56</v>
      </c>
      <c r="B54" s="1" t="s">
        <v>71</v>
      </c>
      <c r="C54" s="1">
        <v>34970.0</v>
      </c>
      <c r="D54" s="1">
        <v>35546.0</v>
      </c>
      <c r="E54" s="1">
        <v>35885.0</v>
      </c>
      <c r="F54" s="1">
        <v>35981.0</v>
      </c>
      <c r="G54" s="1">
        <v>35798.0</v>
      </c>
      <c r="H54" s="1">
        <v>35585.2</v>
      </c>
      <c r="I54" s="1">
        <v>35372.0</v>
      </c>
      <c r="J54" s="1">
        <v>35156.5</v>
      </c>
      <c r="K54" s="1">
        <v>34743.3</v>
      </c>
      <c r="L54" s="1">
        <v>34348.4</v>
      </c>
      <c r="M54" s="1">
        <v>33823.7</v>
      </c>
      <c r="N54" s="1">
        <v>33130.4</v>
      </c>
      <c r="O54" s="1">
        <v>32279.4</v>
      </c>
    </row>
    <row r="55" ht="14.25" customHeight="1">
      <c r="A55" s="1" t="s">
        <v>56</v>
      </c>
      <c r="B55" s="1" t="s">
        <v>69</v>
      </c>
      <c r="C55" s="1">
        <v>7004.0</v>
      </c>
      <c r="D55" s="1">
        <v>7582.0</v>
      </c>
      <c r="E55" s="1">
        <v>8148.0</v>
      </c>
      <c r="F55" s="1">
        <v>8696.0</v>
      </c>
      <c r="G55" s="1">
        <v>9210.0</v>
      </c>
      <c r="H55" s="1">
        <v>9754.77</v>
      </c>
      <c r="I55" s="1">
        <v>10300.0</v>
      </c>
      <c r="J55" s="1">
        <v>10853.5</v>
      </c>
      <c r="K55" s="1">
        <v>11351.7</v>
      </c>
      <c r="L55" s="1">
        <v>11858.6</v>
      </c>
      <c r="M55" s="1">
        <v>12321.3</v>
      </c>
      <c r="N55" s="1">
        <v>12717.6</v>
      </c>
      <c r="O55" s="1">
        <v>13041.6</v>
      </c>
    </row>
    <row r="56" ht="14.25" hidden="1" customHeight="1">
      <c r="A56" s="1" t="s">
        <v>57</v>
      </c>
      <c r="B56" s="1" t="s">
        <v>71</v>
      </c>
      <c r="C56" s="1">
        <v>17344.0</v>
      </c>
      <c r="D56" s="1">
        <v>17690.0</v>
      </c>
      <c r="E56" s="1">
        <v>17870.0</v>
      </c>
      <c r="F56" s="1">
        <v>17877.0</v>
      </c>
      <c r="G56" s="1">
        <v>17727.0</v>
      </c>
      <c r="H56" s="1">
        <v>17431.0</v>
      </c>
      <c r="I56" s="1">
        <v>17174.3</v>
      </c>
      <c r="J56" s="1">
        <v>17174.5</v>
      </c>
      <c r="K56" s="1">
        <v>17060.5</v>
      </c>
      <c r="L56" s="1">
        <v>16868.0</v>
      </c>
      <c r="M56" s="1">
        <v>16584.8</v>
      </c>
      <c r="N56" s="1">
        <v>16211.3</v>
      </c>
      <c r="O56" s="1">
        <v>15752.9</v>
      </c>
    </row>
    <row r="57" ht="14.25" customHeight="1">
      <c r="A57" s="1" t="s">
        <v>57</v>
      </c>
      <c r="B57" s="1" t="s">
        <v>69</v>
      </c>
      <c r="C57" s="1">
        <v>10399.0</v>
      </c>
      <c r="D57" s="1">
        <v>11450.0</v>
      </c>
      <c r="E57" s="1">
        <v>12469.0</v>
      </c>
      <c r="F57" s="1">
        <v>13441.0</v>
      </c>
      <c r="G57" s="1">
        <v>14360.0</v>
      </c>
      <c r="H57" s="1">
        <v>15227.0</v>
      </c>
      <c r="I57" s="1">
        <v>16307.7</v>
      </c>
      <c r="J57" s="1">
        <v>16899.5</v>
      </c>
      <c r="K57" s="1">
        <v>17407.5</v>
      </c>
      <c r="L57" s="1">
        <v>17859.0</v>
      </c>
      <c r="M57" s="1">
        <v>18233.2</v>
      </c>
      <c r="N57" s="1">
        <v>18520.7</v>
      </c>
      <c r="O57" s="1">
        <v>18717.1</v>
      </c>
    </row>
    <row r="58" ht="14.25" hidden="1" customHeight="1">
      <c r="A58" s="1" t="s">
        <v>58</v>
      </c>
      <c r="B58" s="1" t="s">
        <v>71</v>
      </c>
      <c r="C58" s="1">
        <v>395.0</v>
      </c>
      <c r="D58" s="1">
        <v>432.0</v>
      </c>
      <c r="E58" s="1">
        <v>473.0</v>
      </c>
      <c r="F58" s="1">
        <v>516.0</v>
      </c>
      <c r="G58" s="1">
        <v>564.0</v>
      </c>
      <c r="H58" s="1">
        <v>595.692</v>
      </c>
      <c r="I58" s="1">
        <v>622.497</v>
      </c>
      <c r="J58" s="1">
        <v>628.463</v>
      </c>
      <c r="K58" s="1">
        <v>629.733</v>
      </c>
      <c r="L58" s="1">
        <v>627.307</v>
      </c>
      <c r="M58" s="1">
        <v>621.364</v>
      </c>
      <c r="N58" s="1">
        <v>612.084</v>
      </c>
      <c r="O58" s="1">
        <v>599.16</v>
      </c>
    </row>
    <row r="59" ht="14.25" customHeight="1">
      <c r="A59" s="1" t="s">
        <v>58</v>
      </c>
      <c r="B59" s="1" t="s">
        <v>69</v>
      </c>
      <c r="C59" s="1">
        <v>853.0</v>
      </c>
      <c r="D59" s="1">
        <v>970.0</v>
      </c>
      <c r="E59" s="1">
        <v>1098.0</v>
      </c>
      <c r="F59" s="1">
        <v>1241.0</v>
      </c>
      <c r="G59" s="1">
        <v>1397.0</v>
      </c>
      <c r="H59" s="1">
        <v>1516.31</v>
      </c>
      <c r="I59" s="1">
        <v>1641.5</v>
      </c>
      <c r="J59" s="1">
        <v>1699.54</v>
      </c>
      <c r="K59" s="1">
        <v>1747.27</v>
      </c>
      <c r="L59" s="1">
        <v>1786.69</v>
      </c>
      <c r="M59" s="1">
        <v>1817.64</v>
      </c>
      <c r="N59" s="1">
        <v>1839.92</v>
      </c>
      <c r="O59" s="1">
        <v>1851.84</v>
      </c>
    </row>
    <row r="60" ht="14.25" hidden="1" customHeight="1">
      <c r="A60" s="1" t="s">
        <v>59</v>
      </c>
      <c r="B60" s="1" t="s">
        <v>71</v>
      </c>
      <c r="C60" s="1">
        <v>51500.0</v>
      </c>
      <c r="D60" s="1">
        <v>55227.0</v>
      </c>
      <c r="E60" s="1">
        <v>58407.0</v>
      </c>
      <c r="F60" s="1">
        <v>61027.0</v>
      </c>
      <c r="G60" s="1">
        <v>63006.0</v>
      </c>
      <c r="H60" s="1">
        <v>64798.0</v>
      </c>
      <c r="I60" s="1">
        <v>65551.5</v>
      </c>
      <c r="J60" s="1">
        <v>65743.5</v>
      </c>
      <c r="K60" s="1">
        <v>65463.9</v>
      </c>
      <c r="L60" s="1">
        <v>64703.8</v>
      </c>
      <c r="M60" s="1">
        <v>63564.7</v>
      </c>
      <c r="N60" s="1">
        <v>62083.8</v>
      </c>
      <c r="O60" s="1">
        <v>60285.5</v>
      </c>
    </row>
    <row r="61" ht="14.25" customHeight="1">
      <c r="A61" s="1" t="s">
        <v>59</v>
      </c>
      <c r="B61" s="1" t="s">
        <v>69</v>
      </c>
      <c r="C61" s="1">
        <v>17048.0</v>
      </c>
      <c r="D61" s="1">
        <v>19013.0</v>
      </c>
      <c r="E61" s="1">
        <v>20874.0</v>
      </c>
      <c r="F61" s="1">
        <v>22615.0</v>
      </c>
      <c r="G61" s="1">
        <v>24192.0</v>
      </c>
      <c r="H61" s="1">
        <v>25765.0</v>
      </c>
      <c r="I61" s="1">
        <v>28237.5</v>
      </c>
      <c r="J61" s="1">
        <v>30605.5</v>
      </c>
      <c r="K61" s="1">
        <v>32864.1</v>
      </c>
      <c r="L61" s="1">
        <v>34964.2</v>
      </c>
      <c r="M61" s="1">
        <v>36914.3</v>
      </c>
      <c r="N61" s="1">
        <v>38695.2</v>
      </c>
      <c r="O61" s="1">
        <v>40280.5</v>
      </c>
    </row>
    <row r="62" ht="14.25" hidden="1" customHeight="1">
      <c r="A62" s="1" t="s">
        <v>60</v>
      </c>
      <c r="B62" s="1" t="s">
        <v>71</v>
      </c>
      <c r="C62" s="1">
        <v>457.0</v>
      </c>
      <c r="D62" s="1">
        <v>420.0</v>
      </c>
      <c r="E62" s="1">
        <v>373.0</v>
      </c>
      <c r="F62" s="1">
        <v>317.0</v>
      </c>
      <c r="G62" s="1">
        <v>256.0</v>
      </c>
      <c r="H62" s="1">
        <v>193.0</v>
      </c>
      <c r="I62" s="1">
        <v>179.4</v>
      </c>
      <c r="J62" s="1">
        <v>174.9</v>
      </c>
      <c r="K62" s="1">
        <v>169.26</v>
      </c>
      <c r="L62" s="1">
        <v>161.4</v>
      </c>
      <c r="M62" s="1">
        <v>160.2</v>
      </c>
      <c r="N62" s="1">
        <v>158.4</v>
      </c>
      <c r="O62" s="1">
        <v>155.8</v>
      </c>
    </row>
    <row r="63" ht="14.25" customHeight="1">
      <c r="A63" s="1" t="s">
        <v>60</v>
      </c>
      <c r="B63" s="1" t="s">
        <v>69</v>
      </c>
      <c r="C63" s="1">
        <v>154.0</v>
      </c>
      <c r="D63" s="1">
        <v>224.0</v>
      </c>
      <c r="E63" s="1">
        <v>304.0</v>
      </c>
      <c r="F63" s="1">
        <v>391.0</v>
      </c>
      <c r="G63" s="1">
        <v>480.0</v>
      </c>
      <c r="H63" s="1">
        <v>566.0</v>
      </c>
      <c r="I63" s="1">
        <v>600.6</v>
      </c>
      <c r="J63" s="1">
        <v>620.1</v>
      </c>
      <c r="K63" s="1">
        <v>636.74</v>
      </c>
      <c r="L63" s="1">
        <v>645.6</v>
      </c>
      <c r="M63" s="1">
        <v>640.8</v>
      </c>
      <c r="N63" s="1">
        <v>633.6</v>
      </c>
      <c r="O63" s="1">
        <v>623.2</v>
      </c>
    </row>
    <row r="64" ht="14.25" hidden="1" customHeight="1">
      <c r="A64" s="1" t="s">
        <v>61</v>
      </c>
      <c r="B64" s="1" t="s">
        <v>71</v>
      </c>
      <c r="C64" s="1">
        <v>37230.0</v>
      </c>
      <c r="D64" s="1">
        <v>36879.0</v>
      </c>
      <c r="E64" s="1">
        <v>36068.0</v>
      </c>
      <c r="F64" s="1">
        <v>34877.0</v>
      </c>
      <c r="G64" s="1">
        <v>33340.0</v>
      </c>
      <c r="H64" s="1">
        <v>31513.0</v>
      </c>
      <c r="I64" s="1">
        <v>29585.1</v>
      </c>
      <c r="J64" s="1">
        <v>28360.3</v>
      </c>
      <c r="K64" s="1">
        <v>26980.3</v>
      </c>
      <c r="L64" s="1">
        <v>25638.8</v>
      </c>
      <c r="M64" s="1">
        <v>24201.9</v>
      </c>
      <c r="N64" s="1">
        <v>22649.0</v>
      </c>
      <c r="O64" s="1">
        <v>21005.3</v>
      </c>
    </row>
    <row r="65" ht="14.25" customHeight="1">
      <c r="A65" s="1" t="s">
        <v>61</v>
      </c>
      <c r="B65" s="1" t="s">
        <v>69</v>
      </c>
      <c r="C65" s="1">
        <v>34917.0</v>
      </c>
      <c r="D65" s="1">
        <v>37756.0</v>
      </c>
      <c r="E65" s="1">
        <v>40334.0</v>
      </c>
      <c r="F65" s="1">
        <v>42669.0</v>
      </c>
      <c r="G65" s="1">
        <v>44742.0</v>
      </c>
      <c r="H65" s="1">
        <v>46554.0</v>
      </c>
      <c r="I65" s="1">
        <v>48632.9</v>
      </c>
      <c r="J65" s="1">
        <v>49495.7</v>
      </c>
      <c r="K65" s="1">
        <v>50110.7</v>
      </c>
      <c r="L65" s="1">
        <v>50810.2</v>
      </c>
      <c r="M65" s="1">
        <v>51326.1</v>
      </c>
      <c r="N65" s="1">
        <v>51570.0</v>
      </c>
      <c r="O65" s="1">
        <v>51539.7</v>
      </c>
    </row>
    <row r="66" ht="14.25" hidden="1" customHeight="1">
      <c r="A66" s="1" t="s">
        <v>62</v>
      </c>
      <c r="B66" s="1" t="s">
        <v>71</v>
      </c>
      <c r="C66" s="1">
        <v>2713.0</v>
      </c>
      <c r="D66" s="1">
        <v>2654.0</v>
      </c>
      <c r="E66" s="1">
        <v>2566.0</v>
      </c>
      <c r="F66" s="1">
        <v>2447.0</v>
      </c>
      <c r="G66" s="1">
        <v>2294.0</v>
      </c>
      <c r="H66" s="1">
        <v>2105.0</v>
      </c>
      <c r="I66" s="1">
        <v>2013.0</v>
      </c>
      <c r="J66" s="1">
        <v>1958.22</v>
      </c>
      <c r="K66" s="1">
        <v>1912.38</v>
      </c>
      <c r="L66" s="1">
        <v>1809.14</v>
      </c>
      <c r="M66" s="1">
        <v>1693.59</v>
      </c>
      <c r="N66" s="1">
        <v>1574.09</v>
      </c>
      <c r="O66" s="1">
        <v>1472.88</v>
      </c>
    </row>
    <row r="67" ht="14.25" customHeight="1">
      <c r="A67" s="1" t="s">
        <v>62</v>
      </c>
      <c r="B67" s="1" t="s">
        <v>69</v>
      </c>
      <c r="C67" s="1">
        <v>961.0</v>
      </c>
      <c r="D67" s="1">
        <v>1220.0</v>
      </c>
      <c r="E67" s="1">
        <v>1505.0</v>
      </c>
      <c r="F67" s="1">
        <v>1813.0</v>
      </c>
      <c r="G67" s="1">
        <v>2136.0</v>
      </c>
      <c r="H67" s="1">
        <v>2460.0</v>
      </c>
      <c r="I67" s="1">
        <v>2562.0</v>
      </c>
      <c r="J67" s="1">
        <v>2595.78</v>
      </c>
      <c r="K67" s="1">
        <v>2598.62</v>
      </c>
      <c r="L67" s="1">
        <v>2586.86</v>
      </c>
      <c r="M67" s="1">
        <v>2549.41</v>
      </c>
      <c r="N67" s="1">
        <v>2495.91</v>
      </c>
      <c r="O67" s="1">
        <v>2403.12</v>
      </c>
    </row>
    <row r="68" ht="14.25" hidden="1" customHeight="1">
      <c r="A68" s="1" t="s">
        <v>63</v>
      </c>
      <c r="B68" s="1" t="s">
        <v>71</v>
      </c>
      <c r="C68" s="1">
        <v>21273.0</v>
      </c>
      <c r="D68" s="1">
        <v>20850.0</v>
      </c>
      <c r="E68" s="1">
        <v>20211.0</v>
      </c>
      <c r="F68" s="1">
        <v>19287.0</v>
      </c>
      <c r="G68" s="1">
        <v>18117.0</v>
      </c>
      <c r="H68" s="1">
        <v>16734.0</v>
      </c>
      <c r="I68" s="1">
        <v>16207.7</v>
      </c>
      <c r="J68" s="1">
        <v>15564.0</v>
      </c>
      <c r="K68" s="1">
        <v>14836.8</v>
      </c>
      <c r="L68" s="1">
        <v>14074.9</v>
      </c>
      <c r="M68" s="1">
        <v>13257.4</v>
      </c>
      <c r="N68" s="1">
        <v>12389.2</v>
      </c>
      <c r="O68" s="1">
        <v>11483.7</v>
      </c>
    </row>
    <row r="69" ht="14.25" customHeight="1">
      <c r="A69" s="1" t="s">
        <v>63</v>
      </c>
      <c r="B69" s="1" t="s">
        <v>69</v>
      </c>
      <c r="C69" s="1">
        <v>13731.0</v>
      </c>
      <c r="D69" s="1">
        <v>15612.0</v>
      </c>
      <c r="E69" s="1">
        <v>17514.0</v>
      </c>
      <c r="F69" s="1">
        <v>19349.0</v>
      </c>
      <c r="G69" s="1">
        <v>21090.0</v>
      </c>
      <c r="H69" s="1">
        <v>22733.0</v>
      </c>
      <c r="I69" s="1">
        <v>23637.3</v>
      </c>
      <c r="J69" s="1">
        <v>24391.0</v>
      </c>
      <c r="K69" s="1">
        <v>25014.2</v>
      </c>
      <c r="L69" s="1">
        <v>25564.1</v>
      </c>
      <c r="M69" s="1">
        <v>25983.6</v>
      </c>
      <c r="N69" s="1">
        <v>26252.8</v>
      </c>
      <c r="O69" s="1">
        <v>26368.3</v>
      </c>
    </row>
    <row r="70" ht="14.25" hidden="1" customHeight="1">
      <c r="A70" s="1" t="s">
        <v>64</v>
      </c>
      <c r="B70" s="1" t="s">
        <v>71</v>
      </c>
      <c r="C70" s="1">
        <v>7037.0</v>
      </c>
      <c r="D70" s="1">
        <v>7249.0</v>
      </c>
      <c r="E70" s="1">
        <v>7414.0</v>
      </c>
      <c r="F70" s="1">
        <v>7520.0</v>
      </c>
      <c r="G70" s="1">
        <v>7559.0</v>
      </c>
      <c r="H70" s="1">
        <v>7525.0</v>
      </c>
      <c r="I70" s="1">
        <v>7409.93</v>
      </c>
      <c r="J70" s="1">
        <v>7467.11</v>
      </c>
      <c r="K70" s="1">
        <v>7469.0</v>
      </c>
      <c r="L70" s="1">
        <v>7414.36</v>
      </c>
      <c r="M70" s="1">
        <v>7313.56</v>
      </c>
      <c r="N70" s="1">
        <v>7169.96</v>
      </c>
      <c r="O70" s="1">
        <v>6985.96</v>
      </c>
    </row>
    <row r="71" ht="14.25" customHeight="1">
      <c r="A71" s="1" t="s">
        <v>64</v>
      </c>
      <c r="B71" s="1" t="s">
        <v>69</v>
      </c>
      <c r="C71" s="1">
        <v>3049.0</v>
      </c>
      <c r="D71" s="1">
        <v>3506.0</v>
      </c>
      <c r="E71" s="1">
        <v>3985.0</v>
      </c>
      <c r="F71" s="1">
        <v>4473.0</v>
      </c>
      <c r="G71" s="1">
        <v>4965.0</v>
      </c>
      <c r="H71" s="1">
        <v>5449.0</v>
      </c>
      <c r="I71" s="1">
        <v>6027.07</v>
      </c>
      <c r="J71" s="1">
        <v>6337.89</v>
      </c>
      <c r="K71" s="1">
        <v>6621.0</v>
      </c>
      <c r="L71" s="1">
        <v>6870.64</v>
      </c>
      <c r="M71" s="1">
        <v>7091.44</v>
      </c>
      <c r="N71" s="1">
        <v>7282.04</v>
      </c>
      <c r="O71" s="1">
        <v>7440.04</v>
      </c>
    </row>
    <row r="72" ht="14.25" hidden="1" customHeight="1">
      <c r="A72" s="1" t="s">
        <v>65</v>
      </c>
      <c r="B72" s="1" t="s">
        <v>71</v>
      </c>
      <c r="C72" s="1">
        <v>155317.0</v>
      </c>
      <c r="D72" s="1">
        <v>166358.0</v>
      </c>
      <c r="E72" s="1">
        <v>176092.0</v>
      </c>
      <c r="F72" s="1">
        <v>183465.0</v>
      </c>
      <c r="G72" s="1">
        <v>188533.0</v>
      </c>
      <c r="H72" s="1">
        <v>191909.0</v>
      </c>
      <c r="I72" s="1">
        <v>195873.0</v>
      </c>
      <c r="J72" s="1">
        <v>198365.0</v>
      </c>
      <c r="K72" s="1">
        <v>199612.0</v>
      </c>
      <c r="L72" s="1">
        <v>199152.0</v>
      </c>
      <c r="M72" s="1">
        <v>197508.0</v>
      </c>
      <c r="N72" s="1">
        <v>194860.0</v>
      </c>
      <c r="O72" s="1">
        <v>191254.0</v>
      </c>
    </row>
    <row r="73" ht="14.25" customHeight="1">
      <c r="A73" s="1" t="s">
        <v>65</v>
      </c>
      <c r="B73" s="1" t="s">
        <v>69</v>
      </c>
      <c r="C73" s="1">
        <v>44495.0</v>
      </c>
      <c r="D73" s="1">
        <v>49729.0</v>
      </c>
      <c r="E73" s="1">
        <v>54815.0</v>
      </c>
      <c r="F73" s="1">
        <v>59394.0</v>
      </c>
      <c r="G73" s="1">
        <v>63430.0</v>
      </c>
      <c r="H73" s="1">
        <v>67081.0</v>
      </c>
      <c r="I73" s="1">
        <v>70987.2</v>
      </c>
      <c r="J73" s="1">
        <v>74492.5</v>
      </c>
      <c r="K73" s="1">
        <v>77629.9</v>
      </c>
      <c r="L73" s="1">
        <v>80166.2</v>
      </c>
      <c r="M73" s="1">
        <v>82250.9</v>
      </c>
      <c r="N73" s="1">
        <v>83911.9</v>
      </c>
      <c r="O73" s="1">
        <v>85126.3</v>
      </c>
    </row>
    <row r="74" ht="14.25" hidden="1" customHeight="1">
      <c r="A74" s="1" t="s">
        <v>66</v>
      </c>
      <c r="B74" s="1" t="s">
        <v>71</v>
      </c>
      <c r="C74" s="1">
        <v>62183.0</v>
      </c>
      <c r="D74" s="1">
        <v>62847.0</v>
      </c>
      <c r="E74" s="1">
        <v>62845.0</v>
      </c>
      <c r="F74" s="1">
        <v>62275.0</v>
      </c>
      <c r="G74" s="1">
        <v>61099.0</v>
      </c>
      <c r="H74" s="1">
        <v>59273.0</v>
      </c>
      <c r="I74" s="1">
        <v>56887.9</v>
      </c>
      <c r="J74" s="1">
        <v>55720.7</v>
      </c>
      <c r="K74" s="1">
        <v>54255.8</v>
      </c>
      <c r="L74" s="1">
        <v>52570.7</v>
      </c>
      <c r="M74" s="1">
        <v>50627.4</v>
      </c>
      <c r="N74" s="1">
        <v>48444.3</v>
      </c>
      <c r="O74" s="1">
        <v>46057.8</v>
      </c>
    </row>
    <row r="75" ht="14.25" customHeight="1">
      <c r="A75" s="1" t="s">
        <v>66</v>
      </c>
      <c r="B75" s="1" t="s">
        <v>69</v>
      </c>
      <c r="C75" s="1">
        <v>29093.0</v>
      </c>
      <c r="D75" s="1">
        <v>32232.0</v>
      </c>
      <c r="E75" s="1">
        <v>35280.0</v>
      </c>
      <c r="F75" s="1">
        <v>38247.0</v>
      </c>
      <c r="G75" s="1">
        <v>41068.0</v>
      </c>
      <c r="H75" s="1">
        <v>43658.0</v>
      </c>
      <c r="I75" s="1">
        <v>46374.1</v>
      </c>
      <c r="J75" s="1">
        <v>47191.3</v>
      </c>
      <c r="K75" s="1">
        <v>47772.2</v>
      </c>
      <c r="L75" s="1">
        <v>48158.3</v>
      </c>
      <c r="M75" s="1">
        <v>48288.6</v>
      </c>
      <c r="N75" s="1">
        <v>48148.7</v>
      </c>
      <c r="O75" s="1">
        <v>47742.2</v>
      </c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O$75">
    <filterColumn colId="1">
      <filters>
        <filter val="resid urban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71"/>
    <col customWidth="1" min="3" max="32" width="8.71"/>
  </cols>
  <sheetData>
    <row r="1" ht="14.25" customHeight="1">
      <c r="A1" s="1" t="s">
        <v>2</v>
      </c>
      <c r="B1" s="1" t="s">
        <v>68</v>
      </c>
      <c r="C1" s="1">
        <v>2010.0</v>
      </c>
      <c r="D1" s="1">
        <v>2015.0</v>
      </c>
      <c r="E1" s="1">
        <v>2020.0</v>
      </c>
      <c r="F1" s="1">
        <v>2025.0</v>
      </c>
      <c r="G1" s="1">
        <v>2030.0</v>
      </c>
      <c r="H1" s="1">
        <v>2035.0</v>
      </c>
      <c r="I1" s="1">
        <v>2040.0</v>
      </c>
      <c r="J1" s="1">
        <v>2045.0</v>
      </c>
      <c r="K1" s="1">
        <v>2050.0</v>
      </c>
      <c r="L1" s="1">
        <v>2055.0</v>
      </c>
      <c r="M1" s="1">
        <v>2060.0</v>
      </c>
      <c r="N1" s="1">
        <v>2065.0</v>
      </c>
      <c r="O1" s="1">
        <v>2070.0</v>
      </c>
      <c r="Q1" s="1" t="s">
        <v>72</v>
      </c>
      <c r="R1" s="1" t="s">
        <v>73</v>
      </c>
      <c r="S1" s="1" t="s">
        <v>68</v>
      </c>
      <c r="T1" s="1">
        <v>2010.0</v>
      </c>
      <c r="U1" s="1">
        <v>2015.0</v>
      </c>
      <c r="V1" s="1">
        <v>2020.0</v>
      </c>
      <c r="W1" s="1">
        <v>2025.0</v>
      </c>
      <c r="X1" s="1">
        <v>2030.0</v>
      </c>
      <c r="Y1" s="1">
        <v>2035.0</v>
      </c>
      <c r="Z1" s="1">
        <v>2040.0</v>
      </c>
      <c r="AA1" s="1">
        <v>2045.0</v>
      </c>
      <c r="AB1" s="1">
        <v>2050.0</v>
      </c>
      <c r="AC1" s="1">
        <v>2055.0</v>
      </c>
      <c r="AD1" s="1">
        <v>2060.0</v>
      </c>
      <c r="AE1" s="1">
        <v>2065.0</v>
      </c>
      <c r="AF1" s="1">
        <v>2070.0</v>
      </c>
    </row>
    <row r="2" ht="14.25" customHeight="1">
      <c r="A2" s="1" t="s">
        <v>6</v>
      </c>
      <c r="B2" s="1" t="s">
        <v>71</v>
      </c>
      <c r="C2" s="1">
        <v>238.0</v>
      </c>
      <c r="D2" s="1">
        <v>233.403</v>
      </c>
      <c r="E2" s="1">
        <v>228.0</v>
      </c>
      <c r="F2" s="1">
        <v>222.167</v>
      </c>
      <c r="G2" s="1">
        <v>214.61</v>
      </c>
      <c r="H2" s="1">
        <v>207.748</v>
      </c>
      <c r="I2" s="1">
        <v>197.283</v>
      </c>
      <c r="J2" s="1">
        <v>194.873</v>
      </c>
      <c r="K2" s="1">
        <v>192.794</v>
      </c>
      <c r="L2" s="1">
        <v>189.318</v>
      </c>
      <c r="M2" s="1">
        <v>184.524</v>
      </c>
      <c r="N2" s="1">
        <v>177.758</v>
      </c>
      <c r="O2" s="1">
        <v>169.916</v>
      </c>
      <c r="R2" s="1" t="s">
        <v>6</v>
      </c>
      <c r="S2" s="1" t="s">
        <v>71</v>
      </c>
      <c r="T2" s="1">
        <f>(C2*1000)/'Household Size'!$B$3</f>
        <v>44905.66038</v>
      </c>
      <c r="U2" s="1">
        <f>(D2*1000)/'Household Size'!$C$3</f>
        <v>44885.19231</v>
      </c>
      <c r="V2" s="1">
        <f>(E2*1000)/'Household Size'!$D$3</f>
        <v>44705.88235</v>
      </c>
      <c r="W2" s="1">
        <f>(F2*1000)/'Household Size'!$E$3</f>
        <v>45340.20408</v>
      </c>
      <c r="X2" s="1">
        <f>(G2*1000)/'Household Size'!$F$3</f>
        <v>44710.41667</v>
      </c>
      <c r="Y2" s="1">
        <f>(H2*1000)/'Household Size'!$G$3</f>
        <v>44201.70213</v>
      </c>
      <c r="Z2" s="1">
        <f>(I2*1000)/'Household Size'!$H$3</f>
        <v>42887.6087</v>
      </c>
      <c r="AA2" s="1">
        <f>(J2*1000)/'Household Size'!$I$3</f>
        <v>44289.31818</v>
      </c>
      <c r="AB2" s="1">
        <f>(K2*1000)/'Household Size'!$J$3</f>
        <v>44835.81395</v>
      </c>
      <c r="AC2" s="1">
        <f>(L2*1000)/'Household Size'!$K$3</f>
        <v>45075.71429</v>
      </c>
      <c r="AD2" s="1">
        <f>(M2*1000)/'Household Size'!$L$3</f>
        <v>45005.85366</v>
      </c>
      <c r="AE2" s="1">
        <f>(N2*1000)/'Household Size'!$M$3</f>
        <v>44439.5</v>
      </c>
      <c r="AF2" s="1">
        <f>(O2*1000)/'Household Size'!$N$3</f>
        <v>44714.73684</v>
      </c>
    </row>
    <row r="3" ht="14.25" customHeight="1">
      <c r="A3" s="1" t="s">
        <v>30</v>
      </c>
      <c r="B3" s="1" t="s">
        <v>71</v>
      </c>
      <c r="C3" s="1">
        <v>34967.0</v>
      </c>
      <c r="D3" s="1">
        <v>34762.0</v>
      </c>
      <c r="E3" s="1">
        <v>34169.0</v>
      </c>
      <c r="F3" s="1">
        <v>33136.0</v>
      </c>
      <c r="G3" s="1">
        <v>31739.4</v>
      </c>
      <c r="H3" s="1">
        <v>30113.2</v>
      </c>
      <c r="I3" s="1">
        <v>28480.9</v>
      </c>
      <c r="J3" s="1">
        <v>26912.8</v>
      </c>
      <c r="K3" s="1">
        <v>25746.6</v>
      </c>
      <c r="L3" s="1">
        <v>24519.6</v>
      </c>
      <c r="M3" s="1">
        <v>23734.0</v>
      </c>
      <c r="N3" s="1">
        <v>22840.3</v>
      </c>
      <c r="O3" s="1">
        <v>21853.0</v>
      </c>
      <c r="R3" s="1" t="s">
        <v>30</v>
      </c>
      <c r="S3" s="1" t="s">
        <v>71</v>
      </c>
      <c r="T3" s="1">
        <f>(C3*1000)/'Household Size'!$B$3</f>
        <v>6597547.17</v>
      </c>
      <c r="U3" s="1">
        <f>(D3*1000)/'Household Size'!$C$3</f>
        <v>6685000</v>
      </c>
      <c r="V3" s="1">
        <f>(E3*1000)/'Household Size'!$D$3</f>
        <v>6699803.922</v>
      </c>
      <c r="W3" s="1">
        <f>(F3*1000)/'Household Size'!$E$3</f>
        <v>6762448.98</v>
      </c>
      <c r="X3" s="1">
        <f>(G3*1000)/'Household Size'!$F$3</f>
        <v>6612375</v>
      </c>
      <c r="Y3" s="1">
        <f>(H3*1000)/'Household Size'!$G$3</f>
        <v>6407063.83</v>
      </c>
      <c r="Z3" s="1">
        <f>(I3*1000)/'Household Size'!$H$3</f>
        <v>6191500</v>
      </c>
      <c r="AA3" s="1">
        <f>(J3*1000)/'Household Size'!$I$3</f>
        <v>6116545.455</v>
      </c>
      <c r="AB3" s="1">
        <f>(K3*1000)/'Household Size'!$J$3</f>
        <v>5987581.395</v>
      </c>
      <c r="AC3" s="1">
        <f>(L3*1000)/'Household Size'!$K$3</f>
        <v>5838000</v>
      </c>
      <c r="AD3" s="1">
        <f>(M3*1000)/'Household Size'!$L$3</f>
        <v>5788780.488</v>
      </c>
      <c r="AE3" s="1">
        <f>(N3*1000)/'Household Size'!$M$3</f>
        <v>5710075</v>
      </c>
      <c r="AF3" s="1">
        <f>(O3*1000)/'Household Size'!$N$3</f>
        <v>5750789.474</v>
      </c>
    </row>
    <row r="4" ht="14.25" customHeight="1">
      <c r="A4" s="1" t="s">
        <v>32</v>
      </c>
      <c r="B4" s="1" t="s">
        <v>71</v>
      </c>
      <c r="C4" s="1">
        <v>1067.0</v>
      </c>
      <c r="D4" s="1">
        <v>1108.0</v>
      </c>
      <c r="E4" s="1">
        <v>1147.0</v>
      </c>
      <c r="F4" s="1">
        <v>1182.0</v>
      </c>
      <c r="G4" s="1">
        <v>1211.0</v>
      </c>
      <c r="H4" s="1">
        <v>1239.43</v>
      </c>
      <c r="I4" s="1">
        <v>1263.35</v>
      </c>
      <c r="J4" s="1">
        <v>1305.44</v>
      </c>
      <c r="K4" s="1">
        <v>1338.65</v>
      </c>
      <c r="L4" s="1">
        <v>1352.72</v>
      </c>
      <c r="M4" s="1">
        <v>1356.2</v>
      </c>
      <c r="N4" s="1">
        <v>1353.34</v>
      </c>
      <c r="O4" s="1">
        <v>1342.87</v>
      </c>
      <c r="R4" s="1" t="s">
        <v>32</v>
      </c>
      <c r="S4" s="1" t="s">
        <v>71</v>
      </c>
      <c r="T4" s="1">
        <f>(C4*1000)/'Household Size'!$B$3</f>
        <v>201320.7547</v>
      </c>
      <c r="U4" s="1">
        <f>(D4*1000)/'Household Size'!$C$3</f>
        <v>213076.9231</v>
      </c>
      <c r="V4" s="1">
        <f>(E4*1000)/'Household Size'!$D$3</f>
        <v>224901.9608</v>
      </c>
      <c r="W4" s="1">
        <f>(F4*1000)/'Household Size'!$E$3</f>
        <v>241224.4898</v>
      </c>
      <c r="X4" s="1">
        <f>(G4*1000)/'Household Size'!$F$3</f>
        <v>252291.6667</v>
      </c>
      <c r="Y4" s="1">
        <f>(H4*1000)/'Household Size'!$G$3</f>
        <v>263708.5106</v>
      </c>
      <c r="Z4" s="1">
        <f>(I4*1000)/'Household Size'!$H$3</f>
        <v>274641.3043</v>
      </c>
      <c r="AA4" s="1">
        <f>(J4*1000)/'Household Size'!$I$3</f>
        <v>296690.9091</v>
      </c>
      <c r="AB4" s="1">
        <f>(K4*1000)/'Household Size'!$J$3</f>
        <v>311313.9535</v>
      </c>
      <c r="AC4" s="1">
        <f>(L4*1000)/'Household Size'!$K$3</f>
        <v>322076.1905</v>
      </c>
      <c r="AD4" s="1">
        <f>(M4*1000)/'Household Size'!$L$3</f>
        <v>330780.4878</v>
      </c>
      <c r="AE4" s="1">
        <f>(N4*1000)/'Household Size'!$M$3</f>
        <v>338335</v>
      </c>
      <c r="AF4" s="1">
        <f>(O4*1000)/'Household Size'!$N$3</f>
        <v>353386.8421</v>
      </c>
    </row>
    <row r="5" ht="14.25" customHeight="1">
      <c r="A5" s="1" t="s">
        <v>33</v>
      </c>
      <c r="B5" s="1" t="s">
        <v>71</v>
      </c>
      <c r="C5" s="1">
        <v>26807.0</v>
      </c>
      <c r="D5" s="1">
        <v>28289.0</v>
      </c>
      <c r="E5" s="1">
        <v>29675.0</v>
      </c>
      <c r="F5" s="1">
        <v>30869.0</v>
      </c>
      <c r="G5" s="1">
        <v>31878.0</v>
      </c>
      <c r="H5" s="1">
        <v>32637.0</v>
      </c>
      <c r="I5" s="1">
        <v>32734.6</v>
      </c>
      <c r="J5" s="1">
        <v>32575.1</v>
      </c>
      <c r="K5" s="1">
        <v>32208.2</v>
      </c>
      <c r="L5" s="1">
        <v>31765.3</v>
      </c>
      <c r="M5" s="1">
        <v>31177.3</v>
      </c>
      <c r="N5" s="1">
        <v>30427.6</v>
      </c>
      <c r="O5" s="1">
        <v>29528.1</v>
      </c>
      <c r="R5" s="1" t="s">
        <v>33</v>
      </c>
      <c r="S5" s="1" t="s">
        <v>71</v>
      </c>
      <c r="T5" s="1">
        <f>(C5*1000)/'Household Size'!$B$3</f>
        <v>5057924.528</v>
      </c>
      <c r="U5" s="1">
        <f>(D5*1000)/'Household Size'!$C$3</f>
        <v>5440192.308</v>
      </c>
      <c r="V5" s="1">
        <f>(E5*1000)/'Household Size'!$D$3</f>
        <v>5818627.451</v>
      </c>
      <c r="W5" s="1">
        <f>(F5*1000)/'Household Size'!$E$3</f>
        <v>6299795.918</v>
      </c>
      <c r="X5" s="1">
        <f>(G5*1000)/'Household Size'!$F$3</f>
        <v>6641250</v>
      </c>
      <c r="Y5" s="1">
        <f>(H5*1000)/'Household Size'!$G$3</f>
        <v>6944042.553</v>
      </c>
      <c r="Z5" s="1">
        <f>(I5*1000)/'Household Size'!$H$3</f>
        <v>7116217.391</v>
      </c>
      <c r="AA5" s="1">
        <f>(J5*1000)/'Household Size'!$I$3</f>
        <v>7403431.818</v>
      </c>
      <c r="AB5" s="1">
        <f>(K5*1000)/'Household Size'!$J$3</f>
        <v>7490279.07</v>
      </c>
      <c r="AC5" s="1">
        <f>(L5*1000)/'Household Size'!$K$3</f>
        <v>7563166.667</v>
      </c>
      <c r="AD5" s="1">
        <f>(M5*1000)/'Household Size'!$L$3</f>
        <v>7604219.512</v>
      </c>
      <c r="AE5" s="1">
        <f>(N5*1000)/'Household Size'!$M$3</f>
        <v>7606900</v>
      </c>
      <c r="AF5" s="1">
        <f>(O5*1000)/'Household Size'!$N$3</f>
        <v>7770552.632</v>
      </c>
    </row>
    <row r="6" ht="14.25" customHeight="1">
      <c r="A6" s="1" t="s">
        <v>34</v>
      </c>
      <c r="B6" s="1" t="s">
        <v>71</v>
      </c>
      <c r="C6" s="1">
        <v>92341.0</v>
      </c>
      <c r="D6" s="1">
        <v>100801.0</v>
      </c>
      <c r="E6" s="1">
        <v>108166.0</v>
      </c>
      <c r="F6" s="1">
        <v>115711.0</v>
      </c>
      <c r="G6" s="1">
        <v>122842.0</v>
      </c>
      <c r="H6" s="1">
        <v>128835.0</v>
      </c>
      <c r="I6" s="1">
        <v>132243.0</v>
      </c>
      <c r="J6" s="1">
        <v>134195.0</v>
      </c>
      <c r="K6" s="1">
        <v>135266.0</v>
      </c>
      <c r="L6" s="1">
        <v>134397.0</v>
      </c>
      <c r="M6" s="1">
        <v>132719.0</v>
      </c>
      <c r="N6" s="1">
        <v>129530.0</v>
      </c>
      <c r="O6" s="1">
        <v>125696.0</v>
      </c>
      <c r="R6" s="1" t="s">
        <v>34</v>
      </c>
      <c r="S6" s="1" t="s">
        <v>71</v>
      </c>
      <c r="T6" s="1">
        <f>(C6*1000)/'Household Size'!$B$3</f>
        <v>17422830.19</v>
      </c>
      <c r="U6" s="1">
        <f>(D6*1000)/'Household Size'!$C$3</f>
        <v>19384807.69</v>
      </c>
      <c r="V6" s="1">
        <f>(E6*1000)/'Household Size'!$D$3</f>
        <v>21209019.61</v>
      </c>
      <c r="W6" s="1">
        <f>(F6*1000)/'Household Size'!$E$3</f>
        <v>23614489.8</v>
      </c>
      <c r="X6" s="1">
        <f>(G6*1000)/'Household Size'!$F$3</f>
        <v>25592083.33</v>
      </c>
      <c r="Y6" s="1">
        <f>(H6*1000)/'Household Size'!$G$3</f>
        <v>27411702.13</v>
      </c>
      <c r="Z6" s="1">
        <f>(I6*1000)/'Household Size'!$H$3</f>
        <v>28748478.26</v>
      </c>
      <c r="AA6" s="1">
        <f>(J6*1000)/'Household Size'!$I$3</f>
        <v>30498863.64</v>
      </c>
      <c r="AB6" s="1">
        <f>(K6*1000)/'Household Size'!$J$3</f>
        <v>31457209.3</v>
      </c>
      <c r="AC6" s="1">
        <f>(L6*1000)/'Household Size'!$K$3</f>
        <v>31999285.71</v>
      </c>
      <c r="AD6" s="1">
        <f>(M6*1000)/'Household Size'!$L$3</f>
        <v>32370487.8</v>
      </c>
      <c r="AE6" s="1">
        <f>(N6*1000)/'Household Size'!$M$3</f>
        <v>32382500</v>
      </c>
      <c r="AF6" s="1">
        <f>(O6*1000)/'Household Size'!$N$3</f>
        <v>33077894.74</v>
      </c>
    </row>
    <row r="7" ht="14.25" customHeight="1">
      <c r="A7" s="1" t="s">
        <v>35</v>
      </c>
      <c r="B7" s="1" t="s">
        <v>71</v>
      </c>
      <c r="C7" s="1">
        <v>19608.0</v>
      </c>
      <c r="D7" s="1">
        <v>20713.0</v>
      </c>
      <c r="E7" s="1">
        <v>21683.0</v>
      </c>
      <c r="F7" s="1">
        <v>22448.0</v>
      </c>
      <c r="G7" s="1">
        <v>23011.0</v>
      </c>
      <c r="H7" s="1">
        <v>23421.0</v>
      </c>
      <c r="I7" s="1">
        <v>23341.8</v>
      </c>
      <c r="J7" s="1">
        <v>23564.3</v>
      </c>
      <c r="K7" s="1">
        <v>23641.1</v>
      </c>
      <c r="L7" s="1">
        <v>23649.6</v>
      </c>
      <c r="M7" s="1">
        <v>23547.3</v>
      </c>
      <c r="N7" s="1">
        <v>23322.2</v>
      </c>
      <c r="O7" s="1">
        <v>22976.6</v>
      </c>
      <c r="R7" s="1" t="s">
        <v>35</v>
      </c>
      <c r="S7" s="1" t="s">
        <v>71</v>
      </c>
      <c r="T7" s="1">
        <f>(C7*1000)/'Household Size'!$B$3</f>
        <v>3699622.642</v>
      </c>
      <c r="U7" s="1">
        <f>(D7*1000)/'Household Size'!$C$3</f>
        <v>3983269.231</v>
      </c>
      <c r="V7" s="1">
        <f>(E7*1000)/'Household Size'!$D$3</f>
        <v>4251568.627</v>
      </c>
      <c r="W7" s="1">
        <f>(F7*1000)/'Household Size'!$E$3</f>
        <v>4581224.49</v>
      </c>
      <c r="X7" s="1">
        <f>(G7*1000)/'Household Size'!$F$3</f>
        <v>4793958.333</v>
      </c>
      <c r="Y7" s="1">
        <f>(H7*1000)/'Household Size'!$G$3</f>
        <v>4983191.489</v>
      </c>
      <c r="Z7" s="1">
        <f>(I7*1000)/'Household Size'!$H$3</f>
        <v>5074304.348</v>
      </c>
      <c r="AA7" s="1">
        <f>(J7*1000)/'Household Size'!$I$3</f>
        <v>5355522.727</v>
      </c>
      <c r="AB7" s="1">
        <f>(K7*1000)/'Household Size'!$J$3</f>
        <v>5497930.233</v>
      </c>
      <c r="AC7" s="1">
        <f>(L7*1000)/'Household Size'!$K$3</f>
        <v>5630857.143</v>
      </c>
      <c r="AD7" s="1">
        <f>(M7*1000)/'Household Size'!$L$3</f>
        <v>5743243.902</v>
      </c>
      <c r="AE7" s="1">
        <f>(N7*1000)/'Household Size'!$M$3</f>
        <v>5830550</v>
      </c>
      <c r="AF7" s="1">
        <f>(O7*1000)/'Household Size'!$N$3</f>
        <v>6046473.684</v>
      </c>
    </row>
    <row r="8" ht="14.25" customHeight="1">
      <c r="A8" s="1" t="s">
        <v>36</v>
      </c>
      <c r="B8" s="1" t="s">
        <v>71</v>
      </c>
      <c r="C8" s="1">
        <v>29.0</v>
      </c>
      <c r="D8" s="1">
        <v>13.0</v>
      </c>
      <c r="E8" s="1">
        <v>12.08</v>
      </c>
      <c r="F8" s="1">
        <v>12.67</v>
      </c>
      <c r="G8" s="1">
        <v>13.31</v>
      </c>
      <c r="H8" s="1">
        <v>13.96</v>
      </c>
      <c r="I8" s="1">
        <v>14.6</v>
      </c>
      <c r="J8" s="1">
        <v>15.49</v>
      </c>
      <c r="K8" s="1">
        <v>16.26</v>
      </c>
      <c r="L8" s="1">
        <v>16.87</v>
      </c>
      <c r="M8" s="1">
        <v>17.36</v>
      </c>
      <c r="N8" s="1">
        <v>17.77</v>
      </c>
      <c r="O8" s="1">
        <v>18.09</v>
      </c>
      <c r="R8" s="1" t="s">
        <v>36</v>
      </c>
      <c r="S8" s="1" t="s">
        <v>71</v>
      </c>
      <c r="T8" s="1">
        <f>(C8*1000)/'Household Size'!$B$3</f>
        <v>5471.698113</v>
      </c>
      <c r="U8" s="1">
        <f>(D8*1000)/'Household Size'!$C$3</f>
        <v>2500</v>
      </c>
      <c r="V8" s="1">
        <f>(E8*1000)/'Household Size'!$D$3</f>
        <v>2368.627451</v>
      </c>
      <c r="W8" s="1">
        <f>(F8*1000)/'Household Size'!$E$3</f>
        <v>2585.714286</v>
      </c>
      <c r="X8" s="1">
        <f>(G8*1000)/'Household Size'!$F$3</f>
        <v>2772.916667</v>
      </c>
      <c r="Y8" s="1">
        <f>(H8*1000)/'Household Size'!$G$3</f>
        <v>2970.212766</v>
      </c>
      <c r="Z8" s="1">
        <f>(I8*1000)/'Household Size'!$H$3</f>
        <v>3173.913043</v>
      </c>
      <c r="AA8" s="1">
        <f>(J8*1000)/'Household Size'!$I$3</f>
        <v>3520.454545</v>
      </c>
      <c r="AB8" s="1">
        <f>(K8*1000)/'Household Size'!$J$3</f>
        <v>3781.395349</v>
      </c>
      <c r="AC8" s="1">
        <f>(L8*1000)/'Household Size'!$K$3</f>
        <v>4016.666667</v>
      </c>
      <c r="AD8" s="1">
        <f>(M8*1000)/'Household Size'!$L$3</f>
        <v>4234.146341</v>
      </c>
      <c r="AE8" s="1">
        <f>(N8*1000)/'Household Size'!$M$3</f>
        <v>4442.5</v>
      </c>
      <c r="AF8" s="1">
        <f>(O8*1000)/'Household Size'!$N$3</f>
        <v>4760.526316</v>
      </c>
    </row>
    <row r="9" ht="14.25" customHeight="1">
      <c r="A9" s="1" t="s">
        <v>37</v>
      </c>
      <c r="B9" s="1" t="s">
        <v>71</v>
      </c>
      <c r="C9" s="1">
        <v>60.0</v>
      </c>
      <c r="D9" s="1">
        <v>42.0</v>
      </c>
      <c r="E9" s="1">
        <v>28.0</v>
      </c>
      <c r="F9" s="1">
        <v>19.0</v>
      </c>
      <c r="G9" s="1">
        <v>14.1293</v>
      </c>
      <c r="H9" s="1">
        <v>10.2174</v>
      </c>
      <c r="I9" s="1">
        <v>18.03</v>
      </c>
      <c r="J9" s="1">
        <v>21.69</v>
      </c>
      <c r="K9" s="1">
        <v>24.1</v>
      </c>
      <c r="L9" s="1">
        <v>26.52</v>
      </c>
      <c r="M9" s="1">
        <v>27.51</v>
      </c>
      <c r="N9" s="1">
        <v>28.36</v>
      </c>
      <c r="O9" s="1">
        <v>29.06</v>
      </c>
      <c r="R9" s="1" t="s">
        <v>37</v>
      </c>
      <c r="S9" s="1" t="s">
        <v>71</v>
      </c>
      <c r="T9" s="1">
        <f>(C9*1000)/'Household Size'!$B$3</f>
        <v>11320.75472</v>
      </c>
      <c r="U9" s="1">
        <f>(D9*1000)/'Household Size'!$C$3</f>
        <v>8076.923077</v>
      </c>
      <c r="V9" s="1">
        <f>(E9*1000)/'Household Size'!$D$3</f>
        <v>5490.196078</v>
      </c>
      <c r="W9" s="1">
        <f>(F9*1000)/'Household Size'!$E$3</f>
        <v>3877.55102</v>
      </c>
      <c r="X9" s="1">
        <f>(G9*1000)/'Household Size'!$F$3</f>
        <v>2943.604167</v>
      </c>
      <c r="Y9" s="1">
        <f>(H9*1000)/'Household Size'!$G$3</f>
        <v>2173.914894</v>
      </c>
      <c r="Z9" s="1">
        <f>(I9*1000)/'Household Size'!$H$3</f>
        <v>3919.565217</v>
      </c>
      <c r="AA9" s="1">
        <f>(J9*1000)/'Household Size'!$I$3</f>
        <v>4929.545455</v>
      </c>
      <c r="AB9" s="1">
        <f>(K9*1000)/'Household Size'!$J$3</f>
        <v>5604.651163</v>
      </c>
      <c r="AC9" s="1">
        <f>(L9*1000)/'Household Size'!$K$3</f>
        <v>6314.285714</v>
      </c>
      <c r="AD9" s="1">
        <f>(M9*1000)/'Household Size'!$L$3</f>
        <v>6709.756098</v>
      </c>
      <c r="AE9" s="1">
        <f>(N9*1000)/'Household Size'!$M$3</f>
        <v>7090</v>
      </c>
      <c r="AF9" s="1">
        <f>(O9*1000)/'Household Size'!$N$3</f>
        <v>7647.368421</v>
      </c>
    </row>
    <row r="10" ht="14.25" customHeight="1">
      <c r="A10" s="1" t="s">
        <v>38</v>
      </c>
      <c r="B10" s="1" t="s">
        <v>71</v>
      </c>
      <c r="C10" s="1">
        <v>419.0</v>
      </c>
      <c r="D10" s="1">
        <v>260.0</v>
      </c>
      <c r="E10" s="1">
        <v>133.0</v>
      </c>
      <c r="F10" s="1">
        <v>225.4</v>
      </c>
      <c r="G10" s="1">
        <v>245.52</v>
      </c>
      <c r="H10" s="1">
        <v>265.91</v>
      </c>
      <c r="I10" s="1">
        <v>285.24</v>
      </c>
      <c r="J10" s="1">
        <v>302.39</v>
      </c>
      <c r="K10" s="1">
        <v>317.47</v>
      </c>
      <c r="L10" s="1">
        <v>330.38</v>
      </c>
      <c r="M10" s="1">
        <v>341.65</v>
      </c>
      <c r="N10" s="1">
        <v>351.2</v>
      </c>
      <c r="O10" s="1">
        <v>358.91</v>
      </c>
      <c r="R10" s="1" t="s">
        <v>38</v>
      </c>
      <c r="S10" s="1" t="s">
        <v>71</v>
      </c>
      <c r="T10" s="1">
        <f>(C10*1000)/'Household Size'!$B$3</f>
        <v>79056.60377</v>
      </c>
      <c r="U10" s="1">
        <f>(D10*1000)/'Household Size'!$C$3</f>
        <v>50000</v>
      </c>
      <c r="V10" s="1">
        <f>(E10*1000)/'Household Size'!$D$3</f>
        <v>26078.43137</v>
      </c>
      <c r="W10" s="1">
        <f>(F10*1000)/'Household Size'!$E$3</f>
        <v>46000</v>
      </c>
      <c r="X10" s="1">
        <f>(G10*1000)/'Household Size'!$F$3</f>
        <v>51150</v>
      </c>
      <c r="Y10" s="1">
        <f>(H10*1000)/'Household Size'!$G$3</f>
        <v>56576.59574</v>
      </c>
      <c r="Z10" s="1">
        <f>(I10*1000)/'Household Size'!$H$3</f>
        <v>62008.69565</v>
      </c>
      <c r="AA10" s="1">
        <f>(J10*1000)/'Household Size'!$I$3</f>
        <v>68725</v>
      </c>
      <c r="AB10" s="1">
        <f>(K10*1000)/'Household Size'!$J$3</f>
        <v>73830.23256</v>
      </c>
      <c r="AC10" s="1">
        <f>(L10*1000)/'Household Size'!$K$3</f>
        <v>78661.90476</v>
      </c>
      <c r="AD10" s="1">
        <f>(M10*1000)/'Household Size'!$L$3</f>
        <v>83329.26829</v>
      </c>
      <c r="AE10" s="1">
        <f>(N10*1000)/'Household Size'!$M$3</f>
        <v>87800</v>
      </c>
      <c r="AF10" s="1">
        <f>(O10*1000)/'Household Size'!$N$3</f>
        <v>94450</v>
      </c>
    </row>
    <row r="11" ht="14.25" customHeight="1">
      <c r="A11" s="1" t="s">
        <v>39</v>
      </c>
      <c r="B11" s="1" t="s">
        <v>71</v>
      </c>
      <c r="C11" s="1">
        <v>183.0</v>
      </c>
      <c r="D11" s="1">
        <v>188.0</v>
      </c>
      <c r="E11" s="1">
        <v>200.0</v>
      </c>
      <c r="F11" s="1">
        <v>223.0</v>
      </c>
      <c r="G11" s="1">
        <v>262.0</v>
      </c>
      <c r="H11" s="1">
        <v>293.84</v>
      </c>
      <c r="I11" s="1">
        <v>282.24</v>
      </c>
      <c r="J11" s="1">
        <v>273.14</v>
      </c>
      <c r="K11" s="1">
        <v>256.44</v>
      </c>
      <c r="L11" s="1">
        <v>223.1</v>
      </c>
      <c r="M11" s="1">
        <v>207.45</v>
      </c>
      <c r="N11" s="1">
        <v>213.3</v>
      </c>
      <c r="O11" s="1">
        <v>218.07</v>
      </c>
      <c r="R11" s="1" t="s">
        <v>39</v>
      </c>
      <c r="S11" s="1" t="s">
        <v>71</v>
      </c>
      <c r="T11" s="1">
        <f>(C11*1000)/'Household Size'!$B$3</f>
        <v>34528.30189</v>
      </c>
      <c r="U11" s="1">
        <f>(D11*1000)/'Household Size'!$C$3</f>
        <v>36153.84615</v>
      </c>
      <c r="V11" s="1">
        <f>(E11*1000)/'Household Size'!$D$3</f>
        <v>39215.68627</v>
      </c>
      <c r="W11" s="1">
        <f>(F11*1000)/'Household Size'!$E$3</f>
        <v>45510.20408</v>
      </c>
      <c r="X11" s="1">
        <f>(G11*1000)/'Household Size'!$F$3</f>
        <v>54583.33333</v>
      </c>
      <c r="Y11" s="1">
        <f>(H11*1000)/'Household Size'!$G$3</f>
        <v>62519.14894</v>
      </c>
      <c r="Z11" s="1">
        <f>(I11*1000)/'Household Size'!$H$3</f>
        <v>61356.52174</v>
      </c>
      <c r="AA11" s="1">
        <f>(J11*1000)/'Household Size'!$I$3</f>
        <v>62077.27273</v>
      </c>
      <c r="AB11" s="1">
        <f>(K11*1000)/'Household Size'!$J$3</f>
        <v>59637.2093</v>
      </c>
      <c r="AC11" s="1">
        <f>(L11*1000)/'Household Size'!$K$3</f>
        <v>53119.04762</v>
      </c>
      <c r="AD11" s="1">
        <f>(M11*1000)/'Household Size'!$L$3</f>
        <v>50597.56098</v>
      </c>
      <c r="AE11" s="1">
        <f>(N11*1000)/'Household Size'!$M$3</f>
        <v>53325</v>
      </c>
      <c r="AF11" s="1">
        <f>(O11*1000)/'Household Size'!$N$3</f>
        <v>57386.84211</v>
      </c>
    </row>
    <row r="12" ht="14.25" customHeight="1">
      <c r="A12" s="1" t="s">
        <v>40</v>
      </c>
      <c r="B12" s="1" t="s">
        <v>71</v>
      </c>
      <c r="C12" s="1">
        <v>552.0</v>
      </c>
      <c r="D12" s="1">
        <v>483.0</v>
      </c>
      <c r="E12" s="1">
        <v>411.0</v>
      </c>
      <c r="F12" s="1">
        <v>337.0</v>
      </c>
      <c r="G12" s="1">
        <v>264.0</v>
      </c>
      <c r="H12" s="1">
        <v>198.004</v>
      </c>
      <c r="I12" s="1">
        <v>181.335</v>
      </c>
      <c r="J12" s="1">
        <v>177.8</v>
      </c>
      <c r="K12" s="1">
        <v>163.71</v>
      </c>
      <c r="L12" s="1">
        <v>147.76</v>
      </c>
      <c r="M12" s="1">
        <v>149.28</v>
      </c>
      <c r="N12" s="1">
        <v>150.08</v>
      </c>
      <c r="O12" s="1">
        <v>150.0</v>
      </c>
      <c r="R12" s="1" t="s">
        <v>40</v>
      </c>
      <c r="S12" s="1" t="s">
        <v>71</v>
      </c>
      <c r="T12" s="1">
        <f>(C12*1000)/'Household Size'!$B$3</f>
        <v>104150.9434</v>
      </c>
      <c r="U12" s="1">
        <f>(D12*1000)/'Household Size'!$C$3</f>
        <v>92884.61538</v>
      </c>
      <c r="V12" s="1">
        <f>(E12*1000)/'Household Size'!$D$3</f>
        <v>80588.23529</v>
      </c>
      <c r="W12" s="1">
        <f>(F12*1000)/'Household Size'!$E$3</f>
        <v>68775.5102</v>
      </c>
      <c r="X12" s="1">
        <f>(G12*1000)/'Household Size'!$F$3</f>
        <v>55000</v>
      </c>
      <c r="Y12" s="1">
        <f>(H12*1000)/'Household Size'!$G$3</f>
        <v>42128.51064</v>
      </c>
      <c r="Z12" s="1">
        <f>(I12*1000)/'Household Size'!$H$3</f>
        <v>39420.65217</v>
      </c>
      <c r="AA12" s="1">
        <f>(J12*1000)/'Household Size'!$I$3</f>
        <v>40409.09091</v>
      </c>
      <c r="AB12" s="1">
        <f>(K12*1000)/'Household Size'!$J$3</f>
        <v>38072.09302</v>
      </c>
      <c r="AC12" s="1">
        <f>(L12*1000)/'Household Size'!$K$3</f>
        <v>35180.95238</v>
      </c>
      <c r="AD12" s="1">
        <f>(M12*1000)/'Household Size'!$L$3</f>
        <v>36409.7561</v>
      </c>
      <c r="AE12" s="1">
        <f>(N12*1000)/'Household Size'!$M$3</f>
        <v>37520</v>
      </c>
      <c r="AF12" s="1">
        <f>(O12*1000)/'Household Size'!$N$3</f>
        <v>39473.68421</v>
      </c>
    </row>
    <row r="13" ht="14.25" customHeight="1">
      <c r="A13" s="1" t="s">
        <v>41</v>
      </c>
      <c r="B13" s="1" t="s">
        <v>71</v>
      </c>
      <c r="C13" s="1">
        <v>34695.0</v>
      </c>
      <c r="D13" s="1">
        <v>35701.0</v>
      </c>
      <c r="E13" s="1">
        <v>36473.0</v>
      </c>
      <c r="F13" s="1">
        <v>36894.0</v>
      </c>
      <c r="G13" s="1">
        <v>36929.0</v>
      </c>
      <c r="H13" s="1">
        <v>36599.0</v>
      </c>
      <c r="I13" s="1">
        <v>35158.1</v>
      </c>
      <c r="J13" s="1">
        <v>34596.6</v>
      </c>
      <c r="K13" s="1">
        <v>33765.4</v>
      </c>
      <c r="L13" s="1">
        <v>32693.0</v>
      </c>
      <c r="M13" s="1">
        <v>31408.0</v>
      </c>
      <c r="N13" s="1">
        <v>29931.8</v>
      </c>
      <c r="O13" s="1">
        <v>28287.5</v>
      </c>
      <c r="R13" s="1" t="s">
        <v>41</v>
      </c>
      <c r="S13" s="1" t="s">
        <v>71</v>
      </c>
      <c r="T13" s="1">
        <f>(C13*1000)/'Household Size'!$B$3</f>
        <v>6546226.415</v>
      </c>
      <c r="U13" s="1">
        <f>(D13*1000)/'Household Size'!$C$3</f>
        <v>6865576.923</v>
      </c>
      <c r="V13" s="1">
        <f>(E13*1000)/'Household Size'!$D$3</f>
        <v>7151568.627</v>
      </c>
      <c r="W13" s="1">
        <f>(F13*1000)/'Household Size'!$E$3</f>
        <v>7529387.755</v>
      </c>
      <c r="X13" s="1">
        <f>(G13*1000)/'Household Size'!$F$3</f>
        <v>7693541.667</v>
      </c>
      <c r="Y13" s="1">
        <f>(H13*1000)/'Household Size'!$G$3</f>
        <v>7787021.277</v>
      </c>
      <c r="Z13" s="1">
        <f>(I13*1000)/'Household Size'!$H$3</f>
        <v>7643065.217</v>
      </c>
      <c r="AA13" s="1">
        <f>(J13*1000)/'Household Size'!$I$3</f>
        <v>7862863.636</v>
      </c>
      <c r="AB13" s="1">
        <f>(K13*1000)/'Household Size'!$J$3</f>
        <v>7852418.605</v>
      </c>
      <c r="AC13" s="1">
        <f>(L13*1000)/'Household Size'!$K$3</f>
        <v>7784047.619</v>
      </c>
      <c r="AD13" s="1">
        <f>(M13*1000)/'Household Size'!$L$3</f>
        <v>7660487.805</v>
      </c>
      <c r="AE13" s="1">
        <f>(N13*1000)/'Household Size'!$M$3</f>
        <v>7482950</v>
      </c>
      <c r="AF13" s="1">
        <f>(O13*1000)/'Household Size'!$N$3</f>
        <v>7444078.947</v>
      </c>
    </row>
    <row r="14" ht="14.25" customHeight="1">
      <c r="A14" s="1" t="s">
        <v>42</v>
      </c>
      <c r="B14" s="1" t="s">
        <v>71</v>
      </c>
      <c r="C14" s="1">
        <v>6176.0</v>
      </c>
      <c r="D14" s="1">
        <v>6432.0</v>
      </c>
      <c r="E14" s="1">
        <v>6635.0</v>
      </c>
      <c r="F14" s="1">
        <v>6792.0</v>
      </c>
      <c r="G14" s="1">
        <v>6902.0</v>
      </c>
      <c r="H14" s="1">
        <v>6996.43</v>
      </c>
      <c r="I14" s="1">
        <v>7072.47</v>
      </c>
      <c r="J14" s="1">
        <v>7137.98</v>
      </c>
      <c r="K14" s="1">
        <v>7162.14</v>
      </c>
      <c r="L14" s="1">
        <v>7163.02</v>
      </c>
      <c r="M14" s="1">
        <v>7131.24</v>
      </c>
      <c r="N14" s="1">
        <v>7063.67</v>
      </c>
      <c r="O14" s="1">
        <v>6959.87</v>
      </c>
      <c r="R14" s="1" t="s">
        <v>42</v>
      </c>
      <c r="S14" s="1" t="s">
        <v>71</v>
      </c>
      <c r="T14" s="1">
        <f>(C14*1000)/'Household Size'!$B$3</f>
        <v>1165283.019</v>
      </c>
      <c r="U14" s="1">
        <f>(D14*1000)/'Household Size'!$C$3</f>
        <v>1236923.077</v>
      </c>
      <c r="V14" s="1">
        <f>(E14*1000)/'Household Size'!$D$3</f>
        <v>1300980.392</v>
      </c>
      <c r="W14" s="1">
        <f>(F14*1000)/'Household Size'!$E$3</f>
        <v>1386122.449</v>
      </c>
      <c r="X14" s="1">
        <f>(G14*1000)/'Household Size'!$F$3</f>
        <v>1437916.667</v>
      </c>
      <c r="Y14" s="1">
        <f>(H14*1000)/'Household Size'!$G$3</f>
        <v>1488602.128</v>
      </c>
      <c r="Z14" s="1">
        <f>(I14*1000)/'Household Size'!$H$3</f>
        <v>1537493.478</v>
      </c>
      <c r="AA14" s="1">
        <f>(J14*1000)/'Household Size'!$I$3</f>
        <v>1622268.182</v>
      </c>
      <c r="AB14" s="1">
        <f>(K14*1000)/'Household Size'!$J$3</f>
        <v>1665613.953</v>
      </c>
      <c r="AC14" s="1">
        <f>(L14*1000)/'Household Size'!$K$3</f>
        <v>1705480.952</v>
      </c>
      <c r="AD14" s="1">
        <f>(M14*1000)/'Household Size'!$L$3</f>
        <v>1739326.829</v>
      </c>
      <c r="AE14" s="1">
        <f>(N14*1000)/'Household Size'!$M$3</f>
        <v>1765917.5</v>
      </c>
      <c r="AF14" s="1">
        <f>(O14*1000)/'Household Size'!$N$3</f>
        <v>1831544.737</v>
      </c>
    </row>
    <row r="15" ht="14.25" customHeight="1">
      <c r="A15" s="1" t="s">
        <v>43</v>
      </c>
      <c r="B15" s="1" t="s">
        <v>71</v>
      </c>
      <c r="C15" s="1">
        <v>16509.0</v>
      </c>
      <c r="D15" s="1">
        <v>17040.0</v>
      </c>
      <c r="E15" s="1">
        <v>17419.0</v>
      </c>
      <c r="F15" s="1">
        <v>17576.0</v>
      </c>
      <c r="G15" s="1">
        <v>17549.0</v>
      </c>
      <c r="H15" s="1">
        <v>17375.0</v>
      </c>
      <c r="I15" s="1">
        <v>16869.5</v>
      </c>
      <c r="J15" s="1">
        <v>16903.3</v>
      </c>
      <c r="K15" s="1">
        <v>16774.9</v>
      </c>
      <c r="L15" s="1">
        <v>16498.7</v>
      </c>
      <c r="M15" s="1">
        <v>16095.0</v>
      </c>
      <c r="N15" s="1">
        <v>15570.3</v>
      </c>
      <c r="O15" s="1">
        <v>14931.5</v>
      </c>
      <c r="R15" s="1" t="s">
        <v>43</v>
      </c>
      <c r="S15" s="1" t="s">
        <v>71</v>
      </c>
      <c r="T15" s="1">
        <f>(C15*1000)/'Household Size'!$B$3</f>
        <v>3114905.66</v>
      </c>
      <c r="U15" s="1">
        <f>(D15*1000)/'Household Size'!$C$3</f>
        <v>3276923.077</v>
      </c>
      <c r="V15" s="1">
        <f>(E15*1000)/'Household Size'!$D$3</f>
        <v>3415490.196</v>
      </c>
      <c r="W15" s="1">
        <f>(F15*1000)/'Household Size'!$E$3</f>
        <v>3586938.776</v>
      </c>
      <c r="X15" s="1">
        <f>(G15*1000)/'Household Size'!$F$3</f>
        <v>3656041.667</v>
      </c>
      <c r="Y15" s="1">
        <f>(H15*1000)/'Household Size'!$G$3</f>
        <v>3696808.511</v>
      </c>
      <c r="Z15" s="1">
        <f>(I15*1000)/'Household Size'!$H$3</f>
        <v>3667282.609</v>
      </c>
      <c r="AA15" s="1">
        <f>(J15*1000)/'Household Size'!$I$3</f>
        <v>3841659.091</v>
      </c>
      <c r="AB15" s="1">
        <f>(K15*1000)/'Household Size'!$J$3</f>
        <v>3901139.535</v>
      </c>
      <c r="AC15" s="1">
        <f>(L15*1000)/'Household Size'!$K$3</f>
        <v>3928261.905</v>
      </c>
      <c r="AD15" s="1">
        <f>(M15*1000)/'Household Size'!$L$3</f>
        <v>3925609.756</v>
      </c>
      <c r="AE15" s="1">
        <f>(N15*1000)/'Household Size'!$M$3</f>
        <v>3892575</v>
      </c>
      <c r="AF15" s="1">
        <f>(O15*1000)/'Household Size'!$N$3</f>
        <v>3929342.105</v>
      </c>
    </row>
    <row r="16" ht="14.25" customHeight="1">
      <c r="A16" s="1" t="s">
        <v>44</v>
      </c>
      <c r="B16" s="1" t="s">
        <v>71</v>
      </c>
      <c r="C16" s="1">
        <v>25055.0</v>
      </c>
      <c r="D16" s="1">
        <v>26867.0</v>
      </c>
      <c r="E16" s="1">
        <v>28533.0</v>
      </c>
      <c r="F16" s="1">
        <v>30026.0</v>
      </c>
      <c r="G16" s="1">
        <v>31310.0</v>
      </c>
      <c r="H16" s="1">
        <v>32339.0</v>
      </c>
      <c r="I16" s="1">
        <v>32899.4</v>
      </c>
      <c r="J16" s="1">
        <v>33207.2</v>
      </c>
      <c r="K16" s="1">
        <v>33302.0</v>
      </c>
      <c r="L16" s="1">
        <v>33139.7</v>
      </c>
      <c r="M16" s="1">
        <v>32786.4</v>
      </c>
      <c r="N16" s="1">
        <v>32264.5</v>
      </c>
      <c r="O16" s="1">
        <v>31586.2</v>
      </c>
      <c r="R16" s="1" t="s">
        <v>44</v>
      </c>
      <c r="S16" s="1" t="s">
        <v>71</v>
      </c>
      <c r="T16" s="1">
        <f>(C16*1000)/'Household Size'!$B$3</f>
        <v>4727358.491</v>
      </c>
      <c r="U16" s="1">
        <f>(D16*1000)/'Household Size'!$C$3</f>
        <v>5166730.769</v>
      </c>
      <c r="V16" s="1">
        <f>(E16*1000)/'Household Size'!$D$3</f>
        <v>5594705.882</v>
      </c>
      <c r="W16" s="1">
        <f>(F16*1000)/'Household Size'!$E$3</f>
        <v>6127755.102</v>
      </c>
      <c r="X16" s="1">
        <f>(G16*1000)/'Household Size'!$F$3</f>
        <v>6522916.667</v>
      </c>
      <c r="Y16" s="1">
        <f>(H16*1000)/'Household Size'!$G$3</f>
        <v>6880638.298</v>
      </c>
      <c r="Z16" s="1">
        <f>(I16*1000)/'Household Size'!$H$3</f>
        <v>7152043.478</v>
      </c>
      <c r="AA16" s="1">
        <f>(J16*1000)/'Household Size'!$I$3</f>
        <v>7547090.909</v>
      </c>
      <c r="AB16" s="1">
        <f>(K16*1000)/'Household Size'!$J$3</f>
        <v>7744651.163</v>
      </c>
      <c r="AC16" s="1">
        <f>(L16*1000)/'Household Size'!$K$3</f>
        <v>7890404.762</v>
      </c>
      <c r="AD16" s="1">
        <f>(M16*1000)/'Household Size'!$L$3</f>
        <v>7996682.927</v>
      </c>
      <c r="AE16" s="1">
        <f>(N16*1000)/'Household Size'!$M$3</f>
        <v>8066125</v>
      </c>
      <c r="AF16" s="1">
        <f>(O16*1000)/'Household Size'!$N$3</f>
        <v>8312157.895</v>
      </c>
    </row>
    <row r="17" ht="14.25" customHeight="1">
      <c r="A17" s="1" t="s">
        <v>45</v>
      </c>
      <c r="B17" s="1" t="s">
        <v>71</v>
      </c>
      <c r="C17" s="1">
        <v>8896.0</v>
      </c>
      <c r="D17" s="1">
        <v>9189.0</v>
      </c>
      <c r="E17" s="1">
        <v>9382.0</v>
      </c>
      <c r="F17" s="1">
        <v>9545.0</v>
      </c>
      <c r="G17" s="1">
        <v>9677.0</v>
      </c>
      <c r="H17" s="1">
        <v>9742.0</v>
      </c>
      <c r="I17" s="1">
        <v>9874.34</v>
      </c>
      <c r="J17" s="1">
        <v>10080.9</v>
      </c>
      <c r="K17" s="1">
        <v>10221.4</v>
      </c>
      <c r="L17" s="1">
        <v>10304.1</v>
      </c>
      <c r="M17" s="1">
        <v>10331.4</v>
      </c>
      <c r="N17" s="1">
        <v>10303.8</v>
      </c>
      <c r="O17" s="1">
        <v>10222.4</v>
      </c>
      <c r="R17" s="1" t="s">
        <v>45</v>
      </c>
      <c r="S17" s="1" t="s">
        <v>71</v>
      </c>
      <c r="T17" s="1">
        <f>(C17*1000)/'Household Size'!$B$3</f>
        <v>1678490.566</v>
      </c>
      <c r="U17" s="1">
        <f>(D17*1000)/'Household Size'!$C$3</f>
        <v>1767115.385</v>
      </c>
      <c r="V17" s="1">
        <f>(E17*1000)/'Household Size'!$D$3</f>
        <v>1839607.843</v>
      </c>
      <c r="W17" s="1">
        <f>(F17*1000)/'Household Size'!$E$3</f>
        <v>1947959.184</v>
      </c>
      <c r="X17" s="1">
        <f>(G17*1000)/'Household Size'!$F$3</f>
        <v>2016041.667</v>
      </c>
      <c r="Y17" s="1">
        <f>(H17*1000)/'Household Size'!$G$3</f>
        <v>2072765.957</v>
      </c>
      <c r="Z17" s="1">
        <f>(I17*1000)/'Household Size'!$H$3</f>
        <v>2146595.652</v>
      </c>
      <c r="AA17" s="1">
        <f>(J17*1000)/'Household Size'!$I$3</f>
        <v>2291113.636</v>
      </c>
      <c r="AB17" s="1">
        <f>(K17*1000)/'Household Size'!$J$3</f>
        <v>2377069.767</v>
      </c>
      <c r="AC17" s="1">
        <f>(L17*1000)/'Household Size'!$K$3</f>
        <v>2453357.143</v>
      </c>
      <c r="AD17" s="1">
        <f>(M17*1000)/'Household Size'!$L$3</f>
        <v>2519853.659</v>
      </c>
      <c r="AE17" s="1">
        <f>(N17*1000)/'Household Size'!$M$3</f>
        <v>2575950</v>
      </c>
      <c r="AF17" s="1">
        <f>(O17*1000)/'Household Size'!$N$3</f>
        <v>2690105.263</v>
      </c>
    </row>
    <row r="18" ht="14.25" customHeight="1">
      <c r="A18" s="1" t="s">
        <v>46</v>
      </c>
      <c r="B18" s="1" t="s">
        <v>71</v>
      </c>
      <c r="C18" s="1">
        <v>37469.0</v>
      </c>
      <c r="D18" s="1">
        <v>37856.0</v>
      </c>
      <c r="E18" s="1">
        <v>37801.0</v>
      </c>
      <c r="F18" s="1">
        <v>37342.0</v>
      </c>
      <c r="G18" s="1">
        <v>36541.0</v>
      </c>
      <c r="H18" s="1">
        <v>35437.0</v>
      </c>
      <c r="I18" s="1">
        <v>33912.0</v>
      </c>
      <c r="J18" s="1">
        <v>33242.8</v>
      </c>
      <c r="K18" s="1">
        <v>32356.7</v>
      </c>
      <c r="L18" s="1">
        <v>31359.2</v>
      </c>
      <c r="M18" s="1">
        <v>30199.5</v>
      </c>
      <c r="N18" s="1">
        <v>28874.8</v>
      </c>
      <c r="O18" s="1">
        <v>27406.7</v>
      </c>
      <c r="R18" s="1" t="s">
        <v>46</v>
      </c>
      <c r="S18" s="1" t="s">
        <v>71</v>
      </c>
      <c r="T18" s="1">
        <f>(C18*1000)/'Household Size'!$B$3</f>
        <v>7069622.642</v>
      </c>
      <c r="U18" s="1">
        <f>(D18*1000)/'Household Size'!$C$3</f>
        <v>7280000</v>
      </c>
      <c r="V18" s="1">
        <f>(E18*1000)/'Household Size'!$D$3</f>
        <v>7411960.784</v>
      </c>
      <c r="W18" s="1">
        <f>(F18*1000)/'Household Size'!$E$3</f>
        <v>7620816.327</v>
      </c>
      <c r="X18" s="1">
        <f>(G18*1000)/'Household Size'!$F$3</f>
        <v>7612708.333</v>
      </c>
      <c r="Y18" s="1">
        <f>(H18*1000)/'Household Size'!$G$3</f>
        <v>7539787.234</v>
      </c>
      <c r="Z18" s="1">
        <f>(I18*1000)/'Household Size'!$H$3</f>
        <v>7372173.913</v>
      </c>
      <c r="AA18" s="1">
        <f>(J18*1000)/'Household Size'!$I$3</f>
        <v>7555181.818</v>
      </c>
      <c r="AB18" s="1">
        <f>(K18*1000)/'Household Size'!$J$3</f>
        <v>7524813.953</v>
      </c>
      <c r="AC18" s="1">
        <f>(L18*1000)/'Household Size'!$K$3</f>
        <v>7466476.19</v>
      </c>
      <c r="AD18" s="1">
        <f>(M18*1000)/'Household Size'!$L$3</f>
        <v>7365731.707</v>
      </c>
      <c r="AE18" s="1">
        <f>(N18*1000)/'Household Size'!$M$3</f>
        <v>7218700</v>
      </c>
      <c r="AF18" s="1">
        <f>(O18*1000)/'Household Size'!$N$3</f>
        <v>7212289.474</v>
      </c>
    </row>
    <row r="19" ht="14.25" customHeight="1">
      <c r="A19" s="1" t="s">
        <v>47</v>
      </c>
      <c r="B19" s="1" t="s">
        <v>71</v>
      </c>
      <c r="C19" s="1">
        <v>17471.0</v>
      </c>
      <c r="D19" s="1">
        <v>13976.0</v>
      </c>
      <c r="E19" s="1">
        <v>10289.0</v>
      </c>
      <c r="F19" s="1">
        <v>6742.0</v>
      </c>
      <c r="G19" s="1">
        <v>3644.0</v>
      </c>
      <c r="H19" s="1">
        <v>1319.0</v>
      </c>
      <c r="I19" s="1">
        <v>1101.39</v>
      </c>
      <c r="J19" s="1">
        <v>1087.2</v>
      </c>
      <c r="K19" s="1">
        <v>1067.67</v>
      </c>
      <c r="L19" s="1">
        <v>1050.09</v>
      </c>
      <c r="M19" s="1">
        <v>1028.55</v>
      </c>
      <c r="N19" s="1">
        <v>1001.76</v>
      </c>
      <c r="O19" s="1">
        <v>970.08</v>
      </c>
      <c r="R19" s="1" t="s">
        <v>47</v>
      </c>
      <c r="S19" s="1" t="s">
        <v>71</v>
      </c>
      <c r="T19" s="1">
        <f>(C19*1000)/'Household Size'!$B$3</f>
        <v>3296415.094</v>
      </c>
      <c r="U19" s="1">
        <f>(D19*1000)/'Household Size'!$C$3</f>
        <v>2687692.308</v>
      </c>
      <c r="V19" s="1">
        <f>(E19*1000)/'Household Size'!$D$3</f>
        <v>2017450.98</v>
      </c>
      <c r="W19" s="1">
        <f>(F19*1000)/'Household Size'!$E$3</f>
        <v>1375918.367</v>
      </c>
      <c r="X19" s="1">
        <f>(G19*1000)/'Household Size'!$F$3</f>
        <v>759166.6667</v>
      </c>
      <c r="Y19" s="1">
        <f>(H19*1000)/'Household Size'!$G$3</f>
        <v>280638.2979</v>
      </c>
      <c r="Z19" s="1">
        <f>(I19*1000)/'Household Size'!$H$3</f>
        <v>239432.6087</v>
      </c>
      <c r="AA19" s="1">
        <f>(J19*1000)/'Household Size'!$I$3</f>
        <v>247090.9091</v>
      </c>
      <c r="AB19" s="1">
        <f>(K19*1000)/'Household Size'!$J$3</f>
        <v>248295.3488</v>
      </c>
      <c r="AC19" s="1">
        <f>(L19*1000)/'Household Size'!$K$3</f>
        <v>250021.4286</v>
      </c>
      <c r="AD19" s="1">
        <f>(M19*1000)/'Household Size'!$L$3</f>
        <v>250865.8537</v>
      </c>
      <c r="AE19" s="1">
        <f>(N19*1000)/'Household Size'!$M$3</f>
        <v>250440</v>
      </c>
      <c r="AF19" s="1">
        <f>(O19*1000)/'Household Size'!$N$3</f>
        <v>255284.2105</v>
      </c>
    </row>
    <row r="20" ht="14.25" customHeight="1">
      <c r="A20" s="1" t="s">
        <v>48</v>
      </c>
      <c r="B20" s="1" t="s">
        <v>71</v>
      </c>
      <c r="C20" s="1">
        <v>212.0</v>
      </c>
      <c r="D20" s="1">
        <v>212.0</v>
      </c>
      <c r="E20" s="1">
        <v>209.0</v>
      </c>
      <c r="F20" s="1">
        <v>204.0</v>
      </c>
      <c r="G20" s="1">
        <v>197.0</v>
      </c>
      <c r="H20" s="1">
        <v>189.367</v>
      </c>
      <c r="I20" s="1">
        <v>177.12</v>
      </c>
      <c r="J20" s="1">
        <v>168.5</v>
      </c>
      <c r="K20" s="1">
        <v>161.68</v>
      </c>
      <c r="L20" s="1">
        <v>154.0</v>
      </c>
      <c r="M20" s="1">
        <v>148.26</v>
      </c>
      <c r="N20" s="1">
        <v>142.0</v>
      </c>
      <c r="O20" s="1">
        <v>138.45</v>
      </c>
      <c r="R20" s="1" t="s">
        <v>48</v>
      </c>
      <c r="S20" s="1" t="s">
        <v>71</v>
      </c>
      <c r="T20" s="1">
        <f>(C20*1000)/'Household Size'!$B$3</f>
        <v>40000</v>
      </c>
      <c r="U20" s="1">
        <f>(D20*1000)/'Household Size'!$C$3</f>
        <v>40769.23077</v>
      </c>
      <c r="V20" s="1">
        <f>(E20*1000)/'Household Size'!$D$3</f>
        <v>40980.39216</v>
      </c>
      <c r="W20" s="1">
        <f>(F20*1000)/'Household Size'!$E$3</f>
        <v>41632.65306</v>
      </c>
      <c r="X20" s="1">
        <f>(G20*1000)/'Household Size'!$F$3</f>
        <v>41041.66667</v>
      </c>
      <c r="Y20" s="1">
        <f>(H20*1000)/'Household Size'!$G$3</f>
        <v>40290.85106</v>
      </c>
      <c r="Z20" s="1">
        <f>(I20*1000)/'Household Size'!$H$3</f>
        <v>38504.34783</v>
      </c>
      <c r="AA20" s="1">
        <f>(J20*1000)/'Household Size'!$I$3</f>
        <v>38295.45455</v>
      </c>
      <c r="AB20" s="1">
        <f>(K20*1000)/'Household Size'!$J$3</f>
        <v>37600</v>
      </c>
      <c r="AC20" s="1">
        <f>(L20*1000)/'Household Size'!$K$3</f>
        <v>36666.66667</v>
      </c>
      <c r="AD20" s="1">
        <f>(M20*1000)/'Household Size'!$L$3</f>
        <v>36160.97561</v>
      </c>
      <c r="AE20" s="1">
        <f>(N20*1000)/'Household Size'!$M$3</f>
        <v>35500</v>
      </c>
      <c r="AF20" s="1">
        <f>(O20*1000)/'Household Size'!$N$3</f>
        <v>36434.21053</v>
      </c>
    </row>
    <row r="21" ht="14.25" customHeight="1">
      <c r="A21" s="1" t="s">
        <v>49</v>
      </c>
      <c r="B21" s="1" t="s">
        <v>71</v>
      </c>
      <c r="C21" s="1">
        <v>14.0</v>
      </c>
      <c r="D21" s="1">
        <v>7.0</v>
      </c>
      <c r="E21" s="1">
        <v>2.0</v>
      </c>
      <c r="F21" s="1">
        <v>0.7</v>
      </c>
      <c r="G21" s="1">
        <v>0.71</v>
      </c>
      <c r="H21" s="1">
        <v>0.73</v>
      </c>
      <c r="I21" s="1">
        <v>0.75</v>
      </c>
      <c r="J21" s="1">
        <v>0.78</v>
      </c>
      <c r="K21" s="1">
        <v>0.8</v>
      </c>
      <c r="L21" s="1">
        <v>0.82</v>
      </c>
      <c r="M21" s="1">
        <v>0.83</v>
      </c>
      <c r="N21" s="1">
        <v>0.84</v>
      </c>
      <c r="O21" s="1">
        <v>0.0</v>
      </c>
      <c r="R21" s="1" t="s">
        <v>49</v>
      </c>
      <c r="S21" s="1" t="s">
        <v>71</v>
      </c>
      <c r="T21" s="1">
        <f>(C21*1000)/'Household Size'!$B$3</f>
        <v>2641.509434</v>
      </c>
      <c r="U21" s="1">
        <f>(D21*1000)/'Household Size'!$C$3</f>
        <v>1346.153846</v>
      </c>
      <c r="V21" s="1">
        <f>(E21*1000)/'Household Size'!$D$3</f>
        <v>392.1568627</v>
      </c>
      <c r="W21" s="1">
        <f>(F21*1000)/'Household Size'!$E$3</f>
        <v>142.8571429</v>
      </c>
      <c r="X21" s="1">
        <f>(G21*1000)/'Household Size'!$F$3</f>
        <v>147.9166667</v>
      </c>
      <c r="Y21" s="1">
        <f>(H21*1000)/'Household Size'!$G$3</f>
        <v>155.3191489</v>
      </c>
      <c r="Z21" s="1">
        <f>(I21*1000)/'Household Size'!$H$3</f>
        <v>163.0434783</v>
      </c>
      <c r="AA21" s="1">
        <f>(J21*1000)/'Household Size'!$I$3</f>
        <v>177.2727273</v>
      </c>
      <c r="AB21" s="1">
        <f>(K21*1000)/'Household Size'!$J$3</f>
        <v>186.0465116</v>
      </c>
      <c r="AC21" s="1">
        <f>(L21*1000)/'Household Size'!$K$3</f>
        <v>195.2380952</v>
      </c>
      <c r="AD21" s="1">
        <f>(M21*1000)/'Household Size'!$L$3</f>
        <v>202.4390244</v>
      </c>
      <c r="AE21" s="1">
        <f>(N21*1000)/'Household Size'!$M$3</f>
        <v>210</v>
      </c>
      <c r="AF21" s="1">
        <f>(O21*1000)/'Household Size'!$N$3</f>
        <v>0</v>
      </c>
    </row>
    <row r="22" ht="14.25" customHeight="1">
      <c r="A22" s="1" t="s">
        <v>50</v>
      </c>
      <c r="B22" s="1" t="s">
        <v>71</v>
      </c>
      <c r="C22" s="1">
        <v>61556.0</v>
      </c>
      <c r="D22" s="1">
        <v>63385.0</v>
      </c>
      <c r="E22" s="1">
        <v>64727.0</v>
      </c>
      <c r="F22" s="1">
        <v>65499.0</v>
      </c>
      <c r="G22" s="1">
        <v>65780.0</v>
      </c>
      <c r="H22" s="1">
        <v>65539.0</v>
      </c>
      <c r="I22" s="1">
        <v>65644.3</v>
      </c>
      <c r="J22" s="1">
        <v>65184.0</v>
      </c>
      <c r="K22" s="1">
        <v>64258.4</v>
      </c>
      <c r="L22" s="1">
        <v>62942.2</v>
      </c>
      <c r="M22" s="1">
        <v>61275.2</v>
      </c>
      <c r="N22" s="1">
        <v>59280.2</v>
      </c>
      <c r="O22" s="1">
        <v>56991.0</v>
      </c>
      <c r="R22" s="1" t="s">
        <v>50</v>
      </c>
      <c r="S22" s="1" t="s">
        <v>71</v>
      </c>
      <c r="T22" s="1">
        <f>(C22*1000)/'Household Size'!$B$3</f>
        <v>11614339.62</v>
      </c>
      <c r="U22" s="1">
        <f>(D22*1000)/'Household Size'!$C$3</f>
        <v>12189423.08</v>
      </c>
      <c r="V22" s="1">
        <f>(E22*1000)/'Household Size'!$D$3</f>
        <v>12691568.63</v>
      </c>
      <c r="W22" s="1">
        <f>(F22*1000)/'Household Size'!$E$3</f>
        <v>13367142.86</v>
      </c>
      <c r="X22" s="1">
        <f>(G22*1000)/'Household Size'!$F$3</f>
        <v>13704166.67</v>
      </c>
      <c r="Y22" s="1">
        <f>(H22*1000)/'Household Size'!$G$3</f>
        <v>13944468.09</v>
      </c>
      <c r="Z22" s="1">
        <f>(I22*1000)/'Household Size'!$H$3</f>
        <v>14270500</v>
      </c>
      <c r="AA22" s="1">
        <f>(J22*1000)/'Household Size'!$I$3</f>
        <v>14814545.45</v>
      </c>
      <c r="AB22" s="1">
        <f>(K22*1000)/'Household Size'!$J$3</f>
        <v>14943813.95</v>
      </c>
      <c r="AC22" s="1">
        <f>(L22*1000)/'Household Size'!$K$3</f>
        <v>14986238.1</v>
      </c>
      <c r="AD22" s="1">
        <f>(M22*1000)/'Household Size'!$L$3</f>
        <v>14945170.73</v>
      </c>
      <c r="AE22" s="1">
        <f>(N22*1000)/'Household Size'!$M$3</f>
        <v>14820050</v>
      </c>
      <c r="AF22" s="1">
        <f>(O22*1000)/'Household Size'!$N$3</f>
        <v>14997631.58</v>
      </c>
    </row>
    <row r="23" ht="14.25" customHeight="1">
      <c r="A23" s="1" t="s">
        <v>51</v>
      </c>
      <c r="B23" s="1" t="s">
        <v>71</v>
      </c>
      <c r="C23" s="1">
        <v>2372.0</v>
      </c>
      <c r="D23" s="1">
        <v>2493.0</v>
      </c>
      <c r="E23" s="1">
        <v>2612.0</v>
      </c>
      <c r="F23" s="1">
        <v>2725.0</v>
      </c>
      <c r="G23" s="1">
        <v>2826.0</v>
      </c>
      <c r="H23" s="1">
        <v>2902.0</v>
      </c>
      <c r="I23" s="1">
        <v>2974.04</v>
      </c>
      <c r="J23" s="1">
        <v>3024.29</v>
      </c>
      <c r="K23" s="1">
        <v>3055.58</v>
      </c>
      <c r="L23" s="1">
        <v>3045.57</v>
      </c>
      <c r="M23" s="1">
        <v>3016.41</v>
      </c>
      <c r="N23" s="1">
        <v>2970.86</v>
      </c>
      <c r="O23" s="1">
        <v>2911.58</v>
      </c>
      <c r="R23" s="1" t="s">
        <v>51</v>
      </c>
      <c r="S23" s="1" t="s">
        <v>71</v>
      </c>
      <c r="T23" s="1">
        <f>(C23*1000)/'Household Size'!$B$3</f>
        <v>447547.1698</v>
      </c>
      <c r="U23" s="1">
        <f>(D23*1000)/'Household Size'!$C$3</f>
        <v>479423.0769</v>
      </c>
      <c r="V23" s="1">
        <f>(E23*1000)/'Household Size'!$D$3</f>
        <v>512156.8627</v>
      </c>
      <c r="W23" s="1">
        <f>(F23*1000)/'Household Size'!$E$3</f>
        <v>556122.449</v>
      </c>
      <c r="X23" s="1">
        <f>(G23*1000)/'Household Size'!$F$3</f>
        <v>588750</v>
      </c>
      <c r="Y23" s="1">
        <f>(H23*1000)/'Household Size'!$G$3</f>
        <v>617446.8085</v>
      </c>
      <c r="Z23" s="1">
        <f>(I23*1000)/'Household Size'!$H$3</f>
        <v>646530.4348</v>
      </c>
      <c r="AA23" s="1">
        <f>(J23*1000)/'Household Size'!$I$3</f>
        <v>687338.6364</v>
      </c>
      <c r="AB23" s="1">
        <f>(K23*1000)/'Household Size'!$J$3</f>
        <v>710600</v>
      </c>
      <c r="AC23" s="1">
        <f>(L23*1000)/'Household Size'!$K$3</f>
        <v>725135.7143</v>
      </c>
      <c r="AD23" s="1">
        <f>(M23*1000)/'Household Size'!$L$3</f>
        <v>735709.7561</v>
      </c>
      <c r="AE23" s="1">
        <f>(N23*1000)/'Household Size'!$M$3</f>
        <v>742715</v>
      </c>
      <c r="AF23" s="1">
        <f>(O23*1000)/'Household Size'!$N$3</f>
        <v>766205.2632</v>
      </c>
    </row>
    <row r="24" ht="14.25" customHeight="1">
      <c r="A24" s="1" t="s">
        <v>52</v>
      </c>
      <c r="B24" s="1" t="s">
        <v>71</v>
      </c>
      <c r="C24" s="1">
        <v>2022.0</v>
      </c>
      <c r="D24" s="1">
        <v>2092.0</v>
      </c>
      <c r="E24" s="1">
        <v>2156.0</v>
      </c>
      <c r="F24" s="1">
        <v>2211.0</v>
      </c>
      <c r="G24" s="1">
        <v>2254.0</v>
      </c>
      <c r="H24" s="1">
        <v>2234.9</v>
      </c>
      <c r="I24" s="1">
        <v>2208.96</v>
      </c>
      <c r="J24" s="1">
        <v>2166.41</v>
      </c>
      <c r="K24" s="1">
        <v>2113.57</v>
      </c>
      <c r="L24" s="1">
        <v>2032.38</v>
      </c>
      <c r="M24" s="1">
        <v>1936.3</v>
      </c>
      <c r="N24" s="1">
        <v>1831.77</v>
      </c>
      <c r="O24" s="1">
        <v>1720.25</v>
      </c>
      <c r="R24" s="1" t="s">
        <v>52</v>
      </c>
      <c r="S24" s="1" t="s">
        <v>71</v>
      </c>
      <c r="T24" s="1">
        <f>(C24*1000)/'Household Size'!$B$3</f>
        <v>381509.434</v>
      </c>
      <c r="U24" s="1">
        <f>(D24*1000)/'Household Size'!$C$3</f>
        <v>402307.6923</v>
      </c>
      <c r="V24" s="1">
        <f>(E24*1000)/'Household Size'!$D$3</f>
        <v>422745.098</v>
      </c>
      <c r="W24" s="1">
        <f>(F24*1000)/'Household Size'!$E$3</f>
        <v>451224.4898</v>
      </c>
      <c r="X24" s="1">
        <f>(G24*1000)/'Household Size'!$F$3</f>
        <v>469583.3333</v>
      </c>
      <c r="Y24" s="1">
        <f>(H24*1000)/'Household Size'!$G$3</f>
        <v>475510.6383</v>
      </c>
      <c r="Z24" s="1">
        <f>(I24*1000)/'Household Size'!$H$3</f>
        <v>480208.6957</v>
      </c>
      <c r="AA24" s="1">
        <f>(J24*1000)/'Household Size'!$I$3</f>
        <v>492365.9091</v>
      </c>
      <c r="AB24" s="1">
        <f>(K24*1000)/'Household Size'!$J$3</f>
        <v>491527.907</v>
      </c>
      <c r="AC24" s="1">
        <f>(L24*1000)/'Household Size'!$K$3</f>
        <v>483900</v>
      </c>
      <c r="AD24" s="1">
        <f>(M24*1000)/'Household Size'!$L$3</f>
        <v>472268.2927</v>
      </c>
      <c r="AE24" s="1">
        <f>(N24*1000)/'Household Size'!$M$3</f>
        <v>457942.5</v>
      </c>
      <c r="AF24" s="1">
        <f>(O24*1000)/'Household Size'!$N$3</f>
        <v>452697.3684</v>
      </c>
    </row>
    <row r="25" ht="14.25" customHeight="1">
      <c r="A25" s="1" t="s">
        <v>53</v>
      </c>
      <c r="B25" s="1" t="s">
        <v>71</v>
      </c>
      <c r="C25" s="1">
        <v>52558.0</v>
      </c>
      <c r="D25" s="1">
        <v>56572.0</v>
      </c>
      <c r="E25" s="1">
        <v>60198.0</v>
      </c>
      <c r="F25" s="1">
        <v>63381.0</v>
      </c>
      <c r="G25" s="1">
        <v>65972.0</v>
      </c>
      <c r="H25" s="1">
        <v>68074.0</v>
      </c>
      <c r="I25" s="1">
        <v>69614.4</v>
      </c>
      <c r="J25" s="1">
        <v>70619.9</v>
      </c>
      <c r="K25" s="1">
        <v>71168.9</v>
      </c>
      <c r="L25" s="1">
        <v>71341.9</v>
      </c>
      <c r="M25" s="1">
        <v>71147.0</v>
      </c>
      <c r="N25" s="1">
        <v>70580.4</v>
      </c>
      <c r="O25" s="1">
        <v>69653.5</v>
      </c>
      <c r="R25" s="1" t="s">
        <v>53</v>
      </c>
      <c r="S25" s="1" t="s">
        <v>71</v>
      </c>
      <c r="T25" s="1">
        <f>(C25*1000)/'Household Size'!$B$3</f>
        <v>9916603.774</v>
      </c>
      <c r="U25" s="1">
        <f>(D25*1000)/'Household Size'!$C$3</f>
        <v>10879230.77</v>
      </c>
      <c r="V25" s="1">
        <f>(E25*1000)/'Household Size'!$D$3</f>
        <v>11803529.41</v>
      </c>
      <c r="W25" s="1">
        <f>(F25*1000)/'Household Size'!$E$3</f>
        <v>12934897.96</v>
      </c>
      <c r="X25" s="1">
        <f>(G25*1000)/'Household Size'!$F$3</f>
        <v>13744166.67</v>
      </c>
      <c r="Y25" s="1">
        <f>(H25*1000)/'Household Size'!$G$3</f>
        <v>14483829.79</v>
      </c>
      <c r="Z25" s="1">
        <f>(I25*1000)/'Household Size'!$H$3</f>
        <v>15133565.22</v>
      </c>
      <c r="AA25" s="1">
        <f>(J25*1000)/'Household Size'!$I$3</f>
        <v>16049977.27</v>
      </c>
      <c r="AB25" s="1">
        <f>(K25*1000)/'Household Size'!$J$3</f>
        <v>16550906.98</v>
      </c>
      <c r="AC25" s="1">
        <f>(L25*1000)/'Household Size'!$K$3</f>
        <v>16986166.67</v>
      </c>
      <c r="AD25" s="1">
        <f>(M25*1000)/'Household Size'!$L$3</f>
        <v>17352926.83</v>
      </c>
      <c r="AE25" s="1">
        <f>(N25*1000)/'Household Size'!$M$3</f>
        <v>17645100</v>
      </c>
      <c r="AF25" s="1">
        <f>(O25*1000)/'Household Size'!$N$3</f>
        <v>18329868.42</v>
      </c>
    </row>
    <row r="26" ht="14.25" customHeight="1">
      <c r="A26" s="1" t="s">
        <v>54</v>
      </c>
      <c r="B26" s="1" t="s">
        <v>71</v>
      </c>
      <c r="C26" s="1">
        <v>525.0</v>
      </c>
      <c r="D26" s="1">
        <v>540.0</v>
      </c>
      <c r="E26" s="1">
        <v>553.0</v>
      </c>
      <c r="F26" s="1">
        <v>563.0</v>
      </c>
      <c r="G26" s="1">
        <v>570.0</v>
      </c>
      <c r="H26" s="1">
        <v>564.446</v>
      </c>
      <c r="I26" s="1">
        <v>556.511</v>
      </c>
      <c r="J26" s="1">
        <v>545.36</v>
      </c>
      <c r="K26" s="1">
        <v>531.402</v>
      </c>
      <c r="L26" s="1">
        <v>510.542</v>
      </c>
      <c r="M26" s="1">
        <v>486.58</v>
      </c>
      <c r="N26" s="1">
        <v>460.09</v>
      </c>
      <c r="O26" s="1">
        <v>432.352</v>
      </c>
      <c r="R26" s="1" t="s">
        <v>54</v>
      </c>
      <c r="S26" s="1" t="s">
        <v>71</v>
      </c>
      <c r="T26" s="1">
        <f>(C26*1000)/'Household Size'!$B$3</f>
        <v>99056.60377</v>
      </c>
      <c r="U26" s="1">
        <f>(D26*1000)/'Household Size'!$C$3</f>
        <v>103846.1538</v>
      </c>
      <c r="V26" s="1">
        <f>(E26*1000)/'Household Size'!$D$3</f>
        <v>108431.3725</v>
      </c>
      <c r="W26" s="1">
        <f>(F26*1000)/'Household Size'!$E$3</f>
        <v>114897.9592</v>
      </c>
      <c r="X26" s="1">
        <f>(G26*1000)/'Household Size'!$F$3</f>
        <v>118750</v>
      </c>
      <c r="Y26" s="1">
        <f>(H26*1000)/'Household Size'!$G$3</f>
        <v>120094.8936</v>
      </c>
      <c r="Z26" s="1">
        <f>(I26*1000)/'Household Size'!$H$3</f>
        <v>120980.6522</v>
      </c>
      <c r="AA26" s="1">
        <f>(J26*1000)/'Household Size'!$I$3</f>
        <v>123945.4545</v>
      </c>
      <c r="AB26" s="1">
        <f>(K26*1000)/'Household Size'!$J$3</f>
        <v>123581.8605</v>
      </c>
      <c r="AC26" s="1">
        <f>(L26*1000)/'Household Size'!$K$3</f>
        <v>121557.619</v>
      </c>
      <c r="AD26" s="1">
        <f>(M26*1000)/'Household Size'!$L$3</f>
        <v>118678.0488</v>
      </c>
      <c r="AE26" s="1">
        <f>(N26*1000)/'Household Size'!$M$3</f>
        <v>115022.5</v>
      </c>
      <c r="AF26" s="1">
        <f>(O26*1000)/'Household Size'!$N$3</f>
        <v>113776.8421</v>
      </c>
    </row>
    <row r="27" ht="14.25" customHeight="1">
      <c r="A27" s="1" t="s">
        <v>55</v>
      </c>
      <c r="B27" s="1" t="s">
        <v>71</v>
      </c>
      <c r="C27" s="1">
        <v>1408.0</v>
      </c>
      <c r="D27" s="1">
        <v>1339.0</v>
      </c>
      <c r="E27" s="1">
        <v>1251.0</v>
      </c>
      <c r="F27" s="1">
        <v>1144.0</v>
      </c>
      <c r="G27" s="1">
        <v>1019.0</v>
      </c>
      <c r="H27" s="1">
        <v>877.0</v>
      </c>
      <c r="I27" s="1">
        <v>795.84</v>
      </c>
      <c r="J27" s="1">
        <v>749.4</v>
      </c>
      <c r="K27" s="1">
        <v>723.84</v>
      </c>
      <c r="L27" s="1">
        <v>686.28</v>
      </c>
      <c r="M27" s="1">
        <v>655.875</v>
      </c>
      <c r="N27" s="1">
        <v>611.09</v>
      </c>
      <c r="O27" s="1">
        <v>565.08</v>
      </c>
      <c r="R27" s="1" t="s">
        <v>55</v>
      </c>
      <c r="S27" s="1" t="s">
        <v>71</v>
      </c>
      <c r="T27" s="1">
        <f>(C27*1000)/'Household Size'!$B$3</f>
        <v>265660.3774</v>
      </c>
      <c r="U27" s="1">
        <f>(D27*1000)/'Household Size'!$C$3</f>
        <v>257500</v>
      </c>
      <c r="V27" s="1">
        <f>(E27*1000)/'Household Size'!$D$3</f>
        <v>245294.1176</v>
      </c>
      <c r="W27" s="1">
        <f>(F27*1000)/'Household Size'!$E$3</f>
        <v>233469.3878</v>
      </c>
      <c r="X27" s="1">
        <f>(G27*1000)/'Household Size'!$F$3</f>
        <v>212291.6667</v>
      </c>
      <c r="Y27" s="1">
        <f>(H27*1000)/'Household Size'!$G$3</f>
        <v>186595.7447</v>
      </c>
      <c r="Z27" s="1">
        <f>(I27*1000)/'Household Size'!$H$3</f>
        <v>173008.6957</v>
      </c>
      <c r="AA27" s="1">
        <f>(J27*1000)/'Household Size'!$I$3</f>
        <v>170318.1818</v>
      </c>
      <c r="AB27" s="1">
        <f>(K27*1000)/'Household Size'!$J$3</f>
        <v>168334.8837</v>
      </c>
      <c r="AC27" s="1">
        <f>(L27*1000)/'Household Size'!$K$3</f>
        <v>163400</v>
      </c>
      <c r="AD27" s="1">
        <f>(M27*1000)/'Household Size'!$L$3</f>
        <v>159969.5122</v>
      </c>
      <c r="AE27" s="1">
        <f>(N27*1000)/'Household Size'!$M$3</f>
        <v>152772.5</v>
      </c>
      <c r="AF27" s="1">
        <f>(O27*1000)/'Household Size'!$N$3</f>
        <v>148705.2632</v>
      </c>
    </row>
    <row r="28" ht="14.25" customHeight="1">
      <c r="A28" s="1" t="s">
        <v>56</v>
      </c>
      <c r="B28" s="1" t="s">
        <v>71</v>
      </c>
      <c r="C28" s="1">
        <v>34970.0</v>
      </c>
      <c r="D28" s="1">
        <v>35546.0</v>
      </c>
      <c r="E28" s="1">
        <v>35885.0</v>
      </c>
      <c r="F28" s="1">
        <v>35981.0</v>
      </c>
      <c r="G28" s="1">
        <v>35798.0</v>
      </c>
      <c r="H28" s="1">
        <v>35585.2</v>
      </c>
      <c r="I28" s="1">
        <v>35372.0</v>
      </c>
      <c r="J28" s="1">
        <v>35156.5</v>
      </c>
      <c r="K28" s="1">
        <v>34743.3</v>
      </c>
      <c r="L28" s="1">
        <v>34348.4</v>
      </c>
      <c r="M28" s="1">
        <v>33823.7</v>
      </c>
      <c r="N28" s="1">
        <v>33130.4</v>
      </c>
      <c r="O28" s="1">
        <v>32279.4</v>
      </c>
      <c r="R28" s="1" t="s">
        <v>56</v>
      </c>
      <c r="S28" s="1" t="s">
        <v>71</v>
      </c>
      <c r="T28" s="1">
        <f>(C28*1000)/'Household Size'!$B$3</f>
        <v>6598113.208</v>
      </c>
      <c r="U28" s="1">
        <f>(D28*1000)/'Household Size'!$C$3</f>
        <v>6835769.231</v>
      </c>
      <c r="V28" s="1">
        <f>(E28*1000)/'Household Size'!$D$3</f>
        <v>7036274.51</v>
      </c>
      <c r="W28" s="1">
        <f>(F28*1000)/'Household Size'!$E$3</f>
        <v>7343061.224</v>
      </c>
      <c r="X28" s="1">
        <f>(G28*1000)/'Household Size'!$F$3</f>
        <v>7457916.667</v>
      </c>
      <c r="Y28" s="1">
        <f>(H28*1000)/'Household Size'!$G$3</f>
        <v>7571319.149</v>
      </c>
      <c r="Z28" s="1">
        <f>(I28*1000)/'Household Size'!$H$3</f>
        <v>7689565.217</v>
      </c>
      <c r="AA28" s="1">
        <f>(J28*1000)/'Household Size'!$I$3</f>
        <v>7990113.636</v>
      </c>
      <c r="AB28" s="1">
        <f>(K28*1000)/'Household Size'!$J$3</f>
        <v>8079837.209</v>
      </c>
      <c r="AC28" s="1">
        <f>(L28*1000)/'Household Size'!$K$3</f>
        <v>8178190.476</v>
      </c>
      <c r="AD28" s="1">
        <f>(M28*1000)/'Household Size'!$L$3</f>
        <v>8249682.927</v>
      </c>
      <c r="AE28" s="1">
        <f>(N28*1000)/'Household Size'!$M$3</f>
        <v>8282600</v>
      </c>
      <c r="AF28" s="1">
        <f>(O28*1000)/'Household Size'!$N$3</f>
        <v>8494578.947</v>
      </c>
    </row>
    <row r="29" ht="14.25" customHeight="1">
      <c r="A29" s="1" t="s">
        <v>57</v>
      </c>
      <c r="B29" s="1" t="s">
        <v>71</v>
      </c>
      <c r="C29" s="1">
        <v>17344.0</v>
      </c>
      <c r="D29" s="1">
        <v>17690.0</v>
      </c>
      <c r="E29" s="1">
        <v>17870.0</v>
      </c>
      <c r="F29" s="1">
        <v>17877.0</v>
      </c>
      <c r="G29" s="1">
        <v>17727.0</v>
      </c>
      <c r="H29" s="1">
        <v>17431.0</v>
      </c>
      <c r="I29" s="1">
        <v>17174.3</v>
      </c>
      <c r="J29" s="1">
        <v>17174.5</v>
      </c>
      <c r="K29" s="1">
        <v>17060.5</v>
      </c>
      <c r="L29" s="1">
        <v>16868.0</v>
      </c>
      <c r="M29" s="1">
        <v>16584.8</v>
      </c>
      <c r="N29" s="1">
        <v>16211.3</v>
      </c>
      <c r="O29" s="1">
        <v>15752.9</v>
      </c>
      <c r="R29" s="1" t="s">
        <v>57</v>
      </c>
      <c r="S29" s="1" t="s">
        <v>71</v>
      </c>
      <c r="T29" s="1">
        <f>(C29*1000)/'Household Size'!$B$3</f>
        <v>3272452.83</v>
      </c>
      <c r="U29" s="1">
        <f>(D29*1000)/'Household Size'!$C$3</f>
        <v>3401923.077</v>
      </c>
      <c r="V29" s="1">
        <f>(E29*1000)/'Household Size'!$D$3</f>
        <v>3503921.569</v>
      </c>
      <c r="W29" s="1">
        <f>(F29*1000)/'Household Size'!$E$3</f>
        <v>3648367.347</v>
      </c>
      <c r="X29" s="1">
        <f>(G29*1000)/'Household Size'!$F$3</f>
        <v>3693125</v>
      </c>
      <c r="Y29" s="1">
        <f>(H29*1000)/'Household Size'!$G$3</f>
        <v>3708723.404</v>
      </c>
      <c r="Z29" s="1">
        <f>(I29*1000)/'Household Size'!$H$3</f>
        <v>3733543.478</v>
      </c>
      <c r="AA29" s="1">
        <f>(J29*1000)/'Household Size'!$I$3</f>
        <v>3903295.455</v>
      </c>
      <c r="AB29" s="1">
        <f>(K29*1000)/'Household Size'!$J$3</f>
        <v>3967558.14</v>
      </c>
      <c r="AC29" s="1">
        <f>(L29*1000)/'Household Size'!$K$3</f>
        <v>4016190.476</v>
      </c>
      <c r="AD29" s="1">
        <f>(M29*1000)/'Household Size'!$L$3</f>
        <v>4045073.171</v>
      </c>
      <c r="AE29" s="1">
        <f>(N29*1000)/'Household Size'!$M$3</f>
        <v>4052825</v>
      </c>
      <c r="AF29" s="1">
        <f>(O29*1000)/'Household Size'!$N$3</f>
        <v>4145500</v>
      </c>
    </row>
    <row r="30" ht="14.25" customHeight="1">
      <c r="A30" s="1" t="s">
        <v>58</v>
      </c>
      <c r="B30" s="1" t="s">
        <v>71</v>
      </c>
      <c r="C30" s="1">
        <v>395.0</v>
      </c>
      <c r="D30" s="1">
        <v>432.0</v>
      </c>
      <c r="E30" s="1">
        <v>473.0</v>
      </c>
      <c r="F30" s="1">
        <v>516.0</v>
      </c>
      <c r="G30" s="1">
        <v>564.0</v>
      </c>
      <c r="H30" s="1">
        <v>595.692</v>
      </c>
      <c r="I30" s="1">
        <v>622.497</v>
      </c>
      <c r="J30" s="1">
        <v>628.463</v>
      </c>
      <c r="K30" s="1">
        <v>629.733</v>
      </c>
      <c r="L30" s="1">
        <v>627.307</v>
      </c>
      <c r="M30" s="1">
        <v>621.364</v>
      </c>
      <c r="N30" s="1">
        <v>612.084</v>
      </c>
      <c r="O30" s="1">
        <v>599.16</v>
      </c>
      <c r="R30" s="1" t="s">
        <v>58</v>
      </c>
      <c r="S30" s="1" t="s">
        <v>71</v>
      </c>
      <c r="T30" s="1">
        <f>(C30*1000)/'Household Size'!$B$3</f>
        <v>74528.30189</v>
      </c>
      <c r="U30" s="1">
        <f>(D30*1000)/'Household Size'!$C$3</f>
        <v>83076.92308</v>
      </c>
      <c r="V30" s="1">
        <f>(E30*1000)/'Household Size'!$D$3</f>
        <v>92745.09804</v>
      </c>
      <c r="W30" s="1">
        <f>(F30*1000)/'Household Size'!$E$3</f>
        <v>105306.1224</v>
      </c>
      <c r="X30" s="1">
        <f>(G30*1000)/'Household Size'!$F$3</f>
        <v>117500</v>
      </c>
      <c r="Y30" s="1">
        <f>(H30*1000)/'Household Size'!$G$3</f>
        <v>126742.9787</v>
      </c>
      <c r="Z30" s="1">
        <f>(I30*1000)/'Household Size'!$H$3</f>
        <v>135325.4348</v>
      </c>
      <c r="AA30" s="1">
        <f>(J30*1000)/'Household Size'!$I$3</f>
        <v>142832.5</v>
      </c>
      <c r="AB30" s="1">
        <f>(K30*1000)/'Household Size'!$J$3</f>
        <v>146449.5349</v>
      </c>
      <c r="AC30" s="1">
        <f>(L30*1000)/'Household Size'!$K$3</f>
        <v>149358.8095</v>
      </c>
      <c r="AD30" s="1">
        <f>(M30*1000)/'Household Size'!$L$3</f>
        <v>151552.1951</v>
      </c>
      <c r="AE30" s="1">
        <f>(N30*1000)/'Household Size'!$M$3</f>
        <v>153021</v>
      </c>
      <c r="AF30" s="1">
        <f>(O30*1000)/'Household Size'!$N$3</f>
        <v>157673.6842</v>
      </c>
    </row>
    <row r="31" ht="14.25" customHeight="1">
      <c r="A31" s="1" t="s">
        <v>59</v>
      </c>
      <c r="B31" s="1" t="s">
        <v>71</v>
      </c>
      <c r="C31" s="1">
        <v>51500.0</v>
      </c>
      <c r="D31" s="1">
        <v>55227.0</v>
      </c>
      <c r="E31" s="1">
        <v>58407.0</v>
      </c>
      <c r="F31" s="1">
        <v>61027.0</v>
      </c>
      <c r="G31" s="1">
        <v>63006.0</v>
      </c>
      <c r="H31" s="1">
        <v>64798.0</v>
      </c>
      <c r="I31" s="1">
        <v>65551.5</v>
      </c>
      <c r="J31" s="1">
        <v>65743.5</v>
      </c>
      <c r="K31" s="1">
        <v>65463.9</v>
      </c>
      <c r="L31" s="1">
        <v>64703.8</v>
      </c>
      <c r="M31" s="1">
        <v>63564.7</v>
      </c>
      <c r="N31" s="1">
        <v>62083.8</v>
      </c>
      <c r="O31" s="1">
        <v>60285.5</v>
      </c>
      <c r="R31" s="1" t="s">
        <v>59</v>
      </c>
      <c r="S31" s="1" t="s">
        <v>71</v>
      </c>
      <c r="T31" s="1">
        <f>(C31*1000)/'Household Size'!$B$3</f>
        <v>9716981.132</v>
      </c>
      <c r="U31" s="1">
        <f>(D31*1000)/'Household Size'!$C$3</f>
        <v>10620576.92</v>
      </c>
      <c r="V31" s="1">
        <f>(E31*1000)/'Household Size'!$D$3</f>
        <v>11452352.94</v>
      </c>
      <c r="W31" s="1">
        <f>(F31*1000)/'Household Size'!$E$3</f>
        <v>12454489.8</v>
      </c>
      <c r="X31" s="1">
        <f>(G31*1000)/'Household Size'!$F$3</f>
        <v>13126250</v>
      </c>
      <c r="Y31" s="1">
        <f>(H31*1000)/'Household Size'!$G$3</f>
        <v>13786808.51</v>
      </c>
      <c r="Z31" s="1">
        <f>(I31*1000)/'Household Size'!$H$3</f>
        <v>14250326.09</v>
      </c>
      <c r="AA31" s="1">
        <f>(J31*1000)/'Household Size'!$I$3</f>
        <v>14941704.55</v>
      </c>
      <c r="AB31" s="1">
        <f>(K31*1000)/'Household Size'!$J$3</f>
        <v>15224162.79</v>
      </c>
      <c r="AC31" s="1">
        <f>(L31*1000)/'Household Size'!$K$3</f>
        <v>15405666.67</v>
      </c>
      <c r="AD31" s="1">
        <f>(M31*1000)/'Household Size'!$L$3</f>
        <v>15503585.37</v>
      </c>
      <c r="AE31" s="1">
        <f>(N31*1000)/'Household Size'!$M$3</f>
        <v>15520950</v>
      </c>
      <c r="AF31" s="1">
        <f>(O31*1000)/'Household Size'!$N$3</f>
        <v>15864605.26</v>
      </c>
    </row>
    <row r="32" ht="14.25" customHeight="1">
      <c r="A32" s="1" t="s">
        <v>60</v>
      </c>
      <c r="B32" s="1" t="s">
        <v>71</v>
      </c>
      <c r="C32" s="1">
        <v>457.0</v>
      </c>
      <c r="D32" s="1">
        <v>420.0</v>
      </c>
      <c r="E32" s="1">
        <v>373.0</v>
      </c>
      <c r="F32" s="1">
        <v>317.0</v>
      </c>
      <c r="G32" s="1">
        <v>256.0</v>
      </c>
      <c r="H32" s="1">
        <v>193.0</v>
      </c>
      <c r="I32" s="1">
        <v>179.4</v>
      </c>
      <c r="J32" s="1">
        <v>174.9</v>
      </c>
      <c r="K32" s="1">
        <v>169.26</v>
      </c>
      <c r="L32" s="1">
        <v>161.4</v>
      </c>
      <c r="M32" s="1">
        <v>160.2</v>
      </c>
      <c r="N32" s="1">
        <v>158.4</v>
      </c>
      <c r="O32" s="1">
        <v>155.8</v>
      </c>
      <c r="R32" s="1" t="s">
        <v>60</v>
      </c>
      <c r="S32" s="1" t="s">
        <v>71</v>
      </c>
      <c r="T32" s="1">
        <f>(C32*1000)/'Household Size'!$B$3</f>
        <v>86226.41509</v>
      </c>
      <c r="U32" s="1">
        <f>(D32*1000)/'Household Size'!$C$3</f>
        <v>80769.23077</v>
      </c>
      <c r="V32" s="1">
        <f>(E32*1000)/'Household Size'!$D$3</f>
        <v>73137.2549</v>
      </c>
      <c r="W32" s="1">
        <f>(F32*1000)/'Household Size'!$E$3</f>
        <v>64693.87755</v>
      </c>
      <c r="X32" s="1">
        <f>(G32*1000)/'Household Size'!$F$3</f>
        <v>53333.33333</v>
      </c>
      <c r="Y32" s="1">
        <f>(H32*1000)/'Household Size'!$G$3</f>
        <v>41063.82979</v>
      </c>
      <c r="Z32" s="1">
        <f>(I32*1000)/'Household Size'!$H$3</f>
        <v>39000</v>
      </c>
      <c r="AA32" s="1">
        <f>(J32*1000)/'Household Size'!$I$3</f>
        <v>39750</v>
      </c>
      <c r="AB32" s="1">
        <f>(K32*1000)/'Household Size'!$J$3</f>
        <v>39362.7907</v>
      </c>
      <c r="AC32" s="1">
        <f>(L32*1000)/'Household Size'!$K$3</f>
        <v>38428.57143</v>
      </c>
      <c r="AD32" s="1">
        <f>(M32*1000)/'Household Size'!$L$3</f>
        <v>39073.17073</v>
      </c>
      <c r="AE32" s="1">
        <f>(N32*1000)/'Household Size'!$M$3</f>
        <v>39600</v>
      </c>
      <c r="AF32" s="1">
        <f>(O32*1000)/'Household Size'!$N$3</f>
        <v>41000</v>
      </c>
    </row>
    <row r="33" ht="14.25" customHeight="1">
      <c r="A33" s="1" t="s">
        <v>61</v>
      </c>
      <c r="B33" s="1" t="s">
        <v>71</v>
      </c>
      <c r="C33" s="1">
        <v>37230.0</v>
      </c>
      <c r="D33" s="1">
        <v>36879.0</v>
      </c>
      <c r="E33" s="1">
        <v>36068.0</v>
      </c>
      <c r="F33" s="1">
        <v>34877.0</v>
      </c>
      <c r="G33" s="1">
        <v>33340.0</v>
      </c>
      <c r="H33" s="1">
        <v>31513.0</v>
      </c>
      <c r="I33" s="1">
        <v>29585.1</v>
      </c>
      <c r="J33" s="1">
        <v>28360.3</v>
      </c>
      <c r="K33" s="1">
        <v>26980.3</v>
      </c>
      <c r="L33" s="1">
        <v>25638.8</v>
      </c>
      <c r="M33" s="1">
        <v>24201.9</v>
      </c>
      <c r="N33" s="1">
        <v>22649.0</v>
      </c>
      <c r="O33" s="1">
        <v>21005.3</v>
      </c>
      <c r="R33" s="1" t="s">
        <v>61</v>
      </c>
      <c r="S33" s="1" t="s">
        <v>71</v>
      </c>
      <c r="T33" s="1">
        <f>(C33*1000)/'Household Size'!$B$3</f>
        <v>7024528.302</v>
      </c>
      <c r="U33" s="1">
        <f>(D33*1000)/'Household Size'!$C$3</f>
        <v>7092115.385</v>
      </c>
      <c r="V33" s="1">
        <f>(E33*1000)/'Household Size'!$D$3</f>
        <v>7072156.863</v>
      </c>
      <c r="W33" s="1">
        <f>(F33*1000)/'Household Size'!$E$3</f>
        <v>7117755.102</v>
      </c>
      <c r="X33" s="1">
        <f>(G33*1000)/'Household Size'!$F$3</f>
        <v>6945833.333</v>
      </c>
      <c r="Y33" s="1">
        <f>(H33*1000)/'Household Size'!$G$3</f>
        <v>6704893.617</v>
      </c>
      <c r="Z33" s="1">
        <f>(I33*1000)/'Household Size'!$H$3</f>
        <v>6431543.478</v>
      </c>
      <c r="AA33" s="1">
        <f>(J33*1000)/'Household Size'!$I$3</f>
        <v>6445522.727</v>
      </c>
      <c r="AB33" s="1">
        <f>(K33*1000)/'Household Size'!$J$3</f>
        <v>6274488.372</v>
      </c>
      <c r="AC33" s="1">
        <f>(L33*1000)/'Household Size'!$K$3</f>
        <v>6104476.19</v>
      </c>
      <c r="AD33" s="1">
        <f>(M33*1000)/'Household Size'!$L$3</f>
        <v>5902902.439</v>
      </c>
      <c r="AE33" s="1">
        <f>(N33*1000)/'Household Size'!$M$3</f>
        <v>5662250</v>
      </c>
      <c r="AF33" s="1">
        <f>(O33*1000)/'Household Size'!$N$3</f>
        <v>5527710.526</v>
      </c>
    </row>
    <row r="34" ht="14.25" customHeight="1">
      <c r="A34" s="1" t="s">
        <v>62</v>
      </c>
      <c r="B34" s="1" t="s">
        <v>71</v>
      </c>
      <c r="C34" s="1">
        <v>2713.0</v>
      </c>
      <c r="D34" s="1">
        <v>2654.0</v>
      </c>
      <c r="E34" s="1">
        <v>2566.0</v>
      </c>
      <c r="F34" s="1">
        <v>2447.0</v>
      </c>
      <c r="G34" s="1">
        <v>2294.0</v>
      </c>
      <c r="H34" s="1">
        <v>2105.0</v>
      </c>
      <c r="I34" s="1">
        <v>2013.0</v>
      </c>
      <c r="J34" s="1">
        <v>1958.22</v>
      </c>
      <c r="K34" s="1">
        <v>1912.38</v>
      </c>
      <c r="L34" s="1">
        <v>1809.14</v>
      </c>
      <c r="M34" s="1">
        <v>1693.59</v>
      </c>
      <c r="N34" s="1">
        <v>1574.09</v>
      </c>
      <c r="O34" s="1">
        <v>1472.88</v>
      </c>
      <c r="R34" s="1" t="s">
        <v>62</v>
      </c>
      <c r="S34" s="1" t="s">
        <v>71</v>
      </c>
      <c r="T34" s="1">
        <f>(C34*1000)/'Household Size'!$B$3</f>
        <v>511886.7925</v>
      </c>
      <c r="U34" s="1">
        <f>(D34*1000)/'Household Size'!$C$3</f>
        <v>510384.6154</v>
      </c>
      <c r="V34" s="1">
        <f>(E34*1000)/'Household Size'!$D$3</f>
        <v>503137.2549</v>
      </c>
      <c r="W34" s="1">
        <f>(F34*1000)/'Household Size'!$E$3</f>
        <v>499387.7551</v>
      </c>
      <c r="X34" s="1">
        <f>(G34*1000)/'Household Size'!$F$3</f>
        <v>477916.6667</v>
      </c>
      <c r="Y34" s="1">
        <f>(H34*1000)/'Household Size'!$G$3</f>
        <v>447872.3404</v>
      </c>
      <c r="Z34" s="1">
        <f>(I34*1000)/'Household Size'!$H$3</f>
        <v>437608.6957</v>
      </c>
      <c r="AA34" s="1">
        <f>(J34*1000)/'Household Size'!$I$3</f>
        <v>445050</v>
      </c>
      <c r="AB34" s="1">
        <f>(K34*1000)/'Household Size'!$J$3</f>
        <v>444739.5349</v>
      </c>
      <c r="AC34" s="1">
        <f>(L34*1000)/'Household Size'!$K$3</f>
        <v>430747.619</v>
      </c>
      <c r="AD34" s="1">
        <f>(M34*1000)/'Household Size'!$L$3</f>
        <v>413070.7317</v>
      </c>
      <c r="AE34" s="1">
        <f>(N34*1000)/'Household Size'!$M$3</f>
        <v>393522.5</v>
      </c>
      <c r="AF34" s="1">
        <f>(O34*1000)/'Household Size'!$N$3</f>
        <v>387600</v>
      </c>
    </row>
    <row r="35" ht="14.25" customHeight="1">
      <c r="A35" s="1" t="s">
        <v>63</v>
      </c>
      <c r="B35" s="1" t="s">
        <v>71</v>
      </c>
      <c r="C35" s="1">
        <v>21273.0</v>
      </c>
      <c r="D35" s="1">
        <v>20850.0</v>
      </c>
      <c r="E35" s="1">
        <v>20211.0</v>
      </c>
      <c r="F35" s="1">
        <v>19287.0</v>
      </c>
      <c r="G35" s="1">
        <v>18117.0</v>
      </c>
      <c r="H35" s="1">
        <v>16734.0</v>
      </c>
      <c r="I35" s="1">
        <v>16207.7</v>
      </c>
      <c r="J35" s="1">
        <v>15564.0</v>
      </c>
      <c r="K35" s="1">
        <v>14836.8</v>
      </c>
      <c r="L35" s="1">
        <v>14074.9</v>
      </c>
      <c r="M35" s="1">
        <v>13257.4</v>
      </c>
      <c r="N35" s="1">
        <v>12389.2</v>
      </c>
      <c r="O35" s="1">
        <v>11483.7</v>
      </c>
      <c r="R35" s="1" t="s">
        <v>63</v>
      </c>
      <c r="S35" s="1" t="s">
        <v>71</v>
      </c>
      <c r="T35" s="1">
        <f>(C35*1000)/'Household Size'!$B$3</f>
        <v>4013773.585</v>
      </c>
      <c r="U35" s="1">
        <f>(D35*1000)/'Household Size'!$C$3</f>
        <v>4009615.385</v>
      </c>
      <c r="V35" s="1">
        <f>(E35*1000)/'Household Size'!$D$3</f>
        <v>3962941.176</v>
      </c>
      <c r="W35" s="1">
        <f>(F35*1000)/'Household Size'!$E$3</f>
        <v>3936122.449</v>
      </c>
      <c r="X35" s="1">
        <f>(G35*1000)/'Household Size'!$F$3</f>
        <v>3774375</v>
      </c>
      <c r="Y35" s="1">
        <f>(H35*1000)/'Household Size'!$G$3</f>
        <v>3560425.532</v>
      </c>
      <c r="Z35" s="1">
        <f>(I35*1000)/'Household Size'!$H$3</f>
        <v>3523413.043</v>
      </c>
      <c r="AA35" s="1">
        <f>(J35*1000)/'Household Size'!$I$3</f>
        <v>3537272.727</v>
      </c>
      <c r="AB35" s="1">
        <f>(K35*1000)/'Household Size'!$J$3</f>
        <v>3450418.605</v>
      </c>
      <c r="AC35" s="1">
        <f>(L35*1000)/'Household Size'!$K$3</f>
        <v>3351166.667</v>
      </c>
      <c r="AD35" s="1">
        <f>(M35*1000)/'Household Size'!$L$3</f>
        <v>3233512.195</v>
      </c>
      <c r="AE35" s="1">
        <f>(N35*1000)/'Household Size'!$M$3</f>
        <v>3097300</v>
      </c>
      <c r="AF35" s="1">
        <f>(O35*1000)/'Household Size'!$N$3</f>
        <v>3022026.316</v>
      </c>
    </row>
    <row r="36" ht="14.25" customHeight="1">
      <c r="A36" s="1" t="s">
        <v>64</v>
      </c>
      <c r="B36" s="1" t="s">
        <v>71</v>
      </c>
      <c r="C36" s="1">
        <v>7037.0</v>
      </c>
      <c r="D36" s="1">
        <v>7249.0</v>
      </c>
      <c r="E36" s="1">
        <v>7414.0</v>
      </c>
      <c r="F36" s="1">
        <v>7520.0</v>
      </c>
      <c r="G36" s="1">
        <v>7559.0</v>
      </c>
      <c r="H36" s="1">
        <v>7525.0</v>
      </c>
      <c r="I36" s="1">
        <v>7409.93</v>
      </c>
      <c r="J36" s="1">
        <v>7467.11</v>
      </c>
      <c r="K36" s="1">
        <v>7469.0</v>
      </c>
      <c r="L36" s="1">
        <v>7414.36</v>
      </c>
      <c r="M36" s="1">
        <v>7313.56</v>
      </c>
      <c r="N36" s="1">
        <v>7169.96</v>
      </c>
      <c r="O36" s="1">
        <v>6985.96</v>
      </c>
      <c r="R36" s="1" t="s">
        <v>64</v>
      </c>
      <c r="S36" s="1" t="s">
        <v>71</v>
      </c>
      <c r="T36" s="1">
        <f>(C36*1000)/'Household Size'!$B$3</f>
        <v>1327735.849</v>
      </c>
      <c r="U36" s="1">
        <f>(D36*1000)/'Household Size'!$C$3</f>
        <v>1394038.462</v>
      </c>
      <c r="V36" s="1">
        <f>(E36*1000)/'Household Size'!$D$3</f>
        <v>1453725.49</v>
      </c>
      <c r="W36" s="1">
        <f>(F36*1000)/'Household Size'!$E$3</f>
        <v>1534693.878</v>
      </c>
      <c r="X36" s="1">
        <f>(G36*1000)/'Household Size'!$F$3</f>
        <v>1574791.667</v>
      </c>
      <c r="Y36" s="1">
        <f>(H36*1000)/'Household Size'!$G$3</f>
        <v>1601063.83</v>
      </c>
      <c r="Z36" s="1">
        <f>(I36*1000)/'Household Size'!$H$3</f>
        <v>1610854.348</v>
      </c>
      <c r="AA36" s="1">
        <f>(J36*1000)/'Household Size'!$I$3</f>
        <v>1697070.455</v>
      </c>
      <c r="AB36" s="1">
        <f>(K36*1000)/'Household Size'!$J$3</f>
        <v>1736976.744</v>
      </c>
      <c r="AC36" s="1">
        <f>(L36*1000)/'Household Size'!$K$3</f>
        <v>1765323.81</v>
      </c>
      <c r="AD36" s="1">
        <f>(M36*1000)/'Household Size'!$L$3</f>
        <v>1783795.122</v>
      </c>
      <c r="AE36" s="1">
        <f>(N36*1000)/'Household Size'!$M$3</f>
        <v>1792490</v>
      </c>
      <c r="AF36" s="1">
        <f>(O36*1000)/'Household Size'!$N$3</f>
        <v>1838410.526</v>
      </c>
    </row>
    <row r="37" ht="14.25" customHeight="1">
      <c r="A37" s="1" t="s">
        <v>65</v>
      </c>
      <c r="B37" s="1" t="s">
        <v>71</v>
      </c>
      <c r="C37" s="1">
        <v>155317.0</v>
      </c>
      <c r="D37" s="1">
        <v>166358.0</v>
      </c>
      <c r="E37" s="1">
        <v>176092.0</v>
      </c>
      <c r="F37" s="1">
        <v>183465.0</v>
      </c>
      <c r="G37" s="1">
        <v>188533.0</v>
      </c>
      <c r="H37" s="1">
        <v>191909.0</v>
      </c>
      <c r="I37" s="1">
        <v>195873.0</v>
      </c>
      <c r="J37" s="1">
        <v>198365.0</v>
      </c>
      <c r="K37" s="1">
        <v>199612.0</v>
      </c>
      <c r="L37" s="1">
        <v>199152.0</v>
      </c>
      <c r="M37" s="1">
        <v>197508.0</v>
      </c>
      <c r="N37" s="1">
        <v>194860.0</v>
      </c>
      <c r="O37" s="1">
        <v>191254.0</v>
      </c>
      <c r="R37" s="1" t="s">
        <v>65</v>
      </c>
      <c r="S37" s="1" t="s">
        <v>71</v>
      </c>
      <c r="T37" s="1">
        <f>(C37*1000)/'Household Size'!$B$3</f>
        <v>29305094.34</v>
      </c>
      <c r="U37" s="1">
        <f>(D37*1000)/'Household Size'!$C$3</f>
        <v>31991923.08</v>
      </c>
      <c r="V37" s="1">
        <f>(E37*1000)/'Household Size'!$D$3</f>
        <v>34527843.14</v>
      </c>
      <c r="W37" s="1">
        <f>(F37*1000)/'Household Size'!$E$3</f>
        <v>37441836.73</v>
      </c>
      <c r="X37" s="1">
        <f>(G37*1000)/'Household Size'!$F$3</f>
        <v>39277708.33</v>
      </c>
      <c r="Y37" s="1">
        <f>(H37*1000)/'Household Size'!$G$3</f>
        <v>40831702.13</v>
      </c>
      <c r="Z37" s="1">
        <f>(I37*1000)/'Household Size'!$H$3</f>
        <v>42581086.96</v>
      </c>
      <c r="AA37" s="1">
        <f>(J37*1000)/'Household Size'!$I$3</f>
        <v>45082954.55</v>
      </c>
      <c r="AB37" s="1">
        <f>(K37*1000)/'Household Size'!$J$3</f>
        <v>46421395.35</v>
      </c>
      <c r="AC37" s="1">
        <f>(L37*1000)/'Household Size'!$K$3</f>
        <v>47417142.86</v>
      </c>
      <c r="AD37" s="1">
        <f>(M37*1000)/'Household Size'!$L$3</f>
        <v>48172682.93</v>
      </c>
      <c r="AE37" s="1">
        <f>(N37*1000)/'Household Size'!$M$3</f>
        <v>48715000</v>
      </c>
      <c r="AF37" s="1">
        <f>(O37*1000)/'Household Size'!$N$3</f>
        <v>50330000</v>
      </c>
    </row>
    <row r="38" ht="14.25" customHeight="1">
      <c r="A38" s="1" t="s">
        <v>66</v>
      </c>
      <c r="B38" s="1" t="s">
        <v>71</v>
      </c>
      <c r="C38" s="1">
        <v>62183.0</v>
      </c>
      <c r="D38" s="1">
        <v>62847.0</v>
      </c>
      <c r="E38" s="1">
        <v>62845.0</v>
      </c>
      <c r="F38" s="1">
        <v>62275.0</v>
      </c>
      <c r="G38" s="1">
        <v>61099.0</v>
      </c>
      <c r="H38" s="1">
        <v>59273.0</v>
      </c>
      <c r="I38" s="1">
        <v>56887.9</v>
      </c>
      <c r="J38" s="1">
        <v>55720.7</v>
      </c>
      <c r="K38" s="1">
        <v>54255.8</v>
      </c>
      <c r="L38" s="1">
        <v>52570.7</v>
      </c>
      <c r="M38" s="1">
        <v>50627.4</v>
      </c>
      <c r="N38" s="1">
        <v>48444.3</v>
      </c>
      <c r="O38" s="1">
        <v>46057.8</v>
      </c>
      <c r="R38" s="1" t="s">
        <v>66</v>
      </c>
      <c r="S38" s="1" t="s">
        <v>71</v>
      </c>
      <c r="T38" s="1">
        <f>(C38*1000)/'Household Size'!$B$3</f>
        <v>11732641.51</v>
      </c>
      <c r="U38" s="1">
        <f>(D38*1000)/'Household Size'!$C$3</f>
        <v>12085961.54</v>
      </c>
      <c r="V38" s="1">
        <f>(E38*1000)/'Household Size'!$D$3</f>
        <v>12322549.02</v>
      </c>
      <c r="W38" s="1">
        <f>(F38*1000)/'Household Size'!$E$3</f>
        <v>12709183.67</v>
      </c>
      <c r="X38" s="1">
        <f>(G38*1000)/'Household Size'!$F$3</f>
        <v>12728958.33</v>
      </c>
      <c r="Y38" s="1">
        <f>(H38*1000)/'Household Size'!$G$3</f>
        <v>12611276.6</v>
      </c>
      <c r="Z38" s="1">
        <f>(I38*1000)/'Household Size'!$H$3</f>
        <v>12366934.78</v>
      </c>
      <c r="AA38" s="1">
        <f>(J38*1000)/'Household Size'!$I$3</f>
        <v>12663795.45</v>
      </c>
      <c r="AB38" s="1">
        <f>(K38*1000)/'Household Size'!$J$3</f>
        <v>12617627.91</v>
      </c>
      <c r="AC38" s="1">
        <f>(L38*1000)/'Household Size'!$K$3</f>
        <v>12516833.33</v>
      </c>
      <c r="AD38" s="1">
        <f>(M38*1000)/'Household Size'!$L$3</f>
        <v>12348146.34</v>
      </c>
      <c r="AE38" s="1">
        <f>(N38*1000)/'Household Size'!$M$3</f>
        <v>12111075</v>
      </c>
      <c r="AF38" s="1">
        <f>(O38*1000)/'Household Size'!$N$3</f>
        <v>12120473.68</v>
      </c>
    </row>
    <row r="39" ht="14.25" customHeight="1">
      <c r="A39" s="1" t="s">
        <v>6</v>
      </c>
      <c r="B39" s="1" t="s">
        <v>69</v>
      </c>
      <c r="C39" s="1">
        <v>143.0</v>
      </c>
      <c r="D39" s="1">
        <v>157.597</v>
      </c>
      <c r="E39" s="1">
        <v>172.0</v>
      </c>
      <c r="F39" s="1">
        <v>187.833</v>
      </c>
      <c r="G39" s="1">
        <v>204.39</v>
      </c>
      <c r="H39" s="1">
        <v>221.252</v>
      </c>
      <c r="I39" s="1">
        <v>240.717</v>
      </c>
      <c r="J39" s="1">
        <v>253.127</v>
      </c>
      <c r="K39" s="1">
        <v>267.206</v>
      </c>
      <c r="L39" s="1">
        <v>280.682</v>
      </c>
      <c r="M39" s="1">
        <v>293.476</v>
      </c>
      <c r="N39" s="1">
        <v>304.242</v>
      </c>
      <c r="O39" s="1">
        <v>314.084</v>
      </c>
      <c r="R39" s="1" t="s">
        <v>6</v>
      </c>
      <c r="S39" s="1" t="s">
        <v>69</v>
      </c>
      <c r="T39" s="1">
        <f>(C39*1000)/'Household Size'!$B$4</f>
        <v>25535.71429</v>
      </c>
      <c r="U39" s="1">
        <f>(D39*1000)/'Household Size'!$C$4</f>
        <v>29184.62963</v>
      </c>
      <c r="V39" s="1">
        <f>(E39*1000)/'Household Size'!$D$4</f>
        <v>32452.83019</v>
      </c>
      <c r="W39" s="1">
        <f>(F39*1000)/'Household Size'!$E$4</f>
        <v>36830</v>
      </c>
      <c r="X39" s="1">
        <f>(G39*1000)/'Household Size'!$F$4</f>
        <v>40878</v>
      </c>
      <c r="Y39" s="1">
        <f>(H39*1000)/'Household Size'!$G$4</f>
        <v>46094.16667</v>
      </c>
      <c r="Z39" s="1">
        <f>(I39*1000)/'Household Size'!$H$4</f>
        <v>52329.78261</v>
      </c>
      <c r="AA39" s="1">
        <f>(J39*1000)/'Household Size'!$I$4</f>
        <v>56250.44444</v>
      </c>
      <c r="AB39" s="1">
        <f>(K39*1000)/'Household Size'!$J$4</f>
        <v>62140.93023</v>
      </c>
      <c r="AC39" s="1">
        <f>(L39*1000)/'Household Size'!$K$4</f>
        <v>66829.04762</v>
      </c>
      <c r="AD39" s="1">
        <f>(M39*1000)/'Household Size'!$L$4</f>
        <v>73369</v>
      </c>
      <c r="AE39" s="1">
        <f>(N39*1000)/'Household Size'!$M$4</f>
        <v>80063.68421</v>
      </c>
      <c r="AF39" s="1">
        <f>(O39*1000)/'Household Size'!$N$4</f>
        <v>84887.56757</v>
      </c>
    </row>
    <row r="40" ht="14.25" customHeight="1">
      <c r="A40" s="1" t="s">
        <v>30</v>
      </c>
      <c r="B40" s="1" t="s">
        <v>69</v>
      </c>
      <c r="C40" s="1">
        <v>14610.0</v>
      </c>
      <c r="D40" s="1">
        <v>16609.0</v>
      </c>
      <c r="E40" s="1">
        <v>18618.0</v>
      </c>
      <c r="F40" s="1">
        <v>20573.0</v>
      </c>
      <c r="G40" s="1">
        <v>22475.6</v>
      </c>
      <c r="H40" s="1">
        <v>24379.8</v>
      </c>
      <c r="I40" s="1">
        <v>26290.1</v>
      </c>
      <c r="J40" s="1">
        <v>28011.2</v>
      </c>
      <c r="K40" s="1">
        <v>29033.4</v>
      </c>
      <c r="L40" s="1">
        <v>29968.4</v>
      </c>
      <c r="M40" s="1">
        <v>30207.0</v>
      </c>
      <c r="N40" s="1">
        <v>30276.7</v>
      </c>
      <c r="O40" s="1">
        <v>30178.0</v>
      </c>
      <c r="R40" s="1" t="s">
        <v>30</v>
      </c>
      <c r="S40" s="1" t="s">
        <v>69</v>
      </c>
      <c r="T40" s="1">
        <f>(C40*1000)/'Household Size'!$B$4</f>
        <v>2608928.571</v>
      </c>
      <c r="U40" s="1">
        <f>(D40*1000)/'Household Size'!$C$4</f>
        <v>3075740.741</v>
      </c>
      <c r="V40" s="1">
        <f>(E40*1000)/'Household Size'!$D$4</f>
        <v>3512830.189</v>
      </c>
      <c r="W40" s="1">
        <f>(F40*1000)/'Household Size'!$E$4</f>
        <v>4033921.569</v>
      </c>
      <c r="X40" s="1">
        <f>(G40*1000)/'Household Size'!$F$4</f>
        <v>4495120</v>
      </c>
      <c r="Y40" s="1">
        <f>(H40*1000)/'Household Size'!$G$4</f>
        <v>5079125</v>
      </c>
      <c r="Z40" s="1">
        <f>(I40*1000)/'Household Size'!$H$4</f>
        <v>5715239.13</v>
      </c>
      <c r="AA40" s="1">
        <f>(J40*1000)/'Household Size'!$I$4</f>
        <v>6224711.111</v>
      </c>
      <c r="AB40" s="1">
        <f>(K40*1000)/'Household Size'!$J$4</f>
        <v>6751953.488</v>
      </c>
      <c r="AC40" s="1">
        <f>(L40*1000)/'Household Size'!$K$4</f>
        <v>7135333.333</v>
      </c>
      <c r="AD40" s="1">
        <f>(M40*1000)/'Household Size'!$L$4</f>
        <v>7551750</v>
      </c>
      <c r="AE40" s="1">
        <f>(N40*1000)/'Household Size'!$M$4</f>
        <v>7967552.632</v>
      </c>
      <c r="AF40" s="1">
        <f>(O40*1000)/'Household Size'!$N$4</f>
        <v>8156216.216</v>
      </c>
    </row>
    <row r="41" ht="14.25" customHeight="1">
      <c r="A41" s="1" t="s">
        <v>32</v>
      </c>
      <c r="B41" s="1" t="s">
        <v>69</v>
      </c>
      <c r="C41" s="1">
        <v>317.0</v>
      </c>
      <c r="D41" s="1">
        <v>351.0</v>
      </c>
      <c r="E41" s="1">
        <v>386.0</v>
      </c>
      <c r="F41" s="1">
        <v>422.0</v>
      </c>
      <c r="G41" s="1">
        <v>458.0</v>
      </c>
      <c r="H41" s="1">
        <v>495.57</v>
      </c>
      <c r="I41" s="1">
        <v>537.645</v>
      </c>
      <c r="J41" s="1">
        <v>564.561</v>
      </c>
      <c r="K41" s="1">
        <v>588.354</v>
      </c>
      <c r="L41" s="1">
        <v>604.275</v>
      </c>
      <c r="M41" s="1">
        <v>615.798</v>
      </c>
      <c r="N41" s="1">
        <v>624.662</v>
      </c>
      <c r="O41" s="1">
        <v>630.134</v>
      </c>
      <c r="R41" s="1" t="s">
        <v>32</v>
      </c>
      <c r="S41" s="1" t="s">
        <v>69</v>
      </c>
      <c r="T41" s="1">
        <f>(C41*1000)/'Household Size'!$B$4</f>
        <v>56607.14286</v>
      </c>
      <c r="U41" s="1">
        <f>(D41*1000)/'Household Size'!$C$4</f>
        <v>65000</v>
      </c>
      <c r="V41" s="1">
        <f>(E41*1000)/'Household Size'!$D$4</f>
        <v>72830.18868</v>
      </c>
      <c r="W41" s="1">
        <f>(F41*1000)/'Household Size'!$E$4</f>
        <v>82745.09804</v>
      </c>
      <c r="X41" s="1">
        <f>(G41*1000)/'Household Size'!$F$4</f>
        <v>91600</v>
      </c>
      <c r="Y41" s="1">
        <f>(H41*1000)/'Household Size'!$G$4</f>
        <v>103243.75</v>
      </c>
      <c r="Z41" s="1">
        <f>(I41*1000)/'Household Size'!$H$4</f>
        <v>116879.3478</v>
      </c>
      <c r="AA41" s="1">
        <f>(J41*1000)/'Household Size'!$I$4</f>
        <v>125458</v>
      </c>
      <c r="AB41" s="1">
        <f>(K41*1000)/'Household Size'!$J$4</f>
        <v>136826.5116</v>
      </c>
      <c r="AC41" s="1">
        <f>(L41*1000)/'Household Size'!$K$4</f>
        <v>143875</v>
      </c>
      <c r="AD41" s="1">
        <f>(M41*1000)/'Household Size'!$L$4</f>
        <v>153949.5</v>
      </c>
      <c r="AE41" s="1">
        <f>(N41*1000)/'Household Size'!$M$4</f>
        <v>164384.7368</v>
      </c>
      <c r="AF41" s="1">
        <f>(O41*1000)/'Household Size'!$N$4</f>
        <v>170306.4865</v>
      </c>
    </row>
    <row r="42" ht="14.25" customHeight="1">
      <c r="A42" s="1" t="s">
        <v>33</v>
      </c>
      <c r="B42" s="1" t="s">
        <v>69</v>
      </c>
      <c r="C42" s="1">
        <v>4399.0</v>
      </c>
      <c r="D42" s="1">
        <v>4879.0</v>
      </c>
      <c r="E42" s="1">
        <v>5368.0</v>
      </c>
      <c r="F42" s="1">
        <v>5848.0</v>
      </c>
      <c r="G42" s="1">
        <v>6318.0</v>
      </c>
      <c r="H42" s="1">
        <v>6762.0</v>
      </c>
      <c r="I42" s="1">
        <v>7638.4</v>
      </c>
      <c r="J42" s="1">
        <v>8490.92</v>
      </c>
      <c r="K42" s="1">
        <v>9314.85</v>
      </c>
      <c r="L42" s="1">
        <v>10135.7</v>
      </c>
      <c r="M42" s="1">
        <v>10923.7</v>
      </c>
      <c r="N42" s="1">
        <v>11659.4</v>
      </c>
      <c r="O42" s="1">
        <v>12331.9</v>
      </c>
      <c r="R42" s="1" t="s">
        <v>33</v>
      </c>
      <c r="S42" s="1" t="s">
        <v>69</v>
      </c>
      <c r="T42" s="1">
        <f>(C42*1000)/'Household Size'!$B$4</f>
        <v>785535.7143</v>
      </c>
      <c r="U42" s="1">
        <f>(D42*1000)/'Household Size'!$C$4</f>
        <v>903518.5185</v>
      </c>
      <c r="V42" s="1">
        <f>(E42*1000)/'Household Size'!$D$4</f>
        <v>1012830.189</v>
      </c>
      <c r="W42" s="1">
        <f>(F42*1000)/'Household Size'!$E$4</f>
        <v>1146666.667</v>
      </c>
      <c r="X42" s="1">
        <f>(G42*1000)/'Household Size'!$F$4</f>
        <v>1263600</v>
      </c>
      <c r="Y42" s="1">
        <f>(H42*1000)/'Household Size'!$G$4</f>
        <v>1408750</v>
      </c>
      <c r="Z42" s="1">
        <f>(I42*1000)/'Household Size'!$H$4</f>
        <v>1660521.739</v>
      </c>
      <c r="AA42" s="1">
        <f>(J42*1000)/'Household Size'!$I$4</f>
        <v>1886871.111</v>
      </c>
      <c r="AB42" s="1">
        <f>(K42*1000)/'Household Size'!$J$4</f>
        <v>2166244.186</v>
      </c>
      <c r="AC42" s="1">
        <f>(L42*1000)/'Household Size'!$K$4</f>
        <v>2413261.905</v>
      </c>
      <c r="AD42" s="1">
        <f>(M42*1000)/'Household Size'!$L$4</f>
        <v>2730925</v>
      </c>
      <c r="AE42" s="1">
        <f>(N42*1000)/'Household Size'!$M$4</f>
        <v>3068263.158</v>
      </c>
      <c r="AF42" s="1">
        <f>(O42*1000)/'Household Size'!$N$4</f>
        <v>3332945.946</v>
      </c>
    </row>
    <row r="43" ht="14.25" customHeight="1">
      <c r="A43" s="1" t="s">
        <v>34</v>
      </c>
      <c r="B43" s="1" t="s">
        <v>69</v>
      </c>
      <c r="C43" s="1">
        <v>11758.0</v>
      </c>
      <c r="D43" s="1">
        <v>13375.0</v>
      </c>
      <c r="E43" s="1">
        <v>14917.0</v>
      </c>
      <c r="F43" s="1">
        <v>16554.0</v>
      </c>
      <c r="G43" s="1">
        <v>18199.0</v>
      </c>
      <c r="H43" s="1">
        <v>19741.0</v>
      </c>
      <c r="I43" s="1">
        <v>21527.9</v>
      </c>
      <c r="J43" s="1">
        <v>23681.5</v>
      </c>
      <c r="K43" s="1">
        <v>25765.0</v>
      </c>
      <c r="L43" s="1">
        <v>28508.4</v>
      </c>
      <c r="M43" s="1">
        <v>31131.7</v>
      </c>
      <c r="N43" s="1">
        <v>34432.0</v>
      </c>
      <c r="O43" s="1">
        <v>37545.7</v>
      </c>
      <c r="R43" s="1" t="s">
        <v>34</v>
      </c>
      <c r="S43" s="1" t="s">
        <v>69</v>
      </c>
      <c r="T43" s="1">
        <f>(C43*1000)/'Household Size'!$B$4</f>
        <v>2099642.857</v>
      </c>
      <c r="U43" s="1">
        <f>(D43*1000)/'Household Size'!$C$4</f>
        <v>2476851.852</v>
      </c>
      <c r="V43" s="1">
        <f>(E43*1000)/'Household Size'!$D$4</f>
        <v>2814528.302</v>
      </c>
      <c r="W43" s="1">
        <f>(F43*1000)/'Household Size'!$E$4</f>
        <v>3245882.353</v>
      </c>
      <c r="X43" s="1">
        <f>(G43*1000)/'Household Size'!$F$4</f>
        <v>3639800</v>
      </c>
      <c r="Y43" s="1">
        <f>(H43*1000)/'Household Size'!$G$4</f>
        <v>4112708.333</v>
      </c>
      <c r="Z43" s="1">
        <f>(I43*1000)/'Household Size'!$H$4</f>
        <v>4679978.261</v>
      </c>
      <c r="AA43" s="1">
        <f>(J43*1000)/'Household Size'!$I$4</f>
        <v>5262555.556</v>
      </c>
      <c r="AB43" s="1">
        <f>(K43*1000)/'Household Size'!$J$4</f>
        <v>5991860.465</v>
      </c>
      <c r="AC43" s="1">
        <f>(L43*1000)/'Household Size'!$K$4</f>
        <v>6787714.286</v>
      </c>
      <c r="AD43" s="1">
        <f>(M43*1000)/'Household Size'!$L$4</f>
        <v>7782925</v>
      </c>
      <c r="AE43" s="1">
        <f>(N43*1000)/'Household Size'!$M$4</f>
        <v>9061052.632</v>
      </c>
      <c r="AF43" s="1">
        <f>(O43*1000)/'Household Size'!$N$4</f>
        <v>10147486.49</v>
      </c>
    </row>
    <row r="44" ht="14.25" customHeight="1">
      <c r="A44" s="1" t="s">
        <v>35</v>
      </c>
      <c r="B44" s="1" t="s">
        <v>69</v>
      </c>
      <c r="C44" s="1">
        <v>5937.0</v>
      </c>
      <c r="D44" s="1">
        <v>6858.0</v>
      </c>
      <c r="E44" s="1">
        <v>7810.0</v>
      </c>
      <c r="F44" s="1">
        <v>8763.0</v>
      </c>
      <c r="G44" s="1">
        <v>9708.0</v>
      </c>
      <c r="H44" s="1">
        <v>10660.0</v>
      </c>
      <c r="I44" s="1">
        <v>11597.2</v>
      </c>
      <c r="J44" s="1">
        <v>11991.7</v>
      </c>
      <c r="K44" s="1">
        <v>12324.9</v>
      </c>
      <c r="L44" s="1">
        <v>12633.4</v>
      </c>
      <c r="M44" s="1">
        <v>12891.7</v>
      </c>
      <c r="N44" s="1">
        <v>13088.8</v>
      </c>
      <c r="O44" s="1">
        <v>13221.4</v>
      </c>
      <c r="R44" s="1" t="s">
        <v>35</v>
      </c>
      <c r="S44" s="1" t="s">
        <v>69</v>
      </c>
      <c r="T44" s="1">
        <f>(C44*1000)/'Household Size'!$B$4</f>
        <v>1060178.571</v>
      </c>
      <c r="U44" s="1">
        <f>(D44*1000)/'Household Size'!$C$4</f>
        <v>1270000</v>
      </c>
      <c r="V44" s="1">
        <f>(E44*1000)/'Household Size'!$D$4</f>
        <v>1473584.906</v>
      </c>
      <c r="W44" s="1">
        <f>(F44*1000)/'Household Size'!$E$4</f>
        <v>1718235.294</v>
      </c>
      <c r="X44" s="1">
        <f>(G44*1000)/'Household Size'!$F$4</f>
        <v>1941600</v>
      </c>
      <c r="Y44" s="1">
        <f>(H44*1000)/'Household Size'!$G$4</f>
        <v>2220833.333</v>
      </c>
      <c r="Z44" s="1">
        <f>(I44*1000)/'Household Size'!$H$4</f>
        <v>2521130.435</v>
      </c>
      <c r="AA44" s="1">
        <f>(J44*1000)/'Household Size'!$I$4</f>
        <v>2664822.222</v>
      </c>
      <c r="AB44" s="1">
        <f>(K44*1000)/'Household Size'!$J$4</f>
        <v>2866255.814</v>
      </c>
      <c r="AC44" s="1">
        <f>(L44*1000)/'Household Size'!$K$4</f>
        <v>3007952.381</v>
      </c>
      <c r="AD44" s="1">
        <f>(M44*1000)/'Household Size'!$L$4</f>
        <v>3222925</v>
      </c>
      <c r="AE44" s="1">
        <f>(N44*1000)/'Household Size'!$M$4</f>
        <v>3444421.053</v>
      </c>
      <c r="AF44" s="1">
        <f>(O44*1000)/'Household Size'!$N$4</f>
        <v>3573351.351</v>
      </c>
    </row>
    <row r="45" ht="14.25" customHeight="1">
      <c r="A45" s="1" t="s">
        <v>36</v>
      </c>
      <c r="B45" s="1" t="s">
        <v>69</v>
      </c>
      <c r="C45" s="1">
        <v>1026.0</v>
      </c>
      <c r="D45" s="1">
        <v>1123.0</v>
      </c>
      <c r="E45" s="1">
        <v>1195.92</v>
      </c>
      <c r="F45" s="1">
        <v>1254.33</v>
      </c>
      <c r="G45" s="1">
        <v>1317.69</v>
      </c>
      <c r="H45" s="1">
        <v>1382.04</v>
      </c>
      <c r="I45" s="1">
        <v>1445.4</v>
      </c>
      <c r="J45" s="1">
        <v>1533.51</v>
      </c>
      <c r="K45" s="1">
        <v>1609.74</v>
      </c>
      <c r="L45" s="1">
        <v>1670.13</v>
      </c>
      <c r="M45" s="1">
        <v>1718.64</v>
      </c>
      <c r="N45" s="1">
        <v>1759.23</v>
      </c>
      <c r="O45" s="1">
        <v>1790.91</v>
      </c>
      <c r="R45" s="1" t="s">
        <v>36</v>
      </c>
      <c r="S45" s="1" t="s">
        <v>69</v>
      </c>
      <c r="T45" s="1">
        <f>(C45*1000)/'Household Size'!$B$4</f>
        <v>183214.2857</v>
      </c>
      <c r="U45" s="1">
        <f>(D45*1000)/'Household Size'!$C$4</f>
        <v>207962.963</v>
      </c>
      <c r="V45" s="1">
        <f>(E45*1000)/'Household Size'!$D$4</f>
        <v>225645.283</v>
      </c>
      <c r="W45" s="1">
        <f>(F45*1000)/'Household Size'!$E$4</f>
        <v>245947.0588</v>
      </c>
      <c r="X45" s="1">
        <f>(G45*1000)/'Household Size'!$F$4</f>
        <v>263538</v>
      </c>
      <c r="Y45" s="1">
        <f>(H45*1000)/'Household Size'!$G$4</f>
        <v>287925</v>
      </c>
      <c r="Z45" s="1">
        <f>(I45*1000)/'Household Size'!$H$4</f>
        <v>314217.3913</v>
      </c>
      <c r="AA45" s="1">
        <f>(J45*1000)/'Household Size'!$I$4</f>
        <v>340780</v>
      </c>
      <c r="AB45" s="1">
        <f>(K45*1000)/'Household Size'!$J$4</f>
        <v>374358.1395</v>
      </c>
      <c r="AC45" s="1">
        <f>(L45*1000)/'Household Size'!$K$4</f>
        <v>397650</v>
      </c>
      <c r="AD45" s="1">
        <f>(M45*1000)/'Household Size'!$L$4</f>
        <v>429660</v>
      </c>
      <c r="AE45" s="1">
        <f>(N45*1000)/'Household Size'!$M$4</f>
        <v>462955.2632</v>
      </c>
      <c r="AF45" s="1">
        <f>(O45*1000)/'Household Size'!$N$4</f>
        <v>484029.7297</v>
      </c>
    </row>
    <row r="46" ht="14.25" customHeight="1">
      <c r="A46" s="1" t="s">
        <v>37</v>
      </c>
      <c r="B46" s="1" t="s">
        <v>69</v>
      </c>
      <c r="C46" s="1">
        <v>183.0</v>
      </c>
      <c r="D46" s="1">
        <v>287.0</v>
      </c>
      <c r="E46" s="1">
        <v>441.0</v>
      </c>
      <c r="F46" s="1">
        <v>686.0</v>
      </c>
      <c r="G46" s="1">
        <v>1056.87</v>
      </c>
      <c r="H46" s="1">
        <v>1426.78</v>
      </c>
      <c r="I46" s="1">
        <v>1784.97</v>
      </c>
      <c r="J46" s="1">
        <v>2147.31</v>
      </c>
      <c r="K46" s="1">
        <v>2385.9</v>
      </c>
      <c r="L46" s="1">
        <v>2625.48</v>
      </c>
      <c r="M46" s="1">
        <v>2723.49</v>
      </c>
      <c r="N46" s="1">
        <v>2807.64</v>
      </c>
      <c r="O46" s="1">
        <v>2876.94</v>
      </c>
      <c r="R46" s="1" t="s">
        <v>37</v>
      </c>
      <c r="S46" s="1" t="s">
        <v>69</v>
      </c>
      <c r="T46" s="1">
        <f>(C46*1000)/'Household Size'!$B$4</f>
        <v>32678.57143</v>
      </c>
      <c r="U46" s="1">
        <f>(D46*1000)/'Household Size'!$C$4</f>
        <v>53148.14815</v>
      </c>
      <c r="V46" s="1">
        <f>(E46*1000)/'Household Size'!$D$4</f>
        <v>83207.54717</v>
      </c>
      <c r="W46" s="1">
        <f>(F46*1000)/'Household Size'!$E$4</f>
        <v>134509.8039</v>
      </c>
      <c r="X46" s="1">
        <f>(G46*1000)/'Household Size'!$F$4</f>
        <v>211374</v>
      </c>
      <c r="Y46" s="1">
        <f>(H46*1000)/'Household Size'!$G$4</f>
        <v>297245.8333</v>
      </c>
      <c r="Z46" s="1">
        <f>(I46*1000)/'Household Size'!$H$4</f>
        <v>388036.9565</v>
      </c>
      <c r="AA46" s="1">
        <f>(J46*1000)/'Household Size'!$I$4</f>
        <v>477180</v>
      </c>
      <c r="AB46" s="1">
        <f>(K46*1000)/'Household Size'!$J$4</f>
        <v>554860.4651</v>
      </c>
      <c r="AC46" s="1">
        <f>(L46*1000)/'Household Size'!$K$4</f>
        <v>625114.2857</v>
      </c>
      <c r="AD46" s="1">
        <f>(M46*1000)/'Household Size'!$L$4</f>
        <v>680872.5</v>
      </c>
      <c r="AE46" s="1">
        <f>(N46*1000)/'Household Size'!$M$4</f>
        <v>738852.6316</v>
      </c>
      <c r="AF46" s="1">
        <f>(O46*1000)/'Household Size'!$N$4</f>
        <v>777551.3514</v>
      </c>
    </row>
    <row r="47" ht="14.25" customHeight="1">
      <c r="A47" s="1" t="s">
        <v>38</v>
      </c>
      <c r="B47" s="1" t="s">
        <v>69</v>
      </c>
      <c r="C47" s="1">
        <v>16369.0</v>
      </c>
      <c r="D47" s="1">
        <v>18417.0</v>
      </c>
      <c r="E47" s="1">
        <v>20438.0</v>
      </c>
      <c r="F47" s="1">
        <v>22314.6</v>
      </c>
      <c r="G47" s="1">
        <v>24306.5</v>
      </c>
      <c r="H47" s="1">
        <v>26325.1</v>
      </c>
      <c r="I47" s="1">
        <v>28238.8</v>
      </c>
      <c r="J47" s="1">
        <v>29936.6</v>
      </c>
      <c r="K47" s="1">
        <v>31429.5</v>
      </c>
      <c r="L47" s="1">
        <v>32707.6</v>
      </c>
      <c r="M47" s="1">
        <v>33823.3</v>
      </c>
      <c r="N47" s="1">
        <v>34768.8</v>
      </c>
      <c r="O47" s="1">
        <v>35532.1</v>
      </c>
      <c r="R47" s="1" t="s">
        <v>38</v>
      </c>
      <c r="S47" s="1" t="s">
        <v>69</v>
      </c>
      <c r="T47" s="1">
        <f>(C47*1000)/'Household Size'!$B$4</f>
        <v>2923035.714</v>
      </c>
      <c r="U47" s="1">
        <f>(D47*1000)/'Household Size'!$C$4</f>
        <v>3410555.556</v>
      </c>
      <c r="V47" s="1">
        <f>(E47*1000)/'Household Size'!$D$4</f>
        <v>3856226.415</v>
      </c>
      <c r="W47" s="1">
        <f>(F47*1000)/'Household Size'!$E$4</f>
        <v>4375411.765</v>
      </c>
      <c r="X47" s="1">
        <f>(G47*1000)/'Household Size'!$F$4</f>
        <v>4861300</v>
      </c>
      <c r="Y47" s="1">
        <f>(H47*1000)/'Household Size'!$G$4</f>
        <v>5484395.833</v>
      </c>
      <c r="Z47" s="1">
        <f>(I47*1000)/'Household Size'!$H$4</f>
        <v>6138869.565</v>
      </c>
      <c r="AA47" s="1">
        <f>(J47*1000)/'Household Size'!$I$4</f>
        <v>6652577.778</v>
      </c>
      <c r="AB47" s="1">
        <f>(K47*1000)/'Household Size'!$J$4</f>
        <v>7309186.047</v>
      </c>
      <c r="AC47" s="1">
        <f>(L47*1000)/'Household Size'!$K$4</f>
        <v>7787523.81</v>
      </c>
      <c r="AD47" s="1">
        <f>(M47*1000)/'Household Size'!$L$4</f>
        <v>8455825</v>
      </c>
      <c r="AE47" s="1">
        <f>(N47*1000)/'Household Size'!$M$4</f>
        <v>9149684.211</v>
      </c>
      <c r="AF47" s="1">
        <f>(O47*1000)/'Household Size'!$N$4</f>
        <v>9603270.27</v>
      </c>
    </row>
    <row r="48" ht="14.25" customHeight="1">
      <c r="A48" s="1" t="s">
        <v>39</v>
      </c>
      <c r="B48" s="1" t="s">
        <v>69</v>
      </c>
      <c r="C48" s="1">
        <v>161.0</v>
      </c>
      <c r="D48" s="1">
        <v>264.0</v>
      </c>
      <c r="E48" s="1">
        <v>408.0</v>
      </c>
      <c r="F48" s="1">
        <v>613.0</v>
      </c>
      <c r="G48" s="1">
        <v>916.0</v>
      </c>
      <c r="H48" s="1">
        <v>1227.16</v>
      </c>
      <c r="I48" s="1">
        <v>1481.76</v>
      </c>
      <c r="J48" s="1">
        <v>1677.86</v>
      </c>
      <c r="K48" s="1">
        <v>1880.56</v>
      </c>
      <c r="L48" s="1">
        <v>2007.9</v>
      </c>
      <c r="M48" s="1">
        <v>2097.55</v>
      </c>
      <c r="N48" s="1">
        <v>2156.7</v>
      </c>
      <c r="O48" s="1">
        <v>2204.93</v>
      </c>
      <c r="R48" s="1" t="s">
        <v>39</v>
      </c>
      <c r="S48" s="1" t="s">
        <v>69</v>
      </c>
      <c r="T48" s="1">
        <f>(C48*1000)/'Household Size'!$B$4</f>
        <v>28750</v>
      </c>
      <c r="U48" s="1">
        <f>(D48*1000)/'Household Size'!$C$4</f>
        <v>48888.88889</v>
      </c>
      <c r="V48" s="1">
        <f>(E48*1000)/'Household Size'!$D$4</f>
        <v>76981.13208</v>
      </c>
      <c r="W48" s="1">
        <f>(F48*1000)/'Household Size'!$E$4</f>
        <v>120196.0784</v>
      </c>
      <c r="X48" s="1">
        <f>(G48*1000)/'Household Size'!$F$4</f>
        <v>183200</v>
      </c>
      <c r="Y48" s="1">
        <f>(H48*1000)/'Household Size'!$G$4</f>
        <v>255658.3333</v>
      </c>
      <c r="Z48" s="1">
        <f>(I48*1000)/'Household Size'!$H$4</f>
        <v>322121.7391</v>
      </c>
      <c r="AA48" s="1">
        <f>(J48*1000)/'Household Size'!$I$4</f>
        <v>372857.7778</v>
      </c>
      <c r="AB48" s="1">
        <f>(K48*1000)/'Household Size'!$J$4</f>
        <v>437339.5349</v>
      </c>
      <c r="AC48" s="1">
        <f>(L48*1000)/'Household Size'!$K$4</f>
        <v>478071.4286</v>
      </c>
      <c r="AD48" s="1">
        <f>(M48*1000)/'Household Size'!$L$4</f>
        <v>524387.5</v>
      </c>
      <c r="AE48" s="1">
        <f>(N48*1000)/'Household Size'!$M$4</f>
        <v>567552.6316</v>
      </c>
      <c r="AF48" s="1">
        <f>(O48*1000)/'Household Size'!$N$4</f>
        <v>595927.027</v>
      </c>
    </row>
    <row r="49" ht="14.25" customHeight="1">
      <c r="A49" s="1" t="s">
        <v>40</v>
      </c>
      <c r="B49" s="1" t="s">
        <v>69</v>
      </c>
      <c r="C49" s="1">
        <v>907.0</v>
      </c>
      <c r="D49" s="1">
        <v>1029.0</v>
      </c>
      <c r="E49" s="1">
        <v>1148.0</v>
      </c>
      <c r="F49" s="1">
        <v>1262.0</v>
      </c>
      <c r="G49" s="1">
        <v>1369.0</v>
      </c>
      <c r="H49" s="1">
        <v>1482.0</v>
      </c>
      <c r="I49" s="1">
        <v>1545.66</v>
      </c>
      <c r="J49" s="1">
        <v>1600.2</v>
      </c>
      <c r="K49" s="1">
        <v>1655.29</v>
      </c>
      <c r="L49" s="1">
        <v>1699.24</v>
      </c>
      <c r="M49" s="1">
        <v>1716.72</v>
      </c>
      <c r="N49" s="1">
        <v>1725.92</v>
      </c>
      <c r="O49" s="1">
        <v>1725.0</v>
      </c>
      <c r="R49" s="1" t="s">
        <v>40</v>
      </c>
      <c r="S49" s="1" t="s">
        <v>69</v>
      </c>
      <c r="T49" s="1">
        <f>(C49*1000)/'Household Size'!$B$4</f>
        <v>161964.2857</v>
      </c>
      <c r="U49" s="1">
        <f>(D49*1000)/'Household Size'!$C$4</f>
        <v>190555.5556</v>
      </c>
      <c r="V49" s="1">
        <f>(E49*1000)/'Household Size'!$D$4</f>
        <v>216603.7736</v>
      </c>
      <c r="W49" s="1">
        <f>(F49*1000)/'Household Size'!$E$4</f>
        <v>247450.9804</v>
      </c>
      <c r="X49" s="1">
        <f>(G49*1000)/'Household Size'!$F$4</f>
        <v>273800</v>
      </c>
      <c r="Y49" s="1">
        <f>(H49*1000)/'Household Size'!$G$4</f>
        <v>308750</v>
      </c>
      <c r="Z49" s="1">
        <f>(I49*1000)/'Household Size'!$H$4</f>
        <v>336013.0435</v>
      </c>
      <c r="AA49" s="1">
        <f>(J49*1000)/'Household Size'!$I$4</f>
        <v>355600</v>
      </c>
      <c r="AB49" s="1">
        <f>(K49*1000)/'Household Size'!$J$4</f>
        <v>384951.1628</v>
      </c>
      <c r="AC49" s="1">
        <f>(L49*1000)/'Household Size'!$K$4</f>
        <v>404580.9524</v>
      </c>
      <c r="AD49" s="1">
        <f>(M49*1000)/'Household Size'!$L$4</f>
        <v>429180</v>
      </c>
      <c r="AE49" s="1">
        <f>(N49*1000)/'Household Size'!$M$4</f>
        <v>454189.4737</v>
      </c>
      <c r="AF49" s="1">
        <f>(O49*1000)/'Household Size'!$N$4</f>
        <v>466216.2162</v>
      </c>
    </row>
    <row r="50" ht="14.25" customHeight="1">
      <c r="A50" s="1" t="s">
        <v>41</v>
      </c>
      <c r="B50" s="1" t="s">
        <v>69</v>
      </c>
      <c r="C50" s="1">
        <v>25745.0</v>
      </c>
      <c r="D50" s="1">
        <v>29457.0</v>
      </c>
      <c r="E50" s="1">
        <v>33315.0</v>
      </c>
      <c r="F50" s="1">
        <v>37192.0</v>
      </c>
      <c r="G50" s="1">
        <v>41002.0</v>
      </c>
      <c r="H50" s="1">
        <v>44717.0</v>
      </c>
      <c r="I50" s="1">
        <v>48300.9</v>
      </c>
      <c r="J50" s="1">
        <v>50425.4</v>
      </c>
      <c r="K50" s="1">
        <v>52324.6</v>
      </c>
      <c r="L50" s="1">
        <v>53993.0</v>
      </c>
      <c r="M50" s="1">
        <v>55426.0</v>
      </c>
      <c r="N50" s="1">
        <v>56607.2</v>
      </c>
      <c r="O50" s="1">
        <v>57520.5</v>
      </c>
      <c r="R50" s="1" t="s">
        <v>41</v>
      </c>
      <c r="S50" s="1" t="s">
        <v>69</v>
      </c>
      <c r="T50" s="1">
        <f>(C50*1000)/'Household Size'!$B$4</f>
        <v>4597321.429</v>
      </c>
      <c r="U50" s="1">
        <f>(D50*1000)/'Household Size'!$C$4</f>
        <v>5455000</v>
      </c>
      <c r="V50" s="1">
        <f>(E50*1000)/'Household Size'!$D$4</f>
        <v>6285849.057</v>
      </c>
      <c r="W50" s="1">
        <f>(F50*1000)/'Household Size'!$E$4</f>
        <v>7292549.02</v>
      </c>
      <c r="X50" s="1">
        <f>(G50*1000)/'Household Size'!$F$4</f>
        <v>8200400</v>
      </c>
      <c r="Y50" s="1">
        <f>(H50*1000)/'Household Size'!$G$4</f>
        <v>9316041.667</v>
      </c>
      <c r="Z50" s="1">
        <f>(I50*1000)/'Household Size'!$H$4</f>
        <v>10500195.65</v>
      </c>
      <c r="AA50" s="1">
        <f>(J50*1000)/'Household Size'!$I$4</f>
        <v>11205644.44</v>
      </c>
      <c r="AB50" s="1">
        <f>(K50*1000)/'Household Size'!$J$4</f>
        <v>12168511.63</v>
      </c>
      <c r="AC50" s="1">
        <f>(L50*1000)/'Household Size'!$K$4</f>
        <v>12855476.19</v>
      </c>
      <c r="AD50" s="1">
        <f>(M50*1000)/'Household Size'!$L$4</f>
        <v>13856500</v>
      </c>
      <c r="AE50" s="1">
        <f>(N50*1000)/'Household Size'!$M$4</f>
        <v>14896631.58</v>
      </c>
      <c r="AF50" s="1">
        <f>(O50*1000)/'Household Size'!$N$4</f>
        <v>15546081.08</v>
      </c>
    </row>
    <row r="51" ht="14.25" customHeight="1">
      <c r="A51" s="1" t="s">
        <v>42</v>
      </c>
      <c r="B51" s="1" t="s">
        <v>69</v>
      </c>
      <c r="C51" s="1">
        <v>689.0</v>
      </c>
      <c r="D51" s="1">
        <v>726.0</v>
      </c>
      <c r="E51" s="1">
        <v>759.0</v>
      </c>
      <c r="F51" s="1">
        <v>787.0</v>
      </c>
      <c r="G51" s="1">
        <v>810.0</v>
      </c>
      <c r="H51" s="1">
        <v>831.568</v>
      </c>
      <c r="I51" s="1">
        <v>870.528</v>
      </c>
      <c r="J51" s="1">
        <v>909.02</v>
      </c>
      <c r="K51" s="1">
        <v>942.86</v>
      </c>
      <c r="L51" s="1">
        <v>973.98</v>
      </c>
      <c r="M51" s="1">
        <v>1000.76</v>
      </c>
      <c r="N51" s="1">
        <v>1022.33</v>
      </c>
      <c r="O51" s="1">
        <v>1038.13</v>
      </c>
      <c r="R51" s="1" t="s">
        <v>42</v>
      </c>
      <c r="S51" s="1" t="s">
        <v>69</v>
      </c>
      <c r="T51" s="1">
        <f>(C51*1000)/'Household Size'!$B$4</f>
        <v>123035.7143</v>
      </c>
      <c r="U51" s="1">
        <f>(D51*1000)/'Household Size'!$C$4</f>
        <v>134444.4444</v>
      </c>
      <c r="V51" s="1">
        <f>(E51*1000)/'Household Size'!$D$4</f>
        <v>143207.5472</v>
      </c>
      <c r="W51" s="1">
        <f>(F51*1000)/'Household Size'!$E$4</f>
        <v>154313.7255</v>
      </c>
      <c r="X51" s="1">
        <f>(G51*1000)/'Household Size'!$F$4</f>
        <v>162000</v>
      </c>
      <c r="Y51" s="1">
        <f>(H51*1000)/'Household Size'!$G$4</f>
        <v>173243.3333</v>
      </c>
      <c r="Z51" s="1">
        <f>(I51*1000)/'Household Size'!$H$4</f>
        <v>189245.2174</v>
      </c>
      <c r="AA51" s="1">
        <f>(J51*1000)/'Household Size'!$I$4</f>
        <v>202004.4444</v>
      </c>
      <c r="AB51" s="1">
        <f>(K51*1000)/'Household Size'!$J$4</f>
        <v>219269.7674</v>
      </c>
      <c r="AC51" s="1">
        <f>(L51*1000)/'Household Size'!$K$4</f>
        <v>231900</v>
      </c>
      <c r="AD51" s="1">
        <f>(M51*1000)/'Household Size'!$L$4</f>
        <v>250190</v>
      </c>
      <c r="AE51" s="1">
        <f>(N51*1000)/'Household Size'!$M$4</f>
        <v>269034.2105</v>
      </c>
      <c r="AF51" s="1">
        <f>(O51*1000)/'Household Size'!$N$4</f>
        <v>280575.6757</v>
      </c>
    </row>
    <row r="52" ht="14.25" customHeight="1">
      <c r="A52" s="1" t="s">
        <v>43</v>
      </c>
      <c r="B52" s="1" t="s">
        <v>69</v>
      </c>
      <c r="C52" s="1">
        <v>8842.0</v>
      </c>
      <c r="D52" s="1">
        <v>10415.0</v>
      </c>
      <c r="E52" s="1">
        <v>12064.0</v>
      </c>
      <c r="F52" s="1">
        <v>13723.0</v>
      </c>
      <c r="G52" s="1">
        <v>15397.0</v>
      </c>
      <c r="H52" s="1">
        <v>17094.0</v>
      </c>
      <c r="I52" s="1">
        <v>19183.5</v>
      </c>
      <c r="J52" s="1">
        <v>20472.7</v>
      </c>
      <c r="K52" s="1">
        <v>21688.1</v>
      </c>
      <c r="L52" s="1">
        <v>22827.3</v>
      </c>
      <c r="M52" s="1">
        <v>23897.0</v>
      </c>
      <c r="N52" s="1">
        <v>24885.7</v>
      </c>
      <c r="O52" s="1">
        <v>25779.5</v>
      </c>
      <c r="R52" s="1" t="s">
        <v>43</v>
      </c>
      <c r="S52" s="1" t="s">
        <v>69</v>
      </c>
      <c r="T52" s="1">
        <f>(C52*1000)/'Household Size'!$B$4</f>
        <v>1578928.571</v>
      </c>
      <c r="U52" s="1">
        <f>(D52*1000)/'Household Size'!$C$4</f>
        <v>1928703.704</v>
      </c>
      <c r="V52" s="1">
        <f>(E52*1000)/'Household Size'!$D$4</f>
        <v>2276226.415</v>
      </c>
      <c r="W52" s="1">
        <f>(F52*1000)/'Household Size'!$E$4</f>
        <v>2690784.314</v>
      </c>
      <c r="X52" s="1">
        <f>(G52*1000)/'Household Size'!$F$4</f>
        <v>3079400</v>
      </c>
      <c r="Y52" s="1">
        <f>(H52*1000)/'Household Size'!$G$4</f>
        <v>3561250</v>
      </c>
      <c r="Z52" s="1">
        <f>(I52*1000)/'Household Size'!$H$4</f>
        <v>4170326.087</v>
      </c>
      <c r="AA52" s="1">
        <f>(J52*1000)/'Household Size'!$I$4</f>
        <v>4549488.889</v>
      </c>
      <c r="AB52" s="1">
        <f>(K52*1000)/'Household Size'!$J$4</f>
        <v>5043744.186</v>
      </c>
      <c r="AC52" s="1">
        <f>(L52*1000)/'Household Size'!$K$4</f>
        <v>5435071.429</v>
      </c>
      <c r="AD52" s="1">
        <f>(M52*1000)/'Household Size'!$L$4</f>
        <v>5974250</v>
      </c>
      <c r="AE52" s="1">
        <f>(N52*1000)/'Household Size'!$M$4</f>
        <v>6548868.421</v>
      </c>
      <c r="AF52" s="1">
        <f>(O52*1000)/'Household Size'!$N$4</f>
        <v>6967432.432</v>
      </c>
    </row>
    <row r="53" ht="14.25" customHeight="1">
      <c r="A53" s="1" t="s">
        <v>44</v>
      </c>
      <c r="B53" s="1" t="s">
        <v>69</v>
      </c>
      <c r="C53" s="1">
        <v>7933.0</v>
      </c>
      <c r="D53" s="1">
        <v>8933.0</v>
      </c>
      <c r="E53" s="1">
        <v>9938.0</v>
      </c>
      <c r="F53" s="1">
        <v>10932.0</v>
      </c>
      <c r="G53" s="1">
        <v>11899.0</v>
      </c>
      <c r="H53" s="1">
        <v>12816.0</v>
      </c>
      <c r="I53" s="1">
        <v>13618.6</v>
      </c>
      <c r="J53" s="1">
        <v>14346.8</v>
      </c>
      <c r="K53" s="1">
        <v>15006.0</v>
      </c>
      <c r="L53" s="1">
        <v>15564.3</v>
      </c>
      <c r="M53" s="1">
        <v>16039.6</v>
      </c>
      <c r="N53" s="1">
        <v>16432.5</v>
      </c>
      <c r="O53" s="1">
        <v>16738.8</v>
      </c>
      <c r="R53" s="1" t="s">
        <v>44</v>
      </c>
      <c r="S53" s="1" t="s">
        <v>69</v>
      </c>
      <c r="T53" s="1">
        <f>(C53*1000)/'Household Size'!$B$4</f>
        <v>1416607.143</v>
      </c>
      <c r="U53" s="1">
        <f>(D53*1000)/'Household Size'!$C$4</f>
        <v>1654259.259</v>
      </c>
      <c r="V53" s="1">
        <f>(E53*1000)/'Household Size'!$D$4</f>
        <v>1875094.34</v>
      </c>
      <c r="W53" s="1">
        <f>(F53*1000)/'Household Size'!$E$4</f>
        <v>2143529.412</v>
      </c>
      <c r="X53" s="1">
        <f>(G53*1000)/'Household Size'!$F$4</f>
        <v>2379800</v>
      </c>
      <c r="Y53" s="1">
        <f>(H53*1000)/'Household Size'!$G$4</f>
        <v>2670000</v>
      </c>
      <c r="Z53" s="1">
        <f>(I53*1000)/'Household Size'!$H$4</f>
        <v>2960565.217</v>
      </c>
      <c r="AA53" s="1">
        <f>(J53*1000)/'Household Size'!$I$4</f>
        <v>3188177.778</v>
      </c>
      <c r="AB53" s="1">
        <f>(K53*1000)/'Household Size'!$J$4</f>
        <v>3489767.442</v>
      </c>
      <c r="AC53" s="1">
        <f>(L53*1000)/'Household Size'!$K$4</f>
        <v>3705785.714</v>
      </c>
      <c r="AD53" s="1">
        <f>(M53*1000)/'Household Size'!$L$4</f>
        <v>4009900</v>
      </c>
      <c r="AE53" s="1">
        <f>(N53*1000)/'Household Size'!$M$4</f>
        <v>4324342.105</v>
      </c>
      <c r="AF53" s="1">
        <f>(O53*1000)/'Household Size'!$N$4</f>
        <v>4524000</v>
      </c>
    </row>
    <row r="54" ht="14.25" customHeight="1">
      <c r="A54" s="1" t="s">
        <v>45</v>
      </c>
      <c r="B54" s="1" t="s">
        <v>69</v>
      </c>
      <c r="C54" s="1">
        <v>3371.0</v>
      </c>
      <c r="D54" s="1">
        <v>3708.0</v>
      </c>
      <c r="E54" s="1">
        <v>4026.0</v>
      </c>
      <c r="F54" s="1">
        <v>4351.0</v>
      </c>
      <c r="G54" s="1">
        <v>4684.0</v>
      </c>
      <c r="H54" s="1">
        <v>5005.0</v>
      </c>
      <c r="I54" s="1">
        <v>5411.66</v>
      </c>
      <c r="J54" s="1">
        <v>5636.12</v>
      </c>
      <c r="K54" s="1">
        <v>5830.61</v>
      </c>
      <c r="L54" s="1">
        <v>5997.91</v>
      </c>
      <c r="M54" s="1">
        <v>6137.63</v>
      </c>
      <c r="N54" s="1">
        <v>6248.24</v>
      </c>
      <c r="O54" s="1">
        <v>6328.57</v>
      </c>
      <c r="R54" s="1" t="s">
        <v>45</v>
      </c>
      <c r="S54" s="1" t="s">
        <v>69</v>
      </c>
      <c r="T54" s="1">
        <f>(C54*1000)/'Household Size'!$B$4</f>
        <v>601964.2857</v>
      </c>
      <c r="U54" s="1">
        <f>(D54*1000)/'Household Size'!$C$4</f>
        <v>686666.6667</v>
      </c>
      <c r="V54" s="1">
        <f>(E54*1000)/'Household Size'!$D$4</f>
        <v>759622.6415</v>
      </c>
      <c r="W54" s="1">
        <f>(F54*1000)/'Household Size'!$E$4</f>
        <v>853137.2549</v>
      </c>
      <c r="X54" s="1">
        <f>(G54*1000)/'Household Size'!$F$4</f>
        <v>936800</v>
      </c>
      <c r="Y54" s="1">
        <f>(H54*1000)/'Household Size'!$G$4</f>
        <v>1042708.333</v>
      </c>
      <c r="Z54" s="1">
        <f>(I54*1000)/'Household Size'!$H$4</f>
        <v>1176447.826</v>
      </c>
      <c r="AA54" s="1">
        <f>(J54*1000)/'Household Size'!$I$4</f>
        <v>1252471.111</v>
      </c>
      <c r="AB54" s="1">
        <f>(K54*1000)/'Household Size'!$J$4</f>
        <v>1355955.814</v>
      </c>
      <c r="AC54" s="1">
        <f>(L54*1000)/'Household Size'!$K$4</f>
        <v>1428073.81</v>
      </c>
      <c r="AD54" s="1">
        <f>(M54*1000)/'Household Size'!$L$4</f>
        <v>1534407.5</v>
      </c>
      <c r="AE54" s="1">
        <f>(N54*1000)/'Household Size'!$M$4</f>
        <v>1644273.684</v>
      </c>
      <c r="AF54" s="1">
        <f>(O54*1000)/'Household Size'!$N$4</f>
        <v>1710424.324</v>
      </c>
    </row>
    <row r="55" ht="14.25" customHeight="1">
      <c r="A55" s="1" t="s">
        <v>46</v>
      </c>
      <c r="B55" s="1" t="s">
        <v>69</v>
      </c>
      <c r="C55" s="1">
        <v>23626.0</v>
      </c>
      <c r="D55" s="1">
        <v>26373.0</v>
      </c>
      <c r="E55" s="1">
        <v>29044.0</v>
      </c>
      <c r="F55" s="1">
        <v>31620.0</v>
      </c>
      <c r="G55" s="1">
        <v>34111.0</v>
      </c>
      <c r="H55" s="1">
        <v>36511.0</v>
      </c>
      <c r="I55" s="1">
        <v>39144.0</v>
      </c>
      <c r="J55" s="1">
        <v>40425.2</v>
      </c>
      <c r="K55" s="1">
        <v>41517.3</v>
      </c>
      <c r="L55" s="1">
        <v>42526.8</v>
      </c>
      <c r="M55" s="1">
        <v>43363.5</v>
      </c>
      <c r="N55" s="1">
        <v>43988.2</v>
      </c>
      <c r="O55" s="1">
        <v>44393.3</v>
      </c>
      <c r="R55" s="1" t="s">
        <v>46</v>
      </c>
      <c r="S55" s="1" t="s">
        <v>69</v>
      </c>
      <c r="T55" s="1">
        <f>(C55*1000)/'Household Size'!$B$4</f>
        <v>4218928.571</v>
      </c>
      <c r="U55" s="1">
        <f>(D55*1000)/'Household Size'!$C$4</f>
        <v>4883888.889</v>
      </c>
      <c r="V55" s="1">
        <f>(E55*1000)/'Household Size'!$D$4</f>
        <v>5480000</v>
      </c>
      <c r="W55" s="1">
        <f>(F55*1000)/'Household Size'!$E$4</f>
        <v>6200000</v>
      </c>
      <c r="X55" s="1">
        <f>(G55*1000)/'Household Size'!$F$4</f>
        <v>6822200</v>
      </c>
      <c r="Y55" s="1">
        <f>(H55*1000)/'Household Size'!$G$4</f>
        <v>7606458.333</v>
      </c>
      <c r="Z55" s="1">
        <f>(I55*1000)/'Household Size'!$H$4</f>
        <v>8509565.217</v>
      </c>
      <c r="AA55" s="1">
        <f>(J55*1000)/'Household Size'!$I$4</f>
        <v>8983377.778</v>
      </c>
      <c r="AB55" s="1">
        <f>(K55*1000)/'Household Size'!$J$4</f>
        <v>9655186.047</v>
      </c>
      <c r="AC55" s="1">
        <f>(L55*1000)/'Household Size'!$K$4</f>
        <v>10125428.57</v>
      </c>
      <c r="AD55" s="1">
        <f>(M55*1000)/'Household Size'!$L$4</f>
        <v>10840875</v>
      </c>
      <c r="AE55" s="1">
        <f>(N55*1000)/'Household Size'!$M$4</f>
        <v>11575842.11</v>
      </c>
      <c r="AF55" s="1">
        <f>(O55*1000)/'Household Size'!$N$4</f>
        <v>11998189.19</v>
      </c>
    </row>
    <row r="56" ht="14.25" customHeight="1">
      <c r="A56" s="1" t="s">
        <v>47</v>
      </c>
      <c r="B56" s="1" t="s">
        <v>69</v>
      </c>
      <c r="C56" s="1">
        <v>15935.0</v>
      </c>
      <c r="D56" s="1">
        <v>20602.0</v>
      </c>
      <c r="E56" s="1">
        <v>25200.0</v>
      </c>
      <c r="F56" s="1">
        <v>29465.0</v>
      </c>
      <c r="G56" s="1">
        <v>33051.0</v>
      </c>
      <c r="H56" s="1">
        <v>35630.0</v>
      </c>
      <c r="I56" s="1">
        <v>35611.6</v>
      </c>
      <c r="J56" s="1">
        <v>35152.8</v>
      </c>
      <c r="K56" s="1">
        <v>34521.3</v>
      </c>
      <c r="L56" s="1">
        <v>33952.9</v>
      </c>
      <c r="M56" s="1">
        <v>33256.4</v>
      </c>
      <c r="N56" s="1">
        <v>32390.2</v>
      </c>
      <c r="O56" s="1">
        <v>31365.9</v>
      </c>
      <c r="R56" s="1" t="s">
        <v>47</v>
      </c>
      <c r="S56" s="1" t="s">
        <v>69</v>
      </c>
      <c r="T56" s="1">
        <f>(C56*1000)/'Household Size'!$B$4</f>
        <v>2845535.714</v>
      </c>
      <c r="U56" s="1">
        <f>(D56*1000)/'Household Size'!$C$4</f>
        <v>3815185.185</v>
      </c>
      <c r="V56" s="1">
        <f>(E56*1000)/'Household Size'!$D$4</f>
        <v>4754716.981</v>
      </c>
      <c r="W56" s="1">
        <f>(F56*1000)/'Household Size'!$E$4</f>
        <v>5777450.98</v>
      </c>
      <c r="X56" s="1">
        <f>(G56*1000)/'Household Size'!$F$4</f>
        <v>6610200</v>
      </c>
      <c r="Y56" s="1">
        <f>(H56*1000)/'Household Size'!$G$4</f>
        <v>7422916.667</v>
      </c>
      <c r="Z56" s="1">
        <f>(I56*1000)/'Household Size'!$H$4</f>
        <v>7741652.174</v>
      </c>
      <c r="AA56" s="1">
        <f>(J56*1000)/'Household Size'!$I$4</f>
        <v>7811733.333</v>
      </c>
      <c r="AB56" s="1">
        <f>(K56*1000)/'Household Size'!$J$4</f>
        <v>8028209.302</v>
      </c>
      <c r="AC56" s="1">
        <f>(L56*1000)/'Household Size'!$K$4</f>
        <v>8084023.81</v>
      </c>
      <c r="AD56" s="1">
        <f>(M56*1000)/'Household Size'!$L$4</f>
        <v>8314100</v>
      </c>
      <c r="AE56" s="1">
        <f>(N56*1000)/'Household Size'!$M$4</f>
        <v>8523736.842</v>
      </c>
      <c r="AF56" s="1">
        <f>(O56*1000)/'Household Size'!$N$4</f>
        <v>8477270.27</v>
      </c>
    </row>
    <row r="57" ht="14.25" customHeight="1">
      <c r="A57" s="1" t="s">
        <v>48</v>
      </c>
      <c r="B57" s="1" t="s">
        <v>69</v>
      </c>
      <c r="C57" s="1">
        <v>62.0</v>
      </c>
      <c r="D57" s="1">
        <v>75.0</v>
      </c>
      <c r="E57" s="1">
        <v>88.0</v>
      </c>
      <c r="F57" s="1">
        <v>101.0</v>
      </c>
      <c r="G57" s="1">
        <v>115.0</v>
      </c>
      <c r="H57" s="1">
        <v>130.633</v>
      </c>
      <c r="I57" s="1">
        <v>150.88</v>
      </c>
      <c r="J57" s="1">
        <v>168.5</v>
      </c>
      <c r="K57" s="1">
        <v>182.32</v>
      </c>
      <c r="L57" s="1">
        <v>196.0</v>
      </c>
      <c r="M57" s="1">
        <v>204.74</v>
      </c>
      <c r="N57" s="1">
        <v>213.0</v>
      </c>
      <c r="O57" s="1">
        <v>216.55</v>
      </c>
      <c r="R57" s="1" t="s">
        <v>48</v>
      </c>
      <c r="S57" s="1" t="s">
        <v>69</v>
      </c>
      <c r="T57" s="1">
        <f>(C57*1000)/'Household Size'!$B$4</f>
        <v>11071.42857</v>
      </c>
      <c r="U57" s="1">
        <f>(D57*1000)/'Household Size'!$C$4</f>
        <v>13888.88889</v>
      </c>
      <c r="V57" s="1">
        <f>(E57*1000)/'Household Size'!$D$4</f>
        <v>16603.77358</v>
      </c>
      <c r="W57" s="1">
        <f>(F57*1000)/'Household Size'!$E$4</f>
        <v>19803.92157</v>
      </c>
      <c r="X57" s="1">
        <f>(G57*1000)/'Household Size'!$F$4</f>
        <v>23000</v>
      </c>
      <c r="Y57" s="1">
        <f>(H57*1000)/'Household Size'!$G$4</f>
        <v>27215.20833</v>
      </c>
      <c r="Z57" s="1">
        <f>(I57*1000)/'Household Size'!$H$4</f>
        <v>32800</v>
      </c>
      <c r="AA57" s="1">
        <f>(J57*1000)/'Household Size'!$I$4</f>
        <v>37444.44444</v>
      </c>
      <c r="AB57" s="1">
        <f>(K57*1000)/'Household Size'!$J$4</f>
        <v>42400</v>
      </c>
      <c r="AC57" s="1">
        <f>(L57*1000)/'Household Size'!$K$4</f>
        <v>46666.66667</v>
      </c>
      <c r="AD57" s="1">
        <f>(M57*1000)/'Household Size'!$L$4</f>
        <v>51185</v>
      </c>
      <c r="AE57" s="1">
        <f>(N57*1000)/'Household Size'!$M$4</f>
        <v>56052.63158</v>
      </c>
      <c r="AF57" s="1">
        <f>(O57*1000)/'Household Size'!$N$4</f>
        <v>58527.02703</v>
      </c>
    </row>
    <row r="58" ht="14.25" customHeight="1">
      <c r="A58" s="1" t="s">
        <v>49</v>
      </c>
      <c r="B58" s="1" t="s">
        <v>69</v>
      </c>
      <c r="C58" s="1">
        <v>50.0</v>
      </c>
      <c r="D58" s="1">
        <v>60.0</v>
      </c>
      <c r="E58" s="1">
        <v>66.0</v>
      </c>
      <c r="F58" s="1">
        <v>69.3</v>
      </c>
      <c r="G58" s="1">
        <v>70.29</v>
      </c>
      <c r="H58" s="1">
        <v>72.27</v>
      </c>
      <c r="I58" s="1">
        <v>74.25</v>
      </c>
      <c r="J58" s="1">
        <v>77.22</v>
      </c>
      <c r="K58" s="1">
        <v>79.2</v>
      </c>
      <c r="L58" s="1">
        <v>81.18</v>
      </c>
      <c r="M58" s="1">
        <v>82.17</v>
      </c>
      <c r="N58" s="1">
        <v>83.16</v>
      </c>
      <c r="O58" s="1">
        <v>0.0</v>
      </c>
      <c r="R58" s="1" t="s">
        <v>49</v>
      </c>
      <c r="S58" s="1" t="s">
        <v>69</v>
      </c>
      <c r="T58" s="1">
        <f>(C58*1000)/'Household Size'!$B$4</f>
        <v>8928.571429</v>
      </c>
      <c r="U58" s="1">
        <f>(D58*1000)/'Household Size'!$C$4</f>
        <v>11111.11111</v>
      </c>
      <c r="V58" s="1">
        <f>(E58*1000)/'Household Size'!$D$4</f>
        <v>12452.83019</v>
      </c>
      <c r="W58" s="1">
        <f>(F58*1000)/'Household Size'!$E$4</f>
        <v>13588.23529</v>
      </c>
      <c r="X58" s="1">
        <f>(G58*1000)/'Household Size'!$F$4</f>
        <v>14058</v>
      </c>
      <c r="Y58" s="1">
        <f>(H58*1000)/'Household Size'!$G$4</f>
        <v>15056.25</v>
      </c>
      <c r="Z58" s="1">
        <f>(I58*1000)/'Household Size'!$H$4</f>
        <v>16141.30435</v>
      </c>
      <c r="AA58" s="1">
        <f>(J58*1000)/'Household Size'!$I$4</f>
        <v>17160</v>
      </c>
      <c r="AB58" s="1">
        <f>(K58*1000)/'Household Size'!$J$4</f>
        <v>18418.60465</v>
      </c>
      <c r="AC58" s="1">
        <f>(L58*1000)/'Household Size'!$K$4</f>
        <v>19328.57143</v>
      </c>
      <c r="AD58" s="1">
        <f>(M58*1000)/'Household Size'!$L$4</f>
        <v>20542.5</v>
      </c>
      <c r="AE58" s="1">
        <f>(N58*1000)/'Household Size'!$M$4</f>
        <v>21884.21053</v>
      </c>
      <c r="AF58" s="1">
        <f>(O58*1000)/'Household Size'!$N$4</f>
        <v>0</v>
      </c>
    </row>
    <row r="59" ht="14.25" customHeight="1">
      <c r="A59" s="1" t="s">
        <v>50</v>
      </c>
      <c r="B59" s="1" t="s">
        <v>69</v>
      </c>
      <c r="C59" s="1">
        <v>50818.0</v>
      </c>
      <c r="D59" s="1">
        <v>55342.0</v>
      </c>
      <c r="E59" s="1">
        <v>59710.0</v>
      </c>
      <c r="F59" s="1">
        <v>63809.0</v>
      </c>
      <c r="G59" s="1">
        <v>67671.0</v>
      </c>
      <c r="H59" s="1">
        <v>71225.0</v>
      </c>
      <c r="I59" s="1">
        <v>75396.7</v>
      </c>
      <c r="J59" s="1">
        <v>79143.0</v>
      </c>
      <c r="K59" s="1">
        <v>82498.6</v>
      </c>
      <c r="L59" s="1">
        <v>85481.8</v>
      </c>
      <c r="M59" s="1">
        <v>88072.8</v>
      </c>
      <c r="N59" s="1">
        <v>90228.8</v>
      </c>
      <c r="O59" s="1">
        <v>91922.0</v>
      </c>
      <c r="R59" s="1" t="s">
        <v>50</v>
      </c>
      <c r="S59" s="1" t="s">
        <v>69</v>
      </c>
      <c r="T59" s="1">
        <f>(C59*1000)/'Household Size'!$B$4</f>
        <v>9074642.857</v>
      </c>
      <c r="U59" s="1">
        <f>(D59*1000)/'Household Size'!$C$4</f>
        <v>10248518.52</v>
      </c>
      <c r="V59" s="1">
        <f>(E59*1000)/'Household Size'!$D$4</f>
        <v>11266037.74</v>
      </c>
      <c r="W59" s="1">
        <f>(F59*1000)/'Household Size'!$E$4</f>
        <v>12511568.63</v>
      </c>
      <c r="X59" s="1">
        <f>(G59*1000)/'Household Size'!$F$4</f>
        <v>13534200</v>
      </c>
      <c r="Y59" s="1">
        <f>(H59*1000)/'Household Size'!$G$4</f>
        <v>14838541.67</v>
      </c>
      <c r="Z59" s="1">
        <f>(I59*1000)/'Household Size'!$H$4</f>
        <v>16390586.96</v>
      </c>
      <c r="AA59" s="1">
        <f>(J59*1000)/'Household Size'!$I$4</f>
        <v>17587333.33</v>
      </c>
      <c r="AB59" s="1">
        <f>(K59*1000)/'Household Size'!$J$4</f>
        <v>19185720.93</v>
      </c>
      <c r="AC59" s="1">
        <f>(L59*1000)/'Household Size'!$K$4</f>
        <v>20352809.52</v>
      </c>
      <c r="AD59" s="1">
        <f>(M59*1000)/'Household Size'!$L$4</f>
        <v>22018200</v>
      </c>
      <c r="AE59" s="1">
        <f>(N59*1000)/'Household Size'!$M$4</f>
        <v>23744421.05</v>
      </c>
      <c r="AF59" s="1">
        <f>(O59*1000)/'Household Size'!$N$4</f>
        <v>24843783.78</v>
      </c>
    </row>
    <row r="60" ht="14.25" customHeight="1">
      <c r="A60" s="1" t="s">
        <v>51</v>
      </c>
      <c r="B60" s="1" t="s">
        <v>69</v>
      </c>
      <c r="C60" s="1">
        <v>595.0</v>
      </c>
      <c r="D60" s="1">
        <v>636.0</v>
      </c>
      <c r="E60" s="1">
        <v>676.0</v>
      </c>
      <c r="F60" s="1">
        <v>715.0</v>
      </c>
      <c r="G60" s="1">
        <v>752.0</v>
      </c>
      <c r="H60" s="1">
        <v>784.0</v>
      </c>
      <c r="I60" s="1">
        <v>835.961</v>
      </c>
      <c r="J60" s="1">
        <v>883.708</v>
      </c>
      <c r="K60" s="1">
        <v>927.416</v>
      </c>
      <c r="L60" s="1">
        <v>959.435</v>
      </c>
      <c r="M60" s="1">
        <v>985.592</v>
      </c>
      <c r="N60" s="1">
        <v>1006.14</v>
      </c>
      <c r="O60" s="1">
        <v>1021.42</v>
      </c>
      <c r="R60" s="1" t="s">
        <v>51</v>
      </c>
      <c r="S60" s="1" t="s">
        <v>69</v>
      </c>
      <c r="T60" s="1">
        <f>(C60*1000)/'Household Size'!$B$4</f>
        <v>106250</v>
      </c>
      <c r="U60" s="1">
        <f>(D60*1000)/'Household Size'!$C$4</f>
        <v>117777.7778</v>
      </c>
      <c r="V60" s="1">
        <f>(E60*1000)/'Household Size'!$D$4</f>
        <v>127547.1698</v>
      </c>
      <c r="W60" s="1">
        <f>(F60*1000)/'Household Size'!$E$4</f>
        <v>140196.0784</v>
      </c>
      <c r="X60" s="1">
        <f>(G60*1000)/'Household Size'!$F$4</f>
        <v>150400</v>
      </c>
      <c r="Y60" s="1">
        <f>(H60*1000)/'Household Size'!$G$4</f>
        <v>163333.3333</v>
      </c>
      <c r="Z60" s="1">
        <f>(I60*1000)/'Household Size'!$H$4</f>
        <v>181730.6522</v>
      </c>
      <c r="AA60" s="1">
        <f>(J60*1000)/'Household Size'!$I$4</f>
        <v>196379.5556</v>
      </c>
      <c r="AB60" s="1">
        <f>(K60*1000)/'Household Size'!$J$4</f>
        <v>215678.1395</v>
      </c>
      <c r="AC60" s="1">
        <f>(L60*1000)/'Household Size'!$K$4</f>
        <v>228436.9048</v>
      </c>
      <c r="AD60" s="1">
        <f>(M60*1000)/'Household Size'!$L$4</f>
        <v>246398</v>
      </c>
      <c r="AE60" s="1">
        <f>(N60*1000)/'Household Size'!$M$4</f>
        <v>264773.6842</v>
      </c>
      <c r="AF60" s="1">
        <f>(O60*1000)/'Household Size'!$N$4</f>
        <v>276059.4595</v>
      </c>
    </row>
    <row r="61" ht="14.25" customHeight="1">
      <c r="A61" s="1" t="s">
        <v>52</v>
      </c>
      <c r="B61" s="1" t="s">
        <v>69</v>
      </c>
      <c r="C61" s="1">
        <v>834.0</v>
      </c>
      <c r="D61" s="1">
        <v>920.0</v>
      </c>
      <c r="E61" s="1">
        <v>1009.0</v>
      </c>
      <c r="F61" s="1">
        <v>1100.0</v>
      </c>
      <c r="G61" s="1">
        <v>1190.0</v>
      </c>
      <c r="H61" s="1">
        <v>1252.1</v>
      </c>
      <c r="I61" s="1">
        <v>1321.04</v>
      </c>
      <c r="J61" s="1">
        <v>1323.59</v>
      </c>
      <c r="K61" s="1">
        <v>1319.43</v>
      </c>
      <c r="L61" s="1">
        <v>1296.62</v>
      </c>
      <c r="M61" s="1">
        <v>1262.7</v>
      </c>
      <c r="N61" s="1">
        <v>1221.23</v>
      </c>
      <c r="O61" s="1">
        <v>1172.75</v>
      </c>
      <c r="R61" s="1" t="s">
        <v>52</v>
      </c>
      <c r="S61" s="1" t="s">
        <v>69</v>
      </c>
      <c r="T61" s="1">
        <f>(C61*1000)/'Household Size'!$B$4</f>
        <v>148928.5714</v>
      </c>
      <c r="U61" s="1">
        <f>(D61*1000)/'Household Size'!$C$4</f>
        <v>170370.3704</v>
      </c>
      <c r="V61" s="1">
        <f>(E61*1000)/'Household Size'!$D$4</f>
        <v>190377.3585</v>
      </c>
      <c r="W61" s="1">
        <f>(F61*1000)/'Household Size'!$E$4</f>
        <v>215686.2745</v>
      </c>
      <c r="X61" s="1">
        <f>(G61*1000)/'Household Size'!$F$4</f>
        <v>238000</v>
      </c>
      <c r="Y61" s="1">
        <f>(H61*1000)/'Household Size'!$G$4</f>
        <v>260854.1667</v>
      </c>
      <c r="Z61" s="1">
        <f>(I61*1000)/'Household Size'!$H$4</f>
        <v>287182.6087</v>
      </c>
      <c r="AA61" s="1">
        <f>(J61*1000)/'Household Size'!$I$4</f>
        <v>294131.1111</v>
      </c>
      <c r="AB61" s="1">
        <f>(K61*1000)/'Household Size'!$J$4</f>
        <v>306844.186</v>
      </c>
      <c r="AC61" s="1">
        <f>(L61*1000)/'Household Size'!$K$4</f>
        <v>308719.0476</v>
      </c>
      <c r="AD61" s="1">
        <f>(M61*1000)/'Household Size'!$L$4</f>
        <v>315675</v>
      </c>
      <c r="AE61" s="1">
        <f>(N61*1000)/'Household Size'!$M$4</f>
        <v>321376.3158</v>
      </c>
      <c r="AF61" s="1">
        <f>(O61*1000)/'Household Size'!$N$4</f>
        <v>316959.4595</v>
      </c>
    </row>
    <row r="62" ht="14.25" customHeight="1">
      <c r="A62" s="1" t="s">
        <v>53</v>
      </c>
      <c r="B62" s="1" t="s">
        <v>69</v>
      </c>
      <c r="C62" s="1">
        <v>20069.0</v>
      </c>
      <c r="D62" s="1">
        <v>22234.0</v>
      </c>
      <c r="E62" s="1">
        <v>24318.0</v>
      </c>
      <c r="F62" s="1">
        <v>26292.0</v>
      </c>
      <c r="G62" s="1">
        <v>28085.0</v>
      </c>
      <c r="H62" s="1">
        <v>29730.0</v>
      </c>
      <c r="I62" s="1">
        <v>31475.6</v>
      </c>
      <c r="J62" s="1">
        <v>33042.1</v>
      </c>
      <c r="K62" s="1">
        <v>34444.1</v>
      </c>
      <c r="L62" s="1">
        <v>35701.1</v>
      </c>
      <c r="M62" s="1">
        <v>36800.0</v>
      </c>
      <c r="N62" s="1">
        <v>37720.6</v>
      </c>
      <c r="O62" s="1">
        <v>38450.5</v>
      </c>
      <c r="R62" s="1" t="s">
        <v>53</v>
      </c>
      <c r="S62" s="1" t="s">
        <v>69</v>
      </c>
      <c r="T62" s="1">
        <f>(C62*1000)/'Household Size'!$B$4</f>
        <v>3583750</v>
      </c>
      <c r="U62" s="1">
        <f>(D62*1000)/'Household Size'!$C$4</f>
        <v>4117407.407</v>
      </c>
      <c r="V62" s="1">
        <f>(E62*1000)/'Household Size'!$D$4</f>
        <v>4588301.887</v>
      </c>
      <c r="W62" s="1">
        <f>(F62*1000)/'Household Size'!$E$4</f>
        <v>5155294.118</v>
      </c>
      <c r="X62" s="1">
        <f>(G62*1000)/'Household Size'!$F$4</f>
        <v>5617000</v>
      </c>
      <c r="Y62" s="1">
        <f>(H62*1000)/'Household Size'!$G$4</f>
        <v>6193750</v>
      </c>
      <c r="Z62" s="1">
        <f>(I62*1000)/'Household Size'!$H$4</f>
        <v>6842521.739</v>
      </c>
      <c r="AA62" s="1">
        <f>(J62*1000)/'Household Size'!$I$4</f>
        <v>7342688.889</v>
      </c>
      <c r="AB62" s="1">
        <f>(K62*1000)/'Household Size'!$J$4</f>
        <v>8010255.814</v>
      </c>
      <c r="AC62" s="1">
        <f>(L62*1000)/'Household Size'!$K$4</f>
        <v>8500261.905</v>
      </c>
      <c r="AD62" s="1">
        <f>(M62*1000)/'Household Size'!$L$4</f>
        <v>9200000</v>
      </c>
      <c r="AE62" s="1">
        <f>(N62*1000)/'Household Size'!$M$4</f>
        <v>9926473.684</v>
      </c>
      <c r="AF62" s="1">
        <f>(O62*1000)/'Household Size'!$N$4</f>
        <v>10392027.03</v>
      </c>
    </row>
    <row r="63" ht="14.25" customHeight="1">
      <c r="A63" s="1" t="s">
        <v>54</v>
      </c>
      <c r="B63" s="1" t="s">
        <v>69</v>
      </c>
      <c r="C63" s="1">
        <v>572.0</v>
      </c>
      <c r="D63" s="1">
        <v>617.0</v>
      </c>
      <c r="E63" s="1">
        <v>663.0</v>
      </c>
      <c r="F63" s="1">
        <v>709.0</v>
      </c>
      <c r="G63" s="1">
        <v>753.0</v>
      </c>
      <c r="H63" s="1">
        <v>780.554</v>
      </c>
      <c r="I63" s="1">
        <v>810.489</v>
      </c>
      <c r="J63" s="1">
        <v>817.64</v>
      </c>
      <c r="K63" s="1">
        <v>820.598</v>
      </c>
      <c r="L63" s="1">
        <v>812.458</v>
      </c>
      <c r="M63" s="1">
        <v>798.42</v>
      </c>
      <c r="N63" s="1">
        <v>778.91</v>
      </c>
      <c r="O63" s="1">
        <v>755.648</v>
      </c>
      <c r="R63" s="1" t="s">
        <v>54</v>
      </c>
      <c r="S63" s="1" t="s">
        <v>69</v>
      </c>
      <c r="T63" s="1">
        <f>(C63*1000)/'Household Size'!$B$4</f>
        <v>102142.8571</v>
      </c>
      <c r="U63" s="1">
        <f>(D63*1000)/'Household Size'!$C$4</f>
        <v>114259.2593</v>
      </c>
      <c r="V63" s="1">
        <f>(E63*1000)/'Household Size'!$D$4</f>
        <v>125094.3396</v>
      </c>
      <c r="W63" s="1">
        <f>(F63*1000)/'Household Size'!$E$4</f>
        <v>139019.6078</v>
      </c>
      <c r="X63" s="1">
        <f>(G63*1000)/'Household Size'!$F$4</f>
        <v>150600</v>
      </c>
      <c r="Y63" s="1">
        <f>(H63*1000)/'Household Size'!$G$4</f>
        <v>162615.4167</v>
      </c>
      <c r="Z63" s="1">
        <f>(I63*1000)/'Household Size'!$H$4</f>
        <v>176193.2609</v>
      </c>
      <c r="AA63" s="1">
        <f>(J63*1000)/'Household Size'!$I$4</f>
        <v>181697.7778</v>
      </c>
      <c r="AB63" s="1">
        <f>(K63*1000)/'Household Size'!$J$4</f>
        <v>190836.7442</v>
      </c>
      <c r="AC63" s="1">
        <f>(L63*1000)/'Household Size'!$K$4</f>
        <v>193442.381</v>
      </c>
      <c r="AD63" s="1">
        <f>(M63*1000)/'Household Size'!$L$4</f>
        <v>199605</v>
      </c>
      <c r="AE63" s="1">
        <f>(N63*1000)/'Household Size'!$M$4</f>
        <v>204976.3158</v>
      </c>
      <c r="AF63" s="1">
        <f>(O63*1000)/'Household Size'!$N$4</f>
        <v>204229.1892</v>
      </c>
    </row>
    <row r="64" ht="14.25" customHeight="1">
      <c r="A64" s="1" t="s">
        <v>55</v>
      </c>
      <c r="B64" s="1" t="s">
        <v>69</v>
      </c>
      <c r="C64" s="1">
        <v>571.0</v>
      </c>
      <c r="D64" s="1">
        <v>747.0</v>
      </c>
      <c r="E64" s="1">
        <v>941.0</v>
      </c>
      <c r="F64" s="1">
        <v>1150.0</v>
      </c>
      <c r="G64" s="1">
        <v>1367.0</v>
      </c>
      <c r="H64" s="1">
        <v>1581.0</v>
      </c>
      <c r="I64" s="1">
        <v>1691.16</v>
      </c>
      <c r="J64" s="1">
        <v>1748.6</v>
      </c>
      <c r="K64" s="1">
        <v>1772.16</v>
      </c>
      <c r="L64" s="1">
        <v>1764.72</v>
      </c>
      <c r="M64" s="1">
        <v>1729.12</v>
      </c>
      <c r="N64" s="1">
        <v>1694.91</v>
      </c>
      <c r="O64" s="1">
        <v>1650.92</v>
      </c>
      <c r="R64" s="1" t="s">
        <v>55</v>
      </c>
      <c r="S64" s="1" t="s">
        <v>69</v>
      </c>
      <c r="T64" s="1">
        <f>(C64*1000)/'Household Size'!$B$4</f>
        <v>101964.2857</v>
      </c>
      <c r="U64" s="1">
        <f>(D64*1000)/'Household Size'!$C$4</f>
        <v>138333.3333</v>
      </c>
      <c r="V64" s="1">
        <f>(E64*1000)/'Household Size'!$D$4</f>
        <v>177547.1698</v>
      </c>
      <c r="W64" s="1">
        <f>(F64*1000)/'Household Size'!$E$4</f>
        <v>225490.1961</v>
      </c>
      <c r="X64" s="1">
        <f>(G64*1000)/'Household Size'!$F$4</f>
        <v>273400</v>
      </c>
      <c r="Y64" s="1">
        <f>(H64*1000)/'Household Size'!$G$4</f>
        <v>329375</v>
      </c>
      <c r="Z64" s="1">
        <f>(I64*1000)/'Household Size'!$H$4</f>
        <v>367643.4783</v>
      </c>
      <c r="AA64" s="1">
        <f>(J64*1000)/'Household Size'!$I$4</f>
        <v>388577.7778</v>
      </c>
      <c r="AB64" s="1">
        <f>(K64*1000)/'Household Size'!$J$4</f>
        <v>412130.2326</v>
      </c>
      <c r="AC64" s="1">
        <f>(L64*1000)/'Household Size'!$K$4</f>
        <v>420171.4286</v>
      </c>
      <c r="AD64" s="1">
        <f>(M64*1000)/'Household Size'!$L$4</f>
        <v>432280</v>
      </c>
      <c r="AE64" s="1">
        <f>(N64*1000)/'Household Size'!$M$4</f>
        <v>446028.9474</v>
      </c>
      <c r="AF64" s="1">
        <f>(O64*1000)/'Household Size'!$N$4</f>
        <v>446194.5946</v>
      </c>
    </row>
    <row r="65" ht="14.25" customHeight="1">
      <c r="A65" s="1" t="s">
        <v>56</v>
      </c>
      <c r="B65" s="1" t="s">
        <v>69</v>
      </c>
      <c r="C65" s="1">
        <v>7004.0</v>
      </c>
      <c r="D65" s="1">
        <v>7582.0</v>
      </c>
      <c r="E65" s="1">
        <v>8148.0</v>
      </c>
      <c r="F65" s="1">
        <v>8696.0</v>
      </c>
      <c r="G65" s="1">
        <v>9210.0</v>
      </c>
      <c r="H65" s="1">
        <v>9754.77</v>
      </c>
      <c r="I65" s="1">
        <v>10300.0</v>
      </c>
      <c r="J65" s="1">
        <v>10853.5</v>
      </c>
      <c r="K65" s="1">
        <v>11351.7</v>
      </c>
      <c r="L65" s="1">
        <v>11858.6</v>
      </c>
      <c r="M65" s="1">
        <v>12321.3</v>
      </c>
      <c r="N65" s="1">
        <v>12717.6</v>
      </c>
      <c r="O65" s="1">
        <v>13041.6</v>
      </c>
      <c r="R65" s="1" t="s">
        <v>56</v>
      </c>
      <c r="S65" s="1" t="s">
        <v>69</v>
      </c>
      <c r="T65" s="1">
        <f>(C65*1000)/'Household Size'!$B$4</f>
        <v>1250714.286</v>
      </c>
      <c r="U65" s="1">
        <f>(D65*1000)/'Household Size'!$C$4</f>
        <v>1404074.074</v>
      </c>
      <c r="V65" s="1">
        <f>(E65*1000)/'Household Size'!$D$4</f>
        <v>1537358.491</v>
      </c>
      <c r="W65" s="1">
        <f>(F65*1000)/'Household Size'!$E$4</f>
        <v>1705098.039</v>
      </c>
      <c r="X65" s="1">
        <f>(G65*1000)/'Household Size'!$F$4</f>
        <v>1842000</v>
      </c>
      <c r="Y65" s="1">
        <f>(H65*1000)/'Household Size'!$G$4</f>
        <v>2032243.75</v>
      </c>
      <c r="Z65" s="1">
        <f>(I65*1000)/'Household Size'!$H$4</f>
        <v>2239130.435</v>
      </c>
      <c r="AA65" s="1">
        <f>(J65*1000)/'Household Size'!$I$4</f>
        <v>2411888.889</v>
      </c>
      <c r="AB65" s="1">
        <f>(K65*1000)/'Household Size'!$J$4</f>
        <v>2639930.233</v>
      </c>
      <c r="AC65" s="1">
        <f>(L65*1000)/'Household Size'!$K$4</f>
        <v>2823476.19</v>
      </c>
      <c r="AD65" s="1">
        <f>(M65*1000)/'Household Size'!$L$4</f>
        <v>3080325</v>
      </c>
      <c r="AE65" s="1">
        <f>(N65*1000)/'Household Size'!$M$4</f>
        <v>3346736.842</v>
      </c>
      <c r="AF65" s="1">
        <f>(O65*1000)/'Household Size'!$N$4</f>
        <v>3524756.757</v>
      </c>
    </row>
    <row r="66" ht="14.25" customHeight="1">
      <c r="A66" s="1" t="s">
        <v>57</v>
      </c>
      <c r="B66" s="1" t="s">
        <v>69</v>
      </c>
      <c r="C66" s="1">
        <v>10399.0</v>
      </c>
      <c r="D66" s="1">
        <v>11450.0</v>
      </c>
      <c r="E66" s="1">
        <v>12469.0</v>
      </c>
      <c r="F66" s="1">
        <v>13441.0</v>
      </c>
      <c r="G66" s="1">
        <v>14360.0</v>
      </c>
      <c r="H66" s="1">
        <v>15227.0</v>
      </c>
      <c r="I66" s="1">
        <v>16307.7</v>
      </c>
      <c r="J66" s="1">
        <v>16899.5</v>
      </c>
      <c r="K66" s="1">
        <v>17407.5</v>
      </c>
      <c r="L66" s="1">
        <v>17859.0</v>
      </c>
      <c r="M66" s="1">
        <v>18233.2</v>
      </c>
      <c r="N66" s="1">
        <v>18520.7</v>
      </c>
      <c r="O66" s="1">
        <v>18717.1</v>
      </c>
      <c r="R66" s="1" t="s">
        <v>57</v>
      </c>
      <c r="S66" s="1" t="s">
        <v>69</v>
      </c>
      <c r="T66" s="1">
        <f>(C66*1000)/'Household Size'!$B$4</f>
        <v>1856964.286</v>
      </c>
      <c r="U66" s="1">
        <f>(D66*1000)/'Household Size'!$C$4</f>
        <v>2120370.37</v>
      </c>
      <c r="V66" s="1">
        <f>(E66*1000)/'Household Size'!$D$4</f>
        <v>2352641.509</v>
      </c>
      <c r="W66" s="1">
        <f>(F66*1000)/'Household Size'!$E$4</f>
        <v>2635490.196</v>
      </c>
      <c r="X66" s="1">
        <f>(G66*1000)/'Household Size'!$F$4</f>
        <v>2872000</v>
      </c>
      <c r="Y66" s="1">
        <f>(H66*1000)/'Household Size'!$G$4</f>
        <v>3172291.667</v>
      </c>
      <c r="Z66" s="1">
        <f>(I66*1000)/'Household Size'!$H$4</f>
        <v>3545152.174</v>
      </c>
      <c r="AA66" s="1">
        <f>(J66*1000)/'Household Size'!$I$4</f>
        <v>3755444.444</v>
      </c>
      <c r="AB66" s="1">
        <f>(K66*1000)/'Household Size'!$J$4</f>
        <v>4048255.814</v>
      </c>
      <c r="AC66" s="1">
        <f>(L66*1000)/'Household Size'!$K$4</f>
        <v>4252142.857</v>
      </c>
      <c r="AD66" s="1">
        <f>(M66*1000)/'Household Size'!$L$4</f>
        <v>4558300</v>
      </c>
      <c r="AE66" s="1">
        <f>(N66*1000)/'Household Size'!$M$4</f>
        <v>4873868.421</v>
      </c>
      <c r="AF66" s="1">
        <f>(O66*1000)/'Household Size'!$N$4</f>
        <v>5058675.676</v>
      </c>
    </row>
    <row r="67" ht="14.25" customHeight="1">
      <c r="A67" s="1" t="s">
        <v>58</v>
      </c>
      <c r="B67" s="1" t="s">
        <v>69</v>
      </c>
      <c r="C67" s="1">
        <v>853.0</v>
      </c>
      <c r="D67" s="1">
        <v>970.0</v>
      </c>
      <c r="E67" s="1">
        <v>1098.0</v>
      </c>
      <c r="F67" s="1">
        <v>1241.0</v>
      </c>
      <c r="G67" s="1">
        <v>1397.0</v>
      </c>
      <c r="H67" s="1">
        <v>1516.31</v>
      </c>
      <c r="I67" s="1">
        <v>1641.5</v>
      </c>
      <c r="J67" s="1">
        <v>1699.54</v>
      </c>
      <c r="K67" s="1">
        <v>1747.27</v>
      </c>
      <c r="L67" s="1">
        <v>1786.69</v>
      </c>
      <c r="M67" s="1">
        <v>1817.64</v>
      </c>
      <c r="N67" s="1">
        <v>1839.92</v>
      </c>
      <c r="O67" s="1">
        <v>1851.84</v>
      </c>
      <c r="R67" s="1" t="s">
        <v>58</v>
      </c>
      <c r="S67" s="1" t="s">
        <v>69</v>
      </c>
      <c r="T67" s="1">
        <f>(C67*1000)/'Household Size'!$B$4</f>
        <v>152321.4286</v>
      </c>
      <c r="U67" s="1">
        <f>(D67*1000)/'Household Size'!$C$4</f>
        <v>179629.6296</v>
      </c>
      <c r="V67" s="1">
        <f>(E67*1000)/'Household Size'!$D$4</f>
        <v>207169.8113</v>
      </c>
      <c r="W67" s="1">
        <f>(F67*1000)/'Household Size'!$E$4</f>
        <v>243333.3333</v>
      </c>
      <c r="X67" s="1">
        <f>(G67*1000)/'Household Size'!$F$4</f>
        <v>279400</v>
      </c>
      <c r="Y67" s="1">
        <f>(H67*1000)/'Household Size'!$G$4</f>
        <v>315897.9167</v>
      </c>
      <c r="Z67" s="1">
        <f>(I67*1000)/'Household Size'!$H$4</f>
        <v>356847.8261</v>
      </c>
      <c r="AA67" s="1">
        <f>(J67*1000)/'Household Size'!$I$4</f>
        <v>377675.5556</v>
      </c>
      <c r="AB67" s="1">
        <f>(K67*1000)/'Household Size'!$J$4</f>
        <v>406341.8605</v>
      </c>
      <c r="AC67" s="1">
        <f>(L67*1000)/'Household Size'!$K$4</f>
        <v>425402.381</v>
      </c>
      <c r="AD67" s="1">
        <f>(M67*1000)/'Household Size'!$L$4</f>
        <v>454410</v>
      </c>
      <c r="AE67" s="1">
        <f>(N67*1000)/'Household Size'!$M$4</f>
        <v>484189.4737</v>
      </c>
      <c r="AF67" s="1">
        <f>(O67*1000)/'Household Size'!$N$4</f>
        <v>500497.2973</v>
      </c>
    </row>
    <row r="68" ht="14.25" customHeight="1">
      <c r="A68" s="1" t="s">
        <v>59</v>
      </c>
      <c r="B68" s="1" t="s">
        <v>69</v>
      </c>
      <c r="C68" s="1">
        <v>17048.0</v>
      </c>
      <c r="D68" s="1">
        <v>19013.0</v>
      </c>
      <c r="E68" s="1">
        <v>20874.0</v>
      </c>
      <c r="F68" s="1">
        <v>22615.0</v>
      </c>
      <c r="G68" s="1">
        <v>24192.0</v>
      </c>
      <c r="H68" s="1">
        <v>25765.0</v>
      </c>
      <c r="I68" s="1">
        <v>28237.5</v>
      </c>
      <c r="J68" s="1">
        <v>30605.5</v>
      </c>
      <c r="K68" s="1">
        <v>32864.1</v>
      </c>
      <c r="L68" s="1">
        <v>34964.2</v>
      </c>
      <c r="M68" s="1">
        <v>36914.3</v>
      </c>
      <c r="N68" s="1">
        <v>38695.2</v>
      </c>
      <c r="O68" s="1">
        <v>40280.5</v>
      </c>
      <c r="R68" s="1" t="s">
        <v>59</v>
      </c>
      <c r="S68" s="1" t="s">
        <v>69</v>
      </c>
      <c r="T68" s="1">
        <f>(C68*1000)/'Household Size'!$B$4</f>
        <v>3044285.714</v>
      </c>
      <c r="U68" s="1">
        <f>(D68*1000)/'Household Size'!$C$4</f>
        <v>3520925.926</v>
      </c>
      <c r="V68" s="1">
        <f>(E68*1000)/'Household Size'!$D$4</f>
        <v>3938490.566</v>
      </c>
      <c r="W68" s="1">
        <f>(F68*1000)/'Household Size'!$E$4</f>
        <v>4434313.725</v>
      </c>
      <c r="X68" s="1">
        <f>(G68*1000)/'Household Size'!$F$4</f>
        <v>4838400</v>
      </c>
      <c r="Y68" s="1">
        <f>(H68*1000)/'Household Size'!$G$4</f>
        <v>5367708.333</v>
      </c>
      <c r="Z68" s="1">
        <f>(I68*1000)/'Household Size'!$H$4</f>
        <v>6138586.957</v>
      </c>
      <c r="AA68" s="1">
        <f>(J68*1000)/'Household Size'!$I$4</f>
        <v>6801222.222</v>
      </c>
      <c r="AB68" s="1">
        <f>(K68*1000)/'Household Size'!$J$4</f>
        <v>7642813.953</v>
      </c>
      <c r="AC68" s="1">
        <f>(L68*1000)/'Household Size'!$K$4</f>
        <v>8324809.524</v>
      </c>
      <c r="AD68" s="1">
        <f>(M68*1000)/'Household Size'!$L$4</f>
        <v>9228575</v>
      </c>
      <c r="AE68" s="1">
        <f>(N68*1000)/'Household Size'!$M$4</f>
        <v>10182947.37</v>
      </c>
      <c r="AF68" s="1">
        <f>(O68*1000)/'Household Size'!$N$4</f>
        <v>10886621.62</v>
      </c>
    </row>
    <row r="69" ht="14.25" customHeight="1">
      <c r="A69" s="1" t="s">
        <v>60</v>
      </c>
      <c r="B69" s="1" t="s">
        <v>69</v>
      </c>
      <c r="C69" s="1">
        <v>154.0</v>
      </c>
      <c r="D69" s="1">
        <v>224.0</v>
      </c>
      <c r="E69" s="1">
        <v>304.0</v>
      </c>
      <c r="F69" s="1">
        <v>391.0</v>
      </c>
      <c r="G69" s="1">
        <v>480.0</v>
      </c>
      <c r="H69" s="1">
        <v>566.0</v>
      </c>
      <c r="I69" s="1">
        <v>600.6</v>
      </c>
      <c r="J69" s="1">
        <v>620.1</v>
      </c>
      <c r="K69" s="1">
        <v>636.74</v>
      </c>
      <c r="L69" s="1">
        <v>645.6</v>
      </c>
      <c r="M69" s="1">
        <v>640.8</v>
      </c>
      <c r="N69" s="1">
        <v>633.6</v>
      </c>
      <c r="O69" s="1">
        <v>623.2</v>
      </c>
      <c r="R69" s="1" t="s">
        <v>60</v>
      </c>
      <c r="S69" s="1" t="s">
        <v>69</v>
      </c>
      <c r="T69" s="1">
        <f>(C69*1000)/'Household Size'!$B$4</f>
        <v>27500</v>
      </c>
      <c r="U69" s="1">
        <f>(D69*1000)/'Household Size'!$C$4</f>
        <v>41481.48148</v>
      </c>
      <c r="V69" s="1">
        <f>(E69*1000)/'Household Size'!$D$4</f>
        <v>57358.49057</v>
      </c>
      <c r="W69" s="1">
        <f>(F69*1000)/'Household Size'!$E$4</f>
        <v>76666.66667</v>
      </c>
      <c r="X69" s="1">
        <f>(G69*1000)/'Household Size'!$F$4</f>
        <v>96000</v>
      </c>
      <c r="Y69" s="1">
        <f>(H69*1000)/'Household Size'!$G$4</f>
        <v>117916.6667</v>
      </c>
      <c r="Z69" s="1">
        <f>(I69*1000)/'Household Size'!$H$4</f>
        <v>130565.2174</v>
      </c>
      <c r="AA69" s="1">
        <f>(J69*1000)/'Household Size'!$I$4</f>
        <v>137800</v>
      </c>
      <c r="AB69" s="1">
        <f>(K69*1000)/'Household Size'!$J$4</f>
        <v>148079.0698</v>
      </c>
      <c r="AC69" s="1">
        <f>(L69*1000)/'Household Size'!$K$4</f>
        <v>153714.2857</v>
      </c>
      <c r="AD69" s="1">
        <f>(M69*1000)/'Household Size'!$L$4</f>
        <v>160200</v>
      </c>
      <c r="AE69" s="1">
        <f>(N69*1000)/'Household Size'!$M$4</f>
        <v>166736.8421</v>
      </c>
      <c r="AF69" s="1">
        <f>(O69*1000)/'Household Size'!$N$4</f>
        <v>168432.4324</v>
      </c>
    </row>
    <row r="70" ht="14.25" customHeight="1">
      <c r="A70" s="1" t="s">
        <v>61</v>
      </c>
      <c r="B70" s="1" t="s">
        <v>69</v>
      </c>
      <c r="C70" s="1">
        <v>34917.0</v>
      </c>
      <c r="D70" s="1">
        <v>37756.0</v>
      </c>
      <c r="E70" s="1">
        <v>40334.0</v>
      </c>
      <c r="F70" s="1">
        <v>42669.0</v>
      </c>
      <c r="G70" s="1">
        <v>44742.0</v>
      </c>
      <c r="H70" s="1">
        <v>46554.0</v>
      </c>
      <c r="I70" s="1">
        <v>48632.9</v>
      </c>
      <c r="J70" s="1">
        <v>49495.7</v>
      </c>
      <c r="K70" s="1">
        <v>50110.7</v>
      </c>
      <c r="L70" s="1">
        <v>50810.2</v>
      </c>
      <c r="M70" s="1">
        <v>51326.1</v>
      </c>
      <c r="N70" s="1">
        <v>51570.0</v>
      </c>
      <c r="O70" s="1">
        <v>51539.7</v>
      </c>
      <c r="R70" s="1" t="s">
        <v>61</v>
      </c>
      <c r="S70" s="1" t="s">
        <v>69</v>
      </c>
      <c r="T70" s="1">
        <f>(C70*1000)/'Household Size'!$B$4</f>
        <v>6235178.571</v>
      </c>
      <c r="U70" s="1">
        <f>(D70*1000)/'Household Size'!$C$4</f>
        <v>6991851.852</v>
      </c>
      <c r="V70" s="1">
        <f>(E70*1000)/'Household Size'!$D$4</f>
        <v>7610188.679</v>
      </c>
      <c r="W70" s="1">
        <f>(F70*1000)/'Household Size'!$E$4</f>
        <v>8366470.588</v>
      </c>
      <c r="X70" s="1">
        <f>(G70*1000)/'Household Size'!$F$4</f>
        <v>8948400</v>
      </c>
      <c r="Y70" s="1">
        <f>(H70*1000)/'Household Size'!$G$4</f>
        <v>9698750</v>
      </c>
      <c r="Z70" s="1">
        <f>(I70*1000)/'Household Size'!$H$4</f>
        <v>10572369.57</v>
      </c>
      <c r="AA70" s="1">
        <f>(J70*1000)/'Household Size'!$I$4</f>
        <v>10999044.44</v>
      </c>
      <c r="AB70" s="1">
        <f>(K70*1000)/'Household Size'!$J$4</f>
        <v>11653651.16</v>
      </c>
      <c r="AC70" s="1">
        <f>(L70*1000)/'Household Size'!$K$4</f>
        <v>12097666.67</v>
      </c>
      <c r="AD70" s="1">
        <f>(M70*1000)/'Household Size'!$L$4</f>
        <v>12831525</v>
      </c>
      <c r="AE70" s="1">
        <f>(N70*1000)/'Household Size'!$M$4</f>
        <v>13571052.63</v>
      </c>
      <c r="AF70" s="1">
        <f>(O70*1000)/'Household Size'!$N$4</f>
        <v>13929648.65</v>
      </c>
    </row>
    <row r="71" ht="14.25" customHeight="1">
      <c r="A71" s="1" t="s">
        <v>62</v>
      </c>
      <c r="B71" s="1" t="s">
        <v>69</v>
      </c>
      <c r="C71" s="1">
        <v>961.0</v>
      </c>
      <c r="D71" s="1">
        <v>1220.0</v>
      </c>
      <c r="E71" s="1">
        <v>1505.0</v>
      </c>
      <c r="F71" s="1">
        <v>1813.0</v>
      </c>
      <c r="G71" s="1">
        <v>2136.0</v>
      </c>
      <c r="H71" s="1">
        <v>2460.0</v>
      </c>
      <c r="I71" s="1">
        <v>2562.0</v>
      </c>
      <c r="J71" s="1">
        <v>2595.78</v>
      </c>
      <c r="K71" s="1">
        <v>2598.62</v>
      </c>
      <c r="L71" s="1">
        <v>2586.86</v>
      </c>
      <c r="M71" s="1">
        <v>2549.41</v>
      </c>
      <c r="N71" s="1">
        <v>2495.91</v>
      </c>
      <c r="O71" s="1">
        <v>2403.12</v>
      </c>
      <c r="R71" s="1" t="s">
        <v>62</v>
      </c>
      <c r="S71" s="1" t="s">
        <v>69</v>
      </c>
      <c r="T71" s="1">
        <f>(C71*1000)/'Household Size'!$B$4</f>
        <v>171607.1429</v>
      </c>
      <c r="U71" s="1">
        <f>(D71*1000)/'Household Size'!$C$4</f>
        <v>225925.9259</v>
      </c>
      <c r="V71" s="1">
        <f>(E71*1000)/'Household Size'!$D$4</f>
        <v>283962.2642</v>
      </c>
      <c r="W71" s="1">
        <f>(F71*1000)/'Household Size'!$E$4</f>
        <v>355490.1961</v>
      </c>
      <c r="X71" s="1">
        <f>(G71*1000)/'Household Size'!$F$4</f>
        <v>427200</v>
      </c>
      <c r="Y71" s="1">
        <f>(H71*1000)/'Household Size'!$G$4</f>
        <v>512500</v>
      </c>
      <c r="Z71" s="1">
        <f>(I71*1000)/'Household Size'!$H$4</f>
        <v>556956.5217</v>
      </c>
      <c r="AA71" s="1">
        <f>(J71*1000)/'Household Size'!$I$4</f>
        <v>576840</v>
      </c>
      <c r="AB71" s="1">
        <f>(K71*1000)/'Household Size'!$J$4</f>
        <v>604330.2326</v>
      </c>
      <c r="AC71" s="1">
        <f>(L71*1000)/'Household Size'!$K$4</f>
        <v>615919.0476</v>
      </c>
      <c r="AD71" s="1">
        <f>(M71*1000)/'Household Size'!$L$4</f>
        <v>637352.5</v>
      </c>
      <c r="AE71" s="1">
        <f>(N71*1000)/'Household Size'!$M$4</f>
        <v>656818.4211</v>
      </c>
      <c r="AF71" s="1">
        <f>(O71*1000)/'Household Size'!$N$4</f>
        <v>649491.8919</v>
      </c>
    </row>
    <row r="72" ht="14.25" customHeight="1">
      <c r="A72" s="1" t="s">
        <v>63</v>
      </c>
      <c r="B72" s="1" t="s">
        <v>69</v>
      </c>
      <c r="C72" s="1">
        <v>13731.0</v>
      </c>
      <c r="D72" s="1">
        <v>15612.0</v>
      </c>
      <c r="E72" s="1">
        <v>17514.0</v>
      </c>
      <c r="F72" s="1">
        <v>19349.0</v>
      </c>
      <c r="G72" s="1">
        <v>21090.0</v>
      </c>
      <c r="H72" s="1">
        <v>22733.0</v>
      </c>
      <c r="I72" s="1">
        <v>23637.3</v>
      </c>
      <c r="J72" s="1">
        <v>24391.0</v>
      </c>
      <c r="K72" s="1">
        <v>25014.2</v>
      </c>
      <c r="L72" s="1">
        <v>25564.1</v>
      </c>
      <c r="M72" s="1">
        <v>25983.6</v>
      </c>
      <c r="N72" s="1">
        <v>26252.8</v>
      </c>
      <c r="O72" s="1">
        <v>26368.3</v>
      </c>
      <c r="R72" s="1" t="s">
        <v>63</v>
      </c>
      <c r="S72" s="1" t="s">
        <v>69</v>
      </c>
      <c r="T72" s="1">
        <f>(C72*1000)/'Household Size'!$B$4</f>
        <v>2451964.286</v>
      </c>
      <c r="U72" s="1">
        <f>(D72*1000)/'Household Size'!$C$4</f>
        <v>2891111.111</v>
      </c>
      <c r="V72" s="1">
        <f>(E72*1000)/'Household Size'!$D$4</f>
        <v>3304528.302</v>
      </c>
      <c r="W72" s="1">
        <f>(F72*1000)/'Household Size'!$E$4</f>
        <v>3793921.569</v>
      </c>
      <c r="X72" s="1">
        <f>(G72*1000)/'Household Size'!$F$4</f>
        <v>4218000</v>
      </c>
      <c r="Y72" s="1">
        <f>(H72*1000)/'Household Size'!$G$4</f>
        <v>4736041.667</v>
      </c>
      <c r="Z72" s="1">
        <f>(I72*1000)/'Household Size'!$H$4</f>
        <v>5138543.478</v>
      </c>
      <c r="AA72" s="1">
        <f>(J72*1000)/'Household Size'!$I$4</f>
        <v>5420222.222</v>
      </c>
      <c r="AB72" s="1">
        <f>(K72*1000)/'Household Size'!$J$4</f>
        <v>5817255.814</v>
      </c>
      <c r="AC72" s="1">
        <f>(L72*1000)/'Household Size'!$K$4</f>
        <v>6086690.476</v>
      </c>
      <c r="AD72" s="1">
        <f>(M72*1000)/'Household Size'!$L$4</f>
        <v>6495900</v>
      </c>
      <c r="AE72" s="1">
        <f>(N72*1000)/'Household Size'!$M$4</f>
        <v>6908631.579</v>
      </c>
      <c r="AF72" s="1">
        <f>(O72*1000)/'Household Size'!$N$4</f>
        <v>7126567.568</v>
      </c>
    </row>
    <row r="73" ht="14.25" customHeight="1">
      <c r="A73" s="1" t="s">
        <v>64</v>
      </c>
      <c r="B73" s="1" t="s">
        <v>69</v>
      </c>
      <c r="C73" s="1">
        <v>3049.0</v>
      </c>
      <c r="D73" s="1">
        <v>3506.0</v>
      </c>
      <c r="E73" s="1">
        <v>3985.0</v>
      </c>
      <c r="F73" s="1">
        <v>4473.0</v>
      </c>
      <c r="G73" s="1">
        <v>4965.0</v>
      </c>
      <c r="H73" s="1">
        <v>5449.0</v>
      </c>
      <c r="I73" s="1">
        <v>6027.07</v>
      </c>
      <c r="J73" s="1">
        <v>6337.89</v>
      </c>
      <c r="K73" s="1">
        <v>6621.0</v>
      </c>
      <c r="L73" s="1">
        <v>6870.64</v>
      </c>
      <c r="M73" s="1">
        <v>7091.44</v>
      </c>
      <c r="N73" s="1">
        <v>7282.04</v>
      </c>
      <c r="O73" s="1">
        <v>7440.04</v>
      </c>
      <c r="R73" s="1" t="s">
        <v>64</v>
      </c>
      <c r="S73" s="1" t="s">
        <v>69</v>
      </c>
      <c r="T73" s="1">
        <f>(C73*1000)/'Household Size'!$B$4</f>
        <v>544464.2857</v>
      </c>
      <c r="U73" s="1">
        <f>(D73*1000)/'Household Size'!$C$4</f>
        <v>649259.2593</v>
      </c>
      <c r="V73" s="1">
        <f>(E73*1000)/'Household Size'!$D$4</f>
        <v>751886.7925</v>
      </c>
      <c r="W73" s="1">
        <f>(F73*1000)/'Household Size'!$E$4</f>
        <v>877058.8235</v>
      </c>
      <c r="X73" s="1">
        <f>(G73*1000)/'Household Size'!$F$4</f>
        <v>993000</v>
      </c>
      <c r="Y73" s="1">
        <f>(H73*1000)/'Household Size'!$G$4</f>
        <v>1135208.333</v>
      </c>
      <c r="Z73" s="1">
        <f>(I73*1000)/'Household Size'!$H$4</f>
        <v>1310232.609</v>
      </c>
      <c r="AA73" s="1">
        <f>(J73*1000)/'Household Size'!$I$4</f>
        <v>1408420</v>
      </c>
      <c r="AB73" s="1">
        <f>(K73*1000)/'Household Size'!$J$4</f>
        <v>1539767.442</v>
      </c>
      <c r="AC73" s="1">
        <f>(L73*1000)/'Household Size'!$K$4</f>
        <v>1635866.667</v>
      </c>
      <c r="AD73" s="1">
        <f>(M73*1000)/'Household Size'!$L$4</f>
        <v>1772860</v>
      </c>
      <c r="AE73" s="1">
        <f>(N73*1000)/'Household Size'!$M$4</f>
        <v>1916326.316</v>
      </c>
      <c r="AF73" s="1">
        <f>(O73*1000)/'Household Size'!$N$4</f>
        <v>2010821.622</v>
      </c>
    </row>
    <row r="74" ht="14.25" customHeight="1">
      <c r="A74" s="1" t="s">
        <v>65</v>
      </c>
      <c r="B74" s="1" t="s">
        <v>69</v>
      </c>
      <c r="C74" s="1">
        <v>44495.0</v>
      </c>
      <c r="D74" s="1">
        <v>49729.0</v>
      </c>
      <c r="E74" s="1">
        <v>54815.0</v>
      </c>
      <c r="F74" s="1">
        <v>59394.0</v>
      </c>
      <c r="G74" s="1">
        <v>63430.0</v>
      </c>
      <c r="H74" s="1">
        <v>67081.0</v>
      </c>
      <c r="I74" s="1">
        <v>70987.2</v>
      </c>
      <c r="J74" s="1">
        <v>74492.5</v>
      </c>
      <c r="K74" s="1">
        <v>77629.9</v>
      </c>
      <c r="L74" s="1">
        <v>80166.2</v>
      </c>
      <c r="M74" s="1">
        <v>82250.9</v>
      </c>
      <c r="N74" s="1">
        <v>83911.9</v>
      </c>
      <c r="O74" s="1">
        <v>85126.3</v>
      </c>
      <c r="R74" s="1" t="s">
        <v>65</v>
      </c>
      <c r="S74" s="1" t="s">
        <v>69</v>
      </c>
      <c r="T74" s="1">
        <f>(C74*1000)/'Household Size'!$B$4</f>
        <v>7945535.714</v>
      </c>
      <c r="U74" s="1">
        <f>(D74*1000)/'Household Size'!$C$4</f>
        <v>9209074.074</v>
      </c>
      <c r="V74" s="1">
        <f>(E74*1000)/'Household Size'!$D$4</f>
        <v>10342452.83</v>
      </c>
      <c r="W74" s="1">
        <f>(F74*1000)/'Household Size'!$E$4</f>
        <v>11645882.35</v>
      </c>
      <c r="X74" s="1">
        <f>(G74*1000)/'Household Size'!$F$4</f>
        <v>12686000</v>
      </c>
      <c r="Y74" s="1">
        <f>(H74*1000)/'Household Size'!$G$4</f>
        <v>13975208.33</v>
      </c>
      <c r="Z74" s="1">
        <f>(I74*1000)/'Household Size'!$H$4</f>
        <v>15432000</v>
      </c>
      <c r="AA74" s="1">
        <f>(J74*1000)/'Household Size'!$I$4</f>
        <v>16553888.89</v>
      </c>
      <c r="AB74" s="1">
        <f>(K74*1000)/'Household Size'!$J$4</f>
        <v>18053465.12</v>
      </c>
      <c r="AC74" s="1">
        <f>(L74*1000)/'Household Size'!$K$4</f>
        <v>19087190.48</v>
      </c>
      <c r="AD74" s="1">
        <f>(M74*1000)/'Household Size'!$L$4</f>
        <v>20562725</v>
      </c>
      <c r="AE74" s="1">
        <f>(N74*1000)/'Household Size'!$M$4</f>
        <v>22082078.95</v>
      </c>
      <c r="AF74" s="1">
        <f>(O74*1000)/'Household Size'!$N$4</f>
        <v>23007108.11</v>
      </c>
    </row>
    <row r="75" ht="14.25" customHeight="1">
      <c r="A75" s="1" t="s">
        <v>66</v>
      </c>
      <c r="B75" s="1" t="s">
        <v>69</v>
      </c>
      <c r="C75" s="1">
        <v>29093.0</v>
      </c>
      <c r="D75" s="1">
        <v>32232.0</v>
      </c>
      <c r="E75" s="1">
        <v>35280.0</v>
      </c>
      <c r="F75" s="1">
        <v>38247.0</v>
      </c>
      <c r="G75" s="1">
        <v>41068.0</v>
      </c>
      <c r="H75" s="1">
        <v>43658.0</v>
      </c>
      <c r="I75" s="1">
        <v>46374.1</v>
      </c>
      <c r="J75" s="1">
        <v>47191.3</v>
      </c>
      <c r="K75" s="1">
        <v>47772.2</v>
      </c>
      <c r="L75" s="1">
        <v>48158.3</v>
      </c>
      <c r="M75" s="1">
        <v>48288.6</v>
      </c>
      <c r="N75" s="1">
        <v>48148.7</v>
      </c>
      <c r="O75" s="1">
        <v>47742.2</v>
      </c>
      <c r="R75" s="1" t="s">
        <v>66</v>
      </c>
      <c r="S75" s="1" t="s">
        <v>69</v>
      </c>
      <c r="T75" s="1">
        <f>(C75*1000)/'Household Size'!$B$4</f>
        <v>5195178.571</v>
      </c>
      <c r="U75" s="1">
        <f>(D75*1000)/'Household Size'!$C$4</f>
        <v>5968888.889</v>
      </c>
      <c r="V75" s="1">
        <f>(E75*1000)/'Household Size'!$D$4</f>
        <v>6656603.774</v>
      </c>
      <c r="W75" s="1">
        <f>(F75*1000)/'Household Size'!$E$4</f>
        <v>7499411.765</v>
      </c>
      <c r="X75" s="1">
        <f>(G75*1000)/'Household Size'!$F$4</f>
        <v>8213600</v>
      </c>
      <c r="Y75" s="1">
        <f>(H75*1000)/'Household Size'!$G$4</f>
        <v>9095416.667</v>
      </c>
      <c r="Z75" s="1">
        <f>(I75*1000)/'Household Size'!$H$4</f>
        <v>10081326.09</v>
      </c>
      <c r="AA75" s="1">
        <f>(J75*1000)/'Household Size'!$I$4</f>
        <v>10486955.56</v>
      </c>
      <c r="AB75" s="1">
        <f>(K75*1000)/'Household Size'!$J$4</f>
        <v>11109813.95</v>
      </c>
      <c r="AC75" s="1">
        <f>(L75*1000)/'Household Size'!$K$4</f>
        <v>11466261.9</v>
      </c>
      <c r="AD75" s="1">
        <f>(M75*1000)/'Household Size'!$L$4</f>
        <v>12072150</v>
      </c>
      <c r="AE75" s="1">
        <f>(N75*1000)/'Household Size'!$M$4</f>
        <v>12670710.53</v>
      </c>
      <c r="AF75" s="1">
        <f>(O75*1000)/'Household Size'!$N$4</f>
        <v>12903297.3</v>
      </c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6" width="8.71"/>
  </cols>
  <sheetData>
    <row r="1" ht="14.25" customHeight="1"/>
    <row r="2" ht="14.25" customHeight="1">
      <c r="A2" s="1" t="s">
        <v>74</v>
      </c>
      <c r="B2" s="1">
        <v>2010.0</v>
      </c>
      <c r="C2" s="1">
        <v>2015.0</v>
      </c>
      <c r="D2" s="1">
        <v>2020.0</v>
      </c>
      <c r="E2" s="1">
        <v>2025.0</v>
      </c>
      <c r="F2" s="1">
        <v>2030.0</v>
      </c>
      <c r="G2" s="1">
        <v>2035.0</v>
      </c>
      <c r="H2" s="1">
        <v>2040.0</v>
      </c>
      <c r="I2" s="1">
        <v>2045.0</v>
      </c>
      <c r="J2" s="1">
        <v>2050.0</v>
      </c>
      <c r="K2" s="1">
        <v>2055.0</v>
      </c>
      <c r="L2" s="1">
        <v>2060.0</v>
      </c>
      <c r="M2" s="1">
        <v>2065.0</v>
      </c>
      <c r="N2" s="1">
        <v>2070.0</v>
      </c>
    </row>
    <row r="3" ht="14.25" customHeight="1">
      <c r="A3" s="1" t="s">
        <v>71</v>
      </c>
      <c r="B3" s="1">
        <v>5.3</v>
      </c>
      <c r="C3" s="1">
        <v>5.2</v>
      </c>
      <c r="D3" s="1">
        <v>5.1</v>
      </c>
      <c r="E3" s="1">
        <v>4.9</v>
      </c>
      <c r="F3" s="1">
        <v>4.8</v>
      </c>
      <c r="G3" s="1">
        <v>4.7</v>
      </c>
      <c r="H3" s="1">
        <v>4.6</v>
      </c>
      <c r="I3" s="1">
        <v>4.4</v>
      </c>
      <c r="J3" s="1">
        <v>4.3</v>
      </c>
      <c r="K3" s="1">
        <v>4.2</v>
      </c>
      <c r="L3" s="1">
        <v>4.1</v>
      </c>
      <c r="M3" s="1">
        <v>4.0</v>
      </c>
      <c r="N3" s="1">
        <v>3.8</v>
      </c>
    </row>
    <row r="4" ht="14.25" customHeight="1">
      <c r="A4" s="1" t="s">
        <v>69</v>
      </c>
      <c r="B4" s="1">
        <v>5.6</v>
      </c>
      <c r="C4" s="1">
        <v>5.4</v>
      </c>
      <c r="D4" s="1">
        <v>5.3</v>
      </c>
      <c r="E4" s="1">
        <v>5.1</v>
      </c>
      <c r="F4" s="1">
        <v>5.0</v>
      </c>
      <c r="G4" s="1">
        <v>4.8</v>
      </c>
      <c r="H4" s="1">
        <v>4.6</v>
      </c>
      <c r="I4" s="1">
        <v>4.5</v>
      </c>
      <c r="J4" s="1">
        <v>4.3</v>
      </c>
      <c r="K4" s="1">
        <v>4.2</v>
      </c>
      <c r="L4" s="1">
        <v>4.0</v>
      </c>
      <c r="M4" s="1">
        <v>3.8</v>
      </c>
      <c r="N4" s="1">
        <v>3.7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71"/>
    <col customWidth="1" min="3" max="29" width="8.71"/>
  </cols>
  <sheetData>
    <row r="1" ht="14.25" customHeight="1">
      <c r="A1" s="1" t="s">
        <v>2</v>
      </c>
      <c r="B1" s="1" t="s">
        <v>4</v>
      </c>
      <c r="C1" s="1">
        <v>2010.0</v>
      </c>
      <c r="D1" s="1">
        <v>2015.0</v>
      </c>
      <c r="E1" s="1">
        <v>2020.0</v>
      </c>
      <c r="F1" s="1">
        <v>2025.0</v>
      </c>
      <c r="G1" s="1">
        <v>2030.0</v>
      </c>
      <c r="H1" s="1">
        <v>2035.0</v>
      </c>
      <c r="I1" s="1">
        <v>2040.0</v>
      </c>
      <c r="J1" s="1">
        <v>2045.0</v>
      </c>
      <c r="K1" s="1">
        <v>2050.0</v>
      </c>
      <c r="L1" s="1">
        <v>2055.0</v>
      </c>
      <c r="M1" s="1">
        <v>2060.0</v>
      </c>
      <c r="N1" s="1">
        <v>2065.0</v>
      </c>
      <c r="O1" s="1">
        <v>2070.0</v>
      </c>
      <c r="Q1" s="1">
        <v>2010.0</v>
      </c>
      <c r="R1" s="1">
        <v>2015.0</v>
      </c>
      <c r="S1" s="1">
        <v>2020.0</v>
      </c>
      <c r="T1" s="1">
        <v>2025.0</v>
      </c>
      <c r="U1" s="1">
        <v>2030.0</v>
      </c>
      <c r="V1" s="1">
        <v>2035.0</v>
      </c>
      <c r="W1" s="1">
        <v>2040.0</v>
      </c>
      <c r="X1" s="1">
        <v>2045.0</v>
      </c>
      <c r="Y1" s="1">
        <v>2050.0</v>
      </c>
      <c r="Z1" s="1">
        <v>2055.0</v>
      </c>
      <c r="AA1" s="1">
        <v>2060.0</v>
      </c>
      <c r="AB1" s="1">
        <v>2065.0</v>
      </c>
      <c r="AC1" s="1">
        <v>2070.0</v>
      </c>
    </row>
    <row r="2" ht="14.25" hidden="1" customHeight="1">
      <c r="A2" s="1" t="s">
        <v>6</v>
      </c>
      <c r="B2" s="1" t="s">
        <v>23</v>
      </c>
      <c r="C2" s="3">
        <v>1.949608E-5</v>
      </c>
      <c r="D2" s="3">
        <v>1.104514E-5</v>
      </c>
      <c r="E2" s="3">
        <v>1.263097E-5</v>
      </c>
      <c r="F2" s="3">
        <v>2.5472875E-5</v>
      </c>
      <c r="G2" s="3">
        <v>1.669668E-5</v>
      </c>
      <c r="H2" s="3">
        <v>1.82491499999999E-5</v>
      </c>
      <c r="I2" s="3">
        <v>1.767271E-5</v>
      </c>
      <c r="J2" s="3">
        <v>1.76945999999999E-5</v>
      </c>
      <c r="K2" s="3">
        <v>1.773792E-5</v>
      </c>
      <c r="L2" s="3">
        <v>1.970298E-5</v>
      </c>
      <c r="M2" s="3">
        <v>2.15224299999999E-5</v>
      </c>
      <c r="N2" s="3">
        <v>2.312013E-5</v>
      </c>
      <c r="O2" s="3">
        <v>2.45511E-5</v>
      </c>
    </row>
    <row r="3" ht="14.25" customHeight="1">
      <c r="A3" s="1" t="s">
        <v>6</v>
      </c>
      <c r="B3" s="1" t="s">
        <v>26</v>
      </c>
      <c r="C3" s="3">
        <v>3.320875E-5</v>
      </c>
      <c r="D3" s="3">
        <v>1.91382799999999E-5</v>
      </c>
      <c r="E3" s="3">
        <v>2.065545E-5</v>
      </c>
      <c r="F3" s="3">
        <v>3.242135E-5</v>
      </c>
      <c r="G3" s="3">
        <v>2.60426599999999E-5</v>
      </c>
      <c r="H3" s="3">
        <v>2.776236E-5</v>
      </c>
      <c r="I3" s="3">
        <v>2.407519E-5</v>
      </c>
      <c r="J3" s="3">
        <v>3.23031E-5</v>
      </c>
      <c r="K3" s="3">
        <v>4.30361499999999E-5</v>
      </c>
      <c r="L3" s="3">
        <v>5.641708E-5</v>
      </c>
      <c r="M3" s="3">
        <v>7.18415E-5</v>
      </c>
      <c r="N3" s="3">
        <v>8.91269E-5</v>
      </c>
      <c r="O3" s="3">
        <v>1.08148899999999E-4</v>
      </c>
    </row>
    <row r="4" ht="14.25" hidden="1" customHeight="1">
      <c r="A4" s="1" t="s">
        <v>30</v>
      </c>
      <c r="B4" s="1" t="s">
        <v>23</v>
      </c>
      <c r="C4" s="3">
        <v>3.955872E-4</v>
      </c>
      <c r="D4" s="3">
        <v>3.74964899999999E-4</v>
      </c>
      <c r="E4" s="3">
        <v>5.777612E-4</v>
      </c>
      <c r="F4" s="3">
        <v>0.0018702797</v>
      </c>
      <c r="G4" s="3">
        <v>0.0011583459</v>
      </c>
      <c r="H4" s="3">
        <v>0.0013136283</v>
      </c>
      <c r="I4" s="3">
        <v>0.001431163</v>
      </c>
      <c r="J4" s="3">
        <v>0.00151419</v>
      </c>
      <c r="K4" s="3">
        <v>0.001521998</v>
      </c>
      <c r="L4" s="3">
        <v>0.001666429</v>
      </c>
      <c r="M4" s="3">
        <v>0.001801359</v>
      </c>
      <c r="N4" s="3">
        <v>0.001920043</v>
      </c>
      <c r="O4" s="3">
        <v>0.002009973</v>
      </c>
    </row>
    <row r="5" ht="14.25" customHeight="1">
      <c r="A5" s="1" t="s">
        <v>30</v>
      </c>
      <c r="B5" s="1" t="s">
        <v>26</v>
      </c>
      <c r="C5" s="3">
        <v>0.001088915</v>
      </c>
      <c r="D5" s="3">
        <v>9.40314E-4</v>
      </c>
      <c r="E5" s="3">
        <v>0.001539909</v>
      </c>
      <c r="F5" s="3">
        <v>0.00293148639999999</v>
      </c>
      <c r="G5" s="3">
        <v>0.002643968</v>
      </c>
      <c r="H5" s="3">
        <v>0.003214321</v>
      </c>
      <c r="I5" s="3">
        <v>0.00363291999999999</v>
      </c>
      <c r="J5" s="3">
        <v>0.004989368</v>
      </c>
      <c r="K5" s="3">
        <v>0.00678506</v>
      </c>
      <c r="L5" s="3">
        <v>0.00900216</v>
      </c>
      <c r="M5" s="3">
        <v>0.01180532</v>
      </c>
      <c r="N5" s="3">
        <v>0.01508096</v>
      </c>
      <c r="O5" s="3">
        <v>0.01868704</v>
      </c>
    </row>
    <row r="6" ht="14.25" hidden="1" customHeight="1">
      <c r="A6" s="1" t="s">
        <v>32</v>
      </c>
      <c r="B6" s="1" t="s">
        <v>23</v>
      </c>
      <c r="C6" s="3">
        <v>2.28047E-5</v>
      </c>
      <c r="D6" s="3">
        <v>9.32059899999999E-5</v>
      </c>
      <c r="E6" s="3">
        <v>1.86435299999999E-4</v>
      </c>
      <c r="F6" s="3">
        <v>3.230969E-4</v>
      </c>
      <c r="G6" s="3">
        <v>2.664633E-4</v>
      </c>
      <c r="H6" s="3">
        <v>2.75980399999999E-4</v>
      </c>
      <c r="I6" s="3">
        <v>2.677969E-4</v>
      </c>
      <c r="J6" s="3">
        <v>2.728693E-4</v>
      </c>
      <c r="K6" s="3">
        <v>2.75545599999999E-4</v>
      </c>
      <c r="L6" s="3">
        <v>2.783698E-4</v>
      </c>
      <c r="M6" s="3">
        <v>2.810054E-4</v>
      </c>
      <c r="N6" s="3">
        <v>2.830202E-4</v>
      </c>
      <c r="O6" s="3">
        <v>2.834443E-4</v>
      </c>
    </row>
    <row r="7" ht="14.25" customHeight="1">
      <c r="A7" s="1" t="s">
        <v>32</v>
      </c>
      <c r="B7" s="1" t="s">
        <v>26</v>
      </c>
      <c r="C7" s="3">
        <v>4.14057099999999E-5</v>
      </c>
      <c r="D7" s="3">
        <v>2.6266063E-4</v>
      </c>
      <c r="E7" s="3">
        <v>4.399073E-4</v>
      </c>
      <c r="F7" s="3">
        <v>8.361075E-4</v>
      </c>
      <c r="G7" s="3">
        <v>9.10016E-4</v>
      </c>
      <c r="H7" s="3">
        <v>9.46661E-4</v>
      </c>
      <c r="I7" s="3">
        <v>8.97587999999999E-4</v>
      </c>
      <c r="J7" s="3">
        <v>0.001049201</v>
      </c>
      <c r="K7" s="3">
        <v>0.001254126</v>
      </c>
      <c r="L7" s="3">
        <v>0.00147336999999999</v>
      </c>
      <c r="M7" s="3">
        <v>0.001687573</v>
      </c>
      <c r="N7" s="3">
        <v>0.001881077</v>
      </c>
      <c r="O7" s="3">
        <v>0.00203256899999999</v>
      </c>
    </row>
    <row r="8" ht="14.25" hidden="1" customHeight="1">
      <c r="A8" s="1" t="s">
        <v>33</v>
      </c>
      <c r="B8" s="1" t="s">
        <v>23</v>
      </c>
      <c r="C8" s="3">
        <v>3.380418E-5</v>
      </c>
      <c r="D8" s="3">
        <v>1.55172039999999E-4</v>
      </c>
      <c r="E8" s="3">
        <v>2.913823E-4</v>
      </c>
      <c r="F8" s="3">
        <v>5.657244E-4</v>
      </c>
      <c r="G8" s="3">
        <v>5.47883E-4</v>
      </c>
      <c r="H8" s="3">
        <v>5.547095E-4</v>
      </c>
      <c r="I8" s="3">
        <v>5.033664E-4</v>
      </c>
      <c r="J8" s="3">
        <v>4.86102499999999E-4</v>
      </c>
      <c r="K8" s="3">
        <v>4.62286199999999E-4</v>
      </c>
      <c r="L8" s="3">
        <v>4.443325E-4</v>
      </c>
      <c r="M8" s="3">
        <v>4.306968E-4</v>
      </c>
      <c r="N8" s="3">
        <v>4.179649E-4</v>
      </c>
      <c r="O8" s="3">
        <v>4.048624E-4</v>
      </c>
    </row>
    <row r="9" ht="14.25" customHeight="1">
      <c r="A9" s="1" t="s">
        <v>33</v>
      </c>
      <c r="B9" s="1" t="s">
        <v>26</v>
      </c>
      <c r="C9" s="3">
        <v>1.018014E-4</v>
      </c>
      <c r="D9" s="3">
        <v>4.4967E-4</v>
      </c>
      <c r="E9" s="3">
        <v>8.40385E-4</v>
      </c>
      <c r="F9" s="3">
        <v>0.0015166666</v>
      </c>
      <c r="G9" s="3">
        <v>0.001518405</v>
      </c>
      <c r="H9" s="3">
        <v>0.001354465</v>
      </c>
      <c r="I9" s="3">
        <v>8.77733E-4</v>
      </c>
      <c r="J9" s="3">
        <v>9.085646E-4</v>
      </c>
      <c r="K9" s="3">
        <v>0.001011982</v>
      </c>
      <c r="L9" s="3">
        <v>0.00120686499999999</v>
      </c>
      <c r="M9" s="3">
        <v>0.001420315</v>
      </c>
      <c r="N9" s="3">
        <v>0.00162766599999999</v>
      </c>
      <c r="O9" s="3">
        <v>0.00181088099999999</v>
      </c>
    </row>
    <row r="10" ht="14.25" hidden="1" customHeight="1">
      <c r="A10" s="1" t="s">
        <v>34</v>
      </c>
      <c r="B10" s="1" t="s">
        <v>23</v>
      </c>
      <c r="C10" s="3">
        <v>1.329571E-5</v>
      </c>
      <c r="D10" s="3">
        <v>2.525656E-5</v>
      </c>
      <c r="E10" s="3">
        <v>4.3530937E-5</v>
      </c>
      <c r="F10" s="3">
        <v>1.44279086E-4</v>
      </c>
      <c r="G10" s="3">
        <v>1.792908E-4</v>
      </c>
      <c r="H10" s="3">
        <v>2.31649499999999E-4</v>
      </c>
      <c r="I10" s="3">
        <v>3.059243E-4</v>
      </c>
      <c r="J10" s="3">
        <v>3.95143E-4</v>
      </c>
      <c r="K10" s="3">
        <v>4.859856E-4</v>
      </c>
      <c r="L10" s="3">
        <v>5.475921E-4</v>
      </c>
      <c r="M10" s="3">
        <v>6.01953E-4</v>
      </c>
      <c r="N10" s="3">
        <v>6.44424E-4</v>
      </c>
      <c r="O10" s="3">
        <v>6.79142E-4</v>
      </c>
    </row>
    <row r="11" ht="14.25" customHeight="1">
      <c r="A11" s="1" t="s">
        <v>34</v>
      </c>
      <c r="B11" s="1" t="s">
        <v>26</v>
      </c>
      <c r="C11" s="3">
        <v>1.452974E-4</v>
      </c>
      <c r="D11" s="3">
        <v>2.481071E-4</v>
      </c>
      <c r="E11" s="3">
        <v>4.0949685E-4</v>
      </c>
      <c r="F11" s="3">
        <v>3.693777E-4</v>
      </c>
      <c r="G11" s="3">
        <v>2.923194E-4</v>
      </c>
      <c r="H11" s="3">
        <v>2.998851E-4</v>
      </c>
      <c r="I11" s="3">
        <v>2.28636899999999E-4</v>
      </c>
      <c r="J11" s="3">
        <v>3.046557E-4</v>
      </c>
      <c r="K11" s="3">
        <v>4.04200599999999E-4</v>
      </c>
      <c r="L11" s="3">
        <v>5.596113E-4</v>
      </c>
      <c r="M11" s="3">
        <v>7.5127E-4</v>
      </c>
      <c r="N11" s="3">
        <v>9.99834E-4</v>
      </c>
      <c r="O11" s="3">
        <v>0.001282589</v>
      </c>
    </row>
    <row r="12" ht="14.25" hidden="1" customHeight="1">
      <c r="A12" s="1" t="s">
        <v>35</v>
      </c>
      <c r="B12" s="1" t="s">
        <v>23</v>
      </c>
      <c r="C12" s="3">
        <v>2.849887E-5</v>
      </c>
      <c r="D12" s="3">
        <v>1.4680738E-4</v>
      </c>
      <c r="E12" s="3">
        <v>1.13791336E-4</v>
      </c>
      <c r="F12" s="3">
        <v>2.05858796E-4</v>
      </c>
      <c r="G12" s="3">
        <v>2.02098999999999E-4</v>
      </c>
      <c r="H12" s="3">
        <v>2.139252E-4</v>
      </c>
      <c r="I12" s="3">
        <v>2.882746E-4</v>
      </c>
      <c r="J12" s="3">
        <v>3.747425E-4</v>
      </c>
      <c r="K12" s="3">
        <v>4.592754E-4</v>
      </c>
      <c r="L12" s="3">
        <v>5.600286E-4</v>
      </c>
      <c r="M12" s="3">
        <v>6.65396E-4</v>
      </c>
      <c r="N12" s="3">
        <v>7.74716E-4</v>
      </c>
      <c r="O12" s="3">
        <v>8.87594E-4</v>
      </c>
    </row>
    <row r="13" ht="14.25" customHeight="1">
      <c r="A13" s="1" t="s">
        <v>35</v>
      </c>
      <c r="B13" s="1" t="s">
        <v>26</v>
      </c>
      <c r="C13" s="3">
        <v>4.89604E-4</v>
      </c>
      <c r="D13" s="3">
        <v>9.11383199999999E-4</v>
      </c>
      <c r="E13" s="3">
        <v>0.0015479546</v>
      </c>
      <c r="F13" s="3">
        <v>0.0010536041</v>
      </c>
      <c r="G13" s="3">
        <v>8.315519E-4</v>
      </c>
      <c r="H13" s="3">
        <v>8.79845E-4</v>
      </c>
      <c r="I13" s="3">
        <v>0.001016369</v>
      </c>
      <c r="J13" s="3">
        <v>0.00155859599999999</v>
      </c>
      <c r="K13" s="3">
        <v>0.002273621</v>
      </c>
      <c r="L13" s="3">
        <v>0.00320469</v>
      </c>
      <c r="M13" s="3">
        <v>0.004374477</v>
      </c>
      <c r="N13" s="3">
        <v>0.00576516</v>
      </c>
      <c r="O13" s="3">
        <v>0.00731575</v>
      </c>
    </row>
    <row r="14" ht="14.25" hidden="1" customHeight="1">
      <c r="A14" s="1" t="s">
        <v>36</v>
      </c>
      <c r="B14" s="1" t="s">
        <v>23</v>
      </c>
      <c r="C14" s="3">
        <v>1.040977E-4</v>
      </c>
      <c r="D14" s="3">
        <v>7.64079999999999E-5</v>
      </c>
      <c r="E14" s="3">
        <v>3.407636E-5</v>
      </c>
      <c r="F14" s="3">
        <v>7.081133E-5</v>
      </c>
      <c r="G14" s="3">
        <v>8.740057E-5</v>
      </c>
      <c r="H14" s="3">
        <v>1.139184E-4</v>
      </c>
      <c r="I14" s="3">
        <v>1.336547E-4</v>
      </c>
      <c r="J14" s="3">
        <v>1.694276E-4</v>
      </c>
      <c r="K14" s="3">
        <v>2.07402799999999E-4</v>
      </c>
      <c r="L14" s="3">
        <v>2.52385899999999E-4</v>
      </c>
      <c r="M14" s="3">
        <v>3.043138E-4</v>
      </c>
      <c r="N14" s="3">
        <v>3.64517E-4</v>
      </c>
      <c r="O14" s="3">
        <v>4.29149E-4</v>
      </c>
    </row>
    <row r="15" ht="14.25" customHeight="1">
      <c r="A15" s="1" t="s">
        <v>36</v>
      </c>
      <c r="B15" s="1" t="s">
        <v>26</v>
      </c>
      <c r="C15" s="3">
        <v>2.871026E-4</v>
      </c>
      <c r="D15" s="3">
        <v>3.138095E-4</v>
      </c>
      <c r="E15" s="3">
        <v>5.057883E-4</v>
      </c>
      <c r="F15" s="3">
        <v>9.684271E-4</v>
      </c>
      <c r="G15" s="3">
        <v>0.001217803</v>
      </c>
      <c r="H15" s="3">
        <v>0.001574056</v>
      </c>
      <c r="I15" s="3">
        <v>0.001801631</v>
      </c>
      <c r="J15" s="3">
        <v>0.002329727</v>
      </c>
      <c r="K15" s="3">
        <v>0.002953486</v>
      </c>
      <c r="L15" s="3">
        <v>0.003753984</v>
      </c>
      <c r="M15" s="3">
        <v>0.004689257</v>
      </c>
      <c r="N15" s="3">
        <v>0.005715989</v>
      </c>
      <c r="O15" s="3">
        <v>0.00674281</v>
      </c>
    </row>
    <row r="16" ht="14.25" hidden="1" customHeight="1">
      <c r="A16" s="1" t="s">
        <v>37</v>
      </c>
      <c r="B16" s="1" t="s">
        <v>23</v>
      </c>
      <c r="C16" s="3">
        <v>1.779519E-5</v>
      </c>
      <c r="D16" s="3">
        <v>5.915533E-5</v>
      </c>
      <c r="E16" s="3">
        <v>1.20869966E-4</v>
      </c>
      <c r="F16" s="3">
        <v>2.305873E-5</v>
      </c>
      <c r="G16" s="3">
        <v>1.401142E-5</v>
      </c>
      <c r="H16" s="3">
        <v>9.699139E-6</v>
      </c>
      <c r="I16" s="3">
        <v>1.10943679999999E-5</v>
      </c>
      <c r="J16" s="3">
        <v>1.660932E-5</v>
      </c>
      <c r="K16" s="3">
        <v>2.139703E-5</v>
      </c>
      <c r="L16" s="3">
        <v>2.884674E-5</v>
      </c>
      <c r="M16" s="3">
        <v>3.574285E-5</v>
      </c>
      <c r="N16" s="3">
        <v>4.340417E-5</v>
      </c>
      <c r="O16" s="3">
        <v>5.198504E-5</v>
      </c>
    </row>
    <row r="17" ht="14.25" customHeight="1">
      <c r="A17" s="1" t="s">
        <v>37</v>
      </c>
      <c r="B17" s="1" t="s">
        <v>26</v>
      </c>
      <c r="C17" s="3">
        <v>3.797986E-5</v>
      </c>
      <c r="D17" s="3">
        <v>8.153557E-5</v>
      </c>
      <c r="E17" s="3">
        <v>2.0503379E-4</v>
      </c>
      <c r="F17" s="3">
        <v>1.1715861E-4</v>
      </c>
      <c r="G17" s="3">
        <v>1.219111E-4</v>
      </c>
      <c r="H17" s="3">
        <v>1.296657E-4</v>
      </c>
      <c r="I17" s="3">
        <v>1.550449E-4</v>
      </c>
      <c r="J17" s="3">
        <v>2.063585E-4</v>
      </c>
      <c r="K17" s="3">
        <v>2.50232299999999E-4</v>
      </c>
      <c r="L17" s="3">
        <v>3.282527E-4</v>
      </c>
      <c r="M17" s="3">
        <v>4.001369E-4</v>
      </c>
      <c r="N17" s="3">
        <v>4.816729E-4</v>
      </c>
      <c r="O17" s="3">
        <v>5.69973E-4</v>
      </c>
    </row>
    <row r="18" ht="14.25" hidden="1" customHeight="1">
      <c r="A18" s="1" t="s">
        <v>38</v>
      </c>
      <c r="B18" s="1" t="s">
        <v>23</v>
      </c>
      <c r="C18" s="3">
        <v>0.001755801</v>
      </c>
      <c r="D18" s="3">
        <v>0.00207411</v>
      </c>
      <c r="E18" s="3">
        <v>0.001712997</v>
      </c>
      <c r="F18" s="3">
        <v>9.131553E-4</v>
      </c>
      <c r="G18" s="3">
        <v>8.66958499999999E-4</v>
      </c>
      <c r="H18" s="3">
        <v>0.001104944</v>
      </c>
      <c r="I18" s="3">
        <v>0.00127992</v>
      </c>
      <c r="J18" s="3">
        <v>0.00162840999999999</v>
      </c>
      <c r="K18" s="3">
        <v>0.001986197</v>
      </c>
      <c r="L18" s="3">
        <v>0.002389667</v>
      </c>
      <c r="M18" s="3">
        <v>0.00283894199999999</v>
      </c>
      <c r="N18" s="3">
        <v>0.003342188</v>
      </c>
      <c r="O18" s="3">
        <v>0.003859662</v>
      </c>
    </row>
    <row r="19" ht="14.25" customHeight="1">
      <c r="A19" s="1" t="s">
        <v>38</v>
      </c>
      <c r="B19" s="1" t="s">
        <v>26</v>
      </c>
      <c r="C19" s="3">
        <v>0.003543687</v>
      </c>
      <c r="D19" s="3">
        <v>0.007078535</v>
      </c>
      <c r="E19" s="3">
        <v>0.01103414</v>
      </c>
      <c r="F19" s="3">
        <v>0.017773295</v>
      </c>
      <c r="G19" s="3">
        <v>0.02310869</v>
      </c>
      <c r="H19" s="3">
        <v>0.03016406</v>
      </c>
      <c r="I19" s="3">
        <v>0.03756834</v>
      </c>
      <c r="J19" s="3">
        <v>0.0501196399999999</v>
      </c>
      <c r="K19" s="3">
        <v>0.06545417</v>
      </c>
      <c r="L19" s="3">
        <v>0.0849834999999999</v>
      </c>
      <c r="M19" s="3">
        <v>0.1078396</v>
      </c>
      <c r="N19" s="3">
        <v>0.1330112</v>
      </c>
      <c r="O19" s="3">
        <v>0.1581207</v>
      </c>
    </row>
    <row r="20" ht="14.25" hidden="1" customHeight="1">
      <c r="A20" s="1" t="s">
        <v>39</v>
      </c>
      <c r="B20" s="1" t="s">
        <v>23</v>
      </c>
      <c r="C20" s="3">
        <v>1.38019E-5</v>
      </c>
      <c r="D20" s="3">
        <v>7.740345E-5</v>
      </c>
      <c r="E20" s="3">
        <v>1.2404647E-4</v>
      </c>
      <c r="F20" s="3">
        <v>6.654024E-5</v>
      </c>
      <c r="G20" s="3">
        <v>6.584278E-5</v>
      </c>
      <c r="H20" s="3">
        <v>7.3741E-5</v>
      </c>
      <c r="I20" s="3">
        <v>7.394382E-5</v>
      </c>
      <c r="J20" s="3">
        <v>2.85107999999999E-5</v>
      </c>
      <c r="K20" s="3">
        <v>4.1474E-5</v>
      </c>
      <c r="L20" s="3">
        <v>6.20047E-5</v>
      </c>
      <c r="M20" s="3">
        <v>8.20486E-5</v>
      </c>
      <c r="N20" s="3">
        <v>1.025153E-4</v>
      </c>
      <c r="O20" s="3">
        <v>1.250497E-4</v>
      </c>
    </row>
    <row r="21" ht="14.25" customHeight="1">
      <c r="A21" s="1" t="s">
        <v>39</v>
      </c>
      <c r="B21" s="1" t="s">
        <v>26</v>
      </c>
      <c r="C21" s="3">
        <v>1.860101E-5</v>
      </c>
      <c r="D21" s="3">
        <v>3.73803499999999E-5</v>
      </c>
      <c r="E21" s="3">
        <v>4.7645752E-5</v>
      </c>
      <c r="F21" s="3">
        <v>4.20636439999999E-5</v>
      </c>
      <c r="G21" s="3">
        <v>5.097316E-5</v>
      </c>
      <c r="H21" s="3">
        <v>6.033974E-5</v>
      </c>
      <c r="I21" s="3">
        <v>7.727339E-5</v>
      </c>
      <c r="J21" s="3">
        <v>1.053643E-4</v>
      </c>
      <c r="K21" s="3">
        <v>1.331757E-4</v>
      </c>
      <c r="L21" s="3">
        <v>1.68703E-4</v>
      </c>
      <c r="M21" s="3">
        <v>2.10703E-4</v>
      </c>
      <c r="N21" s="3">
        <v>2.596479E-4</v>
      </c>
      <c r="O21" s="3">
        <v>3.139687E-4</v>
      </c>
    </row>
    <row r="22" ht="14.25" hidden="1" customHeight="1">
      <c r="A22" s="1" t="s">
        <v>40</v>
      </c>
      <c r="B22" s="1" t="s">
        <v>23</v>
      </c>
      <c r="C22" s="3">
        <v>9.78082E-5</v>
      </c>
      <c r="D22" s="3">
        <v>0.002890581</v>
      </c>
      <c r="E22" s="3">
        <v>2.60077E-4</v>
      </c>
      <c r="F22" s="3">
        <v>7.728391E-5</v>
      </c>
      <c r="G22" s="3">
        <v>2.9150024E-5</v>
      </c>
      <c r="H22" s="3">
        <v>1.670279E-5</v>
      </c>
      <c r="I22" s="3">
        <v>6.46963999999999E-6</v>
      </c>
      <c r="J22" s="3">
        <v>7.65047E-6</v>
      </c>
      <c r="K22" s="3">
        <v>9.27563E-6</v>
      </c>
      <c r="L22" s="3">
        <v>1.13052E-5</v>
      </c>
      <c r="M22" s="3">
        <v>1.332968E-5</v>
      </c>
      <c r="N22" s="3">
        <v>1.544631E-5</v>
      </c>
      <c r="O22" s="3">
        <v>1.774053E-5</v>
      </c>
    </row>
    <row r="23" ht="14.25" customHeight="1">
      <c r="A23" s="1" t="s">
        <v>40</v>
      </c>
      <c r="B23" s="1" t="s">
        <v>26</v>
      </c>
      <c r="C23" s="3">
        <v>1.350102E-4</v>
      </c>
      <c r="D23" s="3">
        <v>0.0082793187</v>
      </c>
      <c r="E23" s="3">
        <v>4.50722E-4</v>
      </c>
      <c r="F23" s="3">
        <v>1.66286289999999E-4</v>
      </c>
      <c r="G23" s="3">
        <v>9.532805E-5</v>
      </c>
      <c r="H23" s="3">
        <v>7.07752999999999E-5</v>
      </c>
      <c r="I23" s="3">
        <v>7.458591E-5</v>
      </c>
      <c r="J23" s="3">
        <v>8.677927E-5</v>
      </c>
      <c r="K23" s="3">
        <v>1.014061E-4</v>
      </c>
      <c r="L23" s="3">
        <v>1.24549E-4</v>
      </c>
      <c r="M23" s="3">
        <v>1.528888E-4</v>
      </c>
      <c r="N23" s="3">
        <v>1.834218E-4</v>
      </c>
      <c r="O23" s="3">
        <v>2.152744E-4</v>
      </c>
    </row>
    <row r="24" ht="14.25" hidden="1" customHeight="1">
      <c r="A24" s="1" t="s">
        <v>41</v>
      </c>
      <c r="B24" s="1" t="s">
        <v>23</v>
      </c>
      <c r="C24" s="3">
        <v>2.10698599999999E-4</v>
      </c>
      <c r="D24" s="3">
        <v>4.456383E-4</v>
      </c>
      <c r="E24" s="3">
        <v>4.47881799999999E-4</v>
      </c>
      <c r="F24" s="3">
        <v>9.3834399E-4</v>
      </c>
      <c r="G24" s="3">
        <v>9.34540999999999E-4</v>
      </c>
      <c r="H24" s="3">
        <v>0.001090926</v>
      </c>
      <c r="I24" s="3">
        <v>0.001307593</v>
      </c>
      <c r="J24" s="3">
        <v>0.001457496</v>
      </c>
      <c r="K24" s="3">
        <v>0.001516925</v>
      </c>
      <c r="L24" s="3">
        <v>0.001733462</v>
      </c>
      <c r="M24" s="3">
        <v>0.001983165</v>
      </c>
      <c r="N24" s="3">
        <v>0.002216936</v>
      </c>
      <c r="O24" s="3">
        <v>0.002420858</v>
      </c>
    </row>
    <row r="25" ht="14.25" customHeight="1">
      <c r="A25" s="1" t="s">
        <v>41</v>
      </c>
      <c r="B25" s="1" t="s">
        <v>26</v>
      </c>
      <c r="C25" s="3">
        <v>0.004414688</v>
      </c>
      <c r="D25" s="3">
        <v>0.00714905699999999</v>
      </c>
      <c r="E25" s="3">
        <v>0.006817188</v>
      </c>
      <c r="F25" s="3">
        <v>0.008350154</v>
      </c>
      <c r="G25" s="3">
        <v>0.00858385</v>
      </c>
      <c r="H25" s="3">
        <v>0.00952229</v>
      </c>
      <c r="I25" s="3">
        <v>0.01087452</v>
      </c>
      <c r="J25" s="3">
        <v>0.01658695</v>
      </c>
      <c r="K25" s="3">
        <v>0.0240833599999999</v>
      </c>
      <c r="L25" s="3">
        <v>0.03349352</v>
      </c>
      <c r="M25" s="3">
        <v>0.04486839</v>
      </c>
      <c r="N25" s="3">
        <v>0.05822315</v>
      </c>
      <c r="O25" s="3">
        <v>0.0728973</v>
      </c>
    </row>
    <row r="26" ht="14.25" hidden="1" customHeight="1">
      <c r="A26" s="1" t="s">
        <v>42</v>
      </c>
      <c r="B26" s="1" t="s">
        <v>23</v>
      </c>
      <c r="C26" s="3">
        <v>5.70871E-5</v>
      </c>
      <c r="D26" s="3">
        <v>1.6215764E-4</v>
      </c>
      <c r="E26" s="3">
        <v>3.988514E-4</v>
      </c>
      <c r="F26" s="3">
        <v>7.3793784E-4</v>
      </c>
      <c r="G26" s="3">
        <v>8.553901E-4</v>
      </c>
      <c r="H26" s="3">
        <v>0.0010130588</v>
      </c>
      <c r="I26" s="3">
        <v>0.001144346</v>
      </c>
      <c r="J26" s="3">
        <v>0.001260494</v>
      </c>
      <c r="K26" s="3">
        <v>0.00134514699999999</v>
      </c>
      <c r="L26" s="3">
        <v>0.00143103</v>
      </c>
      <c r="M26" s="3">
        <v>0.001511053</v>
      </c>
      <c r="N26" s="3">
        <v>0.00158504899999999</v>
      </c>
      <c r="O26" s="3">
        <v>0.001637728</v>
      </c>
    </row>
    <row r="27" ht="14.25" customHeight="1">
      <c r="A27" s="1" t="s">
        <v>42</v>
      </c>
      <c r="B27" s="1" t="s">
        <v>26</v>
      </c>
      <c r="C27" s="3">
        <v>2.275128E-4</v>
      </c>
      <c r="D27" s="3">
        <v>4.05262599999999E-4</v>
      </c>
      <c r="E27" s="3">
        <v>7.10218499999999E-4</v>
      </c>
      <c r="F27" s="3">
        <v>0.0012318034</v>
      </c>
      <c r="G27" s="3">
        <v>0.0013003845</v>
      </c>
      <c r="H27" s="3">
        <v>0.001400801</v>
      </c>
      <c r="I27" s="3">
        <v>0.001423208</v>
      </c>
      <c r="J27" s="3">
        <v>0.001770805</v>
      </c>
      <c r="K27" s="3">
        <v>0.00221241899999999</v>
      </c>
      <c r="L27" s="3">
        <v>0.002625025</v>
      </c>
      <c r="M27" s="3">
        <v>0.003085166</v>
      </c>
      <c r="N27" s="3">
        <v>0.003549348</v>
      </c>
      <c r="O27" s="3">
        <v>0.003967517</v>
      </c>
    </row>
    <row r="28" ht="14.25" hidden="1" customHeight="1">
      <c r="A28" s="1" t="s">
        <v>43</v>
      </c>
      <c r="B28" s="1" t="s">
        <v>23</v>
      </c>
      <c r="C28" s="3">
        <v>3.088063E-4</v>
      </c>
      <c r="D28" s="3">
        <v>3.925823E-4</v>
      </c>
      <c r="E28" s="3">
        <v>8.52513299999999E-4</v>
      </c>
      <c r="F28" s="3">
        <v>0.0025828163</v>
      </c>
      <c r="G28" s="3">
        <v>0.004037718</v>
      </c>
      <c r="H28" s="3">
        <v>0.005361067</v>
      </c>
      <c r="I28" s="3">
        <v>0.00637629</v>
      </c>
      <c r="J28" s="3">
        <v>0.00679438</v>
      </c>
      <c r="K28" s="3">
        <v>0.00670703</v>
      </c>
      <c r="L28" s="3">
        <v>0.00719319</v>
      </c>
      <c r="M28" s="3">
        <v>0.00758952</v>
      </c>
      <c r="N28" s="3">
        <v>0.00785955</v>
      </c>
      <c r="O28" s="3">
        <v>0.0079811</v>
      </c>
    </row>
    <row r="29" ht="14.25" customHeight="1">
      <c r="A29" s="1" t="s">
        <v>43</v>
      </c>
      <c r="B29" s="1" t="s">
        <v>26</v>
      </c>
      <c r="C29" s="3">
        <v>0.002278588</v>
      </c>
      <c r="D29" s="3">
        <v>0.002943464</v>
      </c>
      <c r="E29" s="3">
        <v>0.004943705</v>
      </c>
      <c r="F29" s="3">
        <v>0.00718808499999999</v>
      </c>
      <c r="G29" s="3">
        <v>0.00776408699999999</v>
      </c>
      <c r="H29" s="3">
        <v>0.00858146</v>
      </c>
      <c r="I29" s="3">
        <v>0.00865309</v>
      </c>
      <c r="J29" s="3">
        <v>0.01123074</v>
      </c>
      <c r="K29" s="3">
        <v>0.0144646499999999</v>
      </c>
      <c r="L29" s="3">
        <v>0.01817104</v>
      </c>
      <c r="M29" s="3">
        <v>0.0224938799999999</v>
      </c>
      <c r="N29" s="3">
        <v>0.0273474499999999</v>
      </c>
      <c r="O29" s="3">
        <v>0.03241084</v>
      </c>
    </row>
    <row r="30" ht="14.25" hidden="1" customHeight="1">
      <c r="A30" s="1" t="s">
        <v>44</v>
      </c>
      <c r="B30" s="1" t="s">
        <v>23</v>
      </c>
      <c r="C30" s="3">
        <v>3.538783E-5</v>
      </c>
      <c r="D30" s="3">
        <v>2.4138609E-4</v>
      </c>
      <c r="E30" s="3">
        <v>1.138E-4</v>
      </c>
      <c r="F30" s="3">
        <v>3.630395E-4</v>
      </c>
      <c r="G30" s="3">
        <v>2.5192175E-4</v>
      </c>
      <c r="H30" s="3">
        <v>2.746885E-4</v>
      </c>
      <c r="I30" s="3">
        <v>3.171678E-4</v>
      </c>
      <c r="J30" s="3">
        <v>3.332279E-4</v>
      </c>
      <c r="K30" s="3">
        <v>3.320347E-4</v>
      </c>
      <c r="L30" s="3">
        <v>3.730791E-4</v>
      </c>
      <c r="M30" s="3">
        <v>4.14298E-4</v>
      </c>
      <c r="N30" s="3">
        <v>4.523051E-4</v>
      </c>
      <c r="O30" s="3">
        <v>4.889121E-4</v>
      </c>
    </row>
    <row r="31" ht="14.25" customHeight="1">
      <c r="A31" s="1" t="s">
        <v>44</v>
      </c>
      <c r="B31" s="1" t="s">
        <v>26</v>
      </c>
      <c r="C31" s="3">
        <v>0.001106504</v>
      </c>
      <c r="D31" s="3">
        <v>0.003659798</v>
      </c>
      <c r="E31" s="3">
        <v>0.00102526</v>
      </c>
      <c r="F31" s="3">
        <v>0.004019099</v>
      </c>
      <c r="G31" s="3">
        <v>0.003552894</v>
      </c>
      <c r="H31" s="3">
        <v>0.0039213218</v>
      </c>
      <c r="I31" s="3">
        <v>0.004326111</v>
      </c>
      <c r="J31" s="3">
        <v>0.00536699</v>
      </c>
      <c r="K31" s="3">
        <v>0.006338262</v>
      </c>
      <c r="L31" s="3">
        <v>0.007703606</v>
      </c>
      <c r="M31" s="3">
        <v>0.009181675</v>
      </c>
      <c r="N31" s="3">
        <v>0.01061292</v>
      </c>
      <c r="O31" s="3">
        <v>0.0119098</v>
      </c>
    </row>
    <row r="32" ht="14.25" hidden="1" customHeight="1">
      <c r="A32" s="1" t="s">
        <v>45</v>
      </c>
      <c r="B32" s="1" t="s">
        <v>23</v>
      </c>
      <c r="C32" s="3">
        <v>5.38523E-4</v>
      </c>
      <c r="D32" s="3">
        <v>9.775602E-4</v>
      </c>
      <c r="E32" s="3">
        <v>0.0025632248</v>
      </c>
      <c r="F32" s="3">
        <v>0.0083025327</v>
      </c>
      <c r="G32" s="3">
        <v>0.008359192</v>
      </c>
      <c r="H32" s="3">
        <v>0.009091482</v>
      </c>
      <c r="I32" s="3">
        <v>0.0101871299999999</v>
      </c>
      <c r="J32" s="3">
        <v>0.01102765</v>
      </c>
      <c r="K32" s="3">
        <v>0.01173184</v>
      </c>
      <c r="L32" s="3">
        <v>0.01274608</v>
      </c>
      <c r="M32" s="3">
        <v>0.01367554</v>
      </c>
      <c r="N32" s="3">
        <v>0.0144892</v>
      </c>
      <c r="O32" s="3">
        <v>0.01505287</v>
      </c>
    </row>
    <row r="33" ht="14.25" customHeight="1">
      <c r="A33" s="1" t="s">
        <v>45</v>
      </c>
      <c r="B33" s="1" t="s">
        <v>26</v>
      </c>
      <c r="C33" s="3">
        <v>0.001117592</v>
      </c>
      <c r="D33" s="3">
        <v>0.002478991</v>
      </c>
      <c r="E33" s="3">
        <v>0.00110213</v>
      </c>
      <c r="F33" s="3">
        <v>0.0140609</v>
      </c>
      <c r="G33" s="3">
        <v>0.01597226</v>
      </c>
      <c r="H33" s="3">
        <v>0.018423644</v>
      </c>
      <c r="I33" s="3">
        <v>0.0218342</v>
      </c>
      <c r="J33" s="3">
        <v>0.02661295</v>
      </c>
      <c r="K33" s="3">
        <v>0.03233353</v>
      </c>
      <c r="L33" s="3">
        <v>0.03795218</v>
      </c>
      <c r="M33" s="3">
        <v>0.0444371</v>
      </c>
      <c r="N33" s="3">
        <v>0.05092255</v>
      </c>
      <c r="O33" s="3">
        <v>0.05671434</v>
      </c>
    </row>
    <row r="34" ht="14.25" hidden="1" customHeight="1">
      <c r="A34" s="1" t="s">
        <v>46</v>
      </c>
      <c r="B34" s="1" t="s">
        <v>23</v>
      </c>
      <c r="C34" s="3">
        <v>8.35001E-5</v>
      </c>
      <c r="D34" s="3">
        <v>1.229989E-4</v>
      </c>
      <c r="E34" s="3">
        <v>1.586307E-4</v>
      </c>
      <c r="F34" s="3">
        <v>3.96594689999999E-4</v>
      </c>
      <c r="G34" s="3">
        <v>2.81326E-4</v>
      </c>
      <c r="H34" s="3">
        <v>3.10458E-4</v>
      </c>
      <c r="I34" s="3">
        <v>3.13736E-4</v>
      </c>
      <c r="J34" s="3">
        <v>3.101401E-4</v>
      </c>
      <c r="K34" s="3">
        <v>2.961246E-4</v>
      </c>
      <c r="L34" s="3">
        <v>3.132991E-4</v>
      </c>
      <c r="M34" s="3">
        <v>3.35810299999999E-4</v>
      </c>
      <c r="N34" s="3">
        <v>3.55489999999999E-4</v>
      </c>
      <c r="O34" s="3">
        <v>3.698855E-4</v>
      </c>
    </row>
    <row r="35" ht="14.25" customHeight="1">
      <c r="A35" s="1" t="s">
        <v>46</v>
      </c>
      <c r="B35" s="1" t="s">
        <v>26</v>
      </c>
      <c r="C35" s="3">
        <v>4.32100099999999E-4</v>
      </c>
      <c r="D35" s="3">
        <v>6.290483E-4</v>
      </c>
      <c r="E35" s="3">
        <v>8.589549E-4</v>
      </c>
      <c r="F35" s="3">
        <v>0.001568031</v>
      </c>
      <c r="G35" s="3">
        <v>0.001502903</v>
      </c>
      <c r="H35" s="3">
        <v>0.001682643</v>
      </c>
      <c r="I35" s="3">
        <v>0.001764434</v>
      </c>
      <c r="J35" s="3">
        <v>0.002280214</v>
      </c>
      <c r="K35" s="3">
        <v>0.00290387</v>
      </c>
      <c r="L35" s="3">
        <v>0.00368977799999999</v>
      </c>
      <c r="M35" s="3">
        <v>0.004581397</v>
      </c>
      <c r="N35" s="3">
        <v>0.00556953199999999</v>
      </c>
      <c r="O35" s="3">
        <v>0.00660066</v>
      </c>
    </row>
    <row r="36" ht="14.25" hidden="1" customHeight="1">
      <c r="A36" s="1" t="s">
        <v>47</v>
      </c>
      <c r="B36" s="1" t="s">
        <v>23</v>
      </c>
      <c r="C36" s="3">
        <v>2.44802499999999E-4</v>
      </c>
      <c r="D36" s="3">
        <v>2.188126E-4</v>
      </c>
      <c r="E36" s="3">
        <v>1.70493E-4</v>
      </c>
      <c r="F36" s="3">
        <v>3.05497619999999E-4</v>
      </c>
      <c r="G36" s="3">
        <v>1.365518E-4</v>
      </c>
      <c r="H36" s="3">
        <v>5.81517999999999E-5</v>
      </c>
      <c r="I36" s="3">
        <v>4.586693E-5</v>
      </c>
      <c r="J36" s="3">
        <v>5.121235E-5</v>
      </c>
      <c r="K36" s="3">
        <v>5.9442E-5</v>
      </c>
      <c r="L36" s="3">
        <v>6.728822E-5</v>
      </c>
      <c r="M36" s="3">
        <v>7.5393E-5</v>
      </c>
      <c r="N36" s="3">
        <v>8.31725E-5</v>
      </c>
      <c r="O36" s="3">
        <v>8.94741E-5</v>
      </c>
    </row>
    <row r="37" ht="14.25" customHeight="1">
      <c r="A37" s="1" t="s">
        <v>47</v>
      </c>
      <c r="B37" s="1" t="s">
        <v>26</v>
      </c>
      <c r="C37" s="3">
        <v>4.287912E-4</v>
      </c>
      <c r="D37" s="3">
        <v>3.579331E-4</v>
      </c>
      <c r="E37" s="3">
        <v>6.63231999999999E-4</v>
      </c>
      <c r="F37" s="3">
        <v>0.0015890952</v>
      </c>
      <c r="G37" s="3">
        <v>0.001494315</v>
      </c>
      <c r="H37" s="3">
        <v>0.001757289</v>
      </c>
      <c r="I37" s="3">
        <v>0.001823279</v>
      </c>
      <c r="J37" s="3">
        <v>0.002142869</v>
      </c>
      <c r="K37" s="3">
        <v>0.00249701399999999</v>
      </c>
      <c r="L37" s="3">
        <v>0.003074203</v>
      </c>
      <c r="M37" s="3">
        <v>0.00374854199999999</v>
      </c>
      <c r="N37" s="3">
        <v>0.004484108</v>
      </c>
      <c r="O37" s="3">
        <v>0.005244659</v>
      </c>
    </row>
    <row r="38" ht="14.25" hidden="1" customHeight="1">
      <c r="A38" s="1" t="s">
        <v>48</v>
      </c>
      <c r="B38" s="1" t="s">
        <v>23</v>
      </c>
      <c r="C38" s="3">
        <v>4.4994E-6</v>
      </c>
      <c r="D38" s="3">
        <v>8.149324E-6</v>
      </c>
      <c r="E38" s="3">
        <v>1.4220917E-5</v>
      </c>
      <c r="F38" s="3">
        <v>5.0464262E-5</v>
      </c>
      <c r="G38" s="3">
        <v>6.310869E-5</v>
      </c>
      <c r="H38" s="3">
        <v>7.548439E-5</v>
      </c>
      <c r="I38" s="3">
        <v>8.98271999999999E-5</v>
      </c>
      <c r="J38" s="3">
        <v>9.91214999999999E-5</v>
      </c>
      <c r="K38" s="3">
        <v>1.19732E-4</v>
      </c>
      <c r="L38" s="3">
        <v>1.368784E-4</v>
      </c>
      <c r="M38" s="3">
        <v>1.515106E-4</v>
      </c>
      <c r="N38" s="3">
        <v>1.65823E-4</v>
      </c>
      <c r="O38" s="3">
        <v>1.784412E-4</v>
      </c>
    </row>
    <row r="39" ht="14.25" customHeight="1">
      <c r="A39" s="1" t="s">
        <v>48</v>
      </c>
      <c r="B39" s="1" t="s">
        <v>26</v>
      </c>
      <c r="C39" s="3">
        <v>3.814819E-6</v>
      </c>
      <c r="D39" s="3">
        <v>9.336149E-6</v>
      </c>
      <c r="E39" s="3">
        <v>1.767908E-5</v>
      </c>
      <c r="F39" s="3">
        <v>2.6015805E-5</v>
      </c>
      <c r="G39" s="3">
        <v>2.847213E-5</v>
      </c>
      <c r="H39" s="3">
        <v>3.616533E-5</v>
      </c>
      <c r="I39" s="3">
        <v>4.755732E-5</v>
      </c>
      <c r="J39" s="3">
        <v>6.448993E-5</v>
      </c>
      <c r="K39" s="3">
        <v>8.0078E-5</v>
      </c>
      <c r="L39" s="3">
        <v>1.006531E-4</v>
      </c>
      <c r="M39" s="3">
        <v>1.246052E-4</v>
      </c>
      <c r="N39" s="3">
        <v>1.50117E-4</v>
      </c>
      <c r="O39" s="3">
        <v>1.768359E-4</v>
      </c>
    </row>
    <row r="40" ht="14.25" hidden="1" customHeight="1">
      <c r="A40" s="1" t="s">
        <v>49</v>
      </c>
      <c r="B40" s="1" t="s">
        <v>23</v>
      </c>
      <c r="C40" s="3">
        <v>4.59264E-6</v>
      </c>
      <c r="D40" s="3">
        <v>2.283913E-6</v>
      </c>
      <c r="E40" s="3">
        <v>8.09375599999999E-7</v>
      </c>
      <c r="F40" s="3">
        <v>1.92180609999999E-6</v>
      </c>
      <c r="G40" s="3">
        <v>1.998453E-6</v>
      </c>
      <c r="H40" s="3">
        <v>2.510743E-6</v>
      </c>
      <c r="I40" s="3">
        <v>1.44871899999999E-6</v>
      </c>
      <c r="J40" s="3">
        <v>1.7394955E-6</v>
      </c>
      <c r="K40" s="3">
        <v>2.082932E-6</v>
      </c>
      <c r="L40" s="3">
        <v>2.424319E-6</v>
      </c>
      <c r="M40" s="3">
        <v>2.787278E-6</v>
      </c>
      <c r="N40" s="3">
        <v>3.139357E-6</v>
      </c>
      <c r="O40" s="3">
        <v>3.43836199999999E-6</v>
      </c>
    </row>
    <row r="41" ht="14.25" customHeight="1">
      <c r="A41" s="1" t="s">
        <v>49</v>
      </c>
      <c r="B41" s="1" t="s">
        <v>26</v>
      </c>
      <c r="C41" s="3">
        <v>9.59819E-6</v>
      </c>
      <c r="D41" s="3">
        <v>8.2729E-6</v>
      </c>
      <c r="E41" s="3">
        <v>8.309281E-6</v>
      </c>
      <c r="F41" s="3">
        <v>1.6921066E-5</v>
      </c>
      <c r="G41" s="3">
        <v>1.300943E-5</v>
      </c>
      <c r="H41" s="3">
        <v>1.300574E-5</v>
      </c>
      <c r="I41" s="3">
        <v>1.323144E-5</v>
      </c>
      <c r="J41" s="3">
        <v>1.68117099999999E-5</v>
      </c>
      <c r="K41" s="3">
        <v>2.158916E-5</v>
      </c>
      <c r="L41" s="3">
        <v>2.81859599999999E-5</v>
      </c>
      <c r="M41" s="3">
        <v>3.587822E-5</v>
      </c>
      <c r="N41" s="3">
        <v>4.437513E-5</v>
      </c>
      <c r="O41" s="3">
        <v>5.348655E-5</v>
      </c>
    </row>
    <row r="42" ht="14.25" hidden="1" customHeight="1">
      <c r="A42" s="1" t="s">
        <v>50</v>
      </c>
      <c r="B42" s="1" t="s">
        <v>23</v>
      </c>
      <c r="C42" s="3">
        <v>5.72975E-5</v>
      </c>
      <c r="D42" s="3">
        <v>1.2144483E-4</v>
      </c>
      <c r="E42" s="3">
        <v>1.1290767E-4</v>
      </c>
      <c r="F42" s="3">
        <v>2.1441693E-4</v>
      </c>
      <c r="G42" s="3">
        <v>2.031865E-4</v>
      </c>
      <c r="H42" s="3">
        <v>2.281954E-4</v>
      </c>
      <c r="I42" s="3">
        <v>2.482737E-4</v>
      </c>
      <c r="J42" s="3">
        <v>2.711334E-4</v>
      </c>
      <c r="K42" s="3">
        <v>2.651623E-4</v>
      </c>
      <c r="L42" s="3">
        <v>2.862965E-4</v>
      </c>
      <c r="M42" s="3">
        <v>3.133643E-4</v>
      </c>
      <c r="N42" s="3">
        <v>3.392022E-4</v>
      </c>
      <c r="O42" s="3">
        <v>3.615537E-4</v>
      </c>
    </row>
    <row r="43" ht="14.25" customHeight="1">
      <c r="A43" s="1" t="s">
        <v>50</v>
      </c>
      <c r="B43" s="1" t="s">
        <v>26</v>
      </c>
      <c r="C43" s="3">
        <v>0.001639724</v>
      </c>
      <c r="D43" s="3">
        <v>0.002476564</v>
      </c>
      <c r="E43" s="3">
        <v>0.00201521829999999</v>
      </c>
      <c r="F43" s="3">
        <v>0.0024615519</v>
      </c>
      <c r="G43" s="3">
        <v>0.00244284</v>
      </c>
      <c r="H43" s="3">
        <v>0.002560462</v>
      </c>
      <c r="I43" s="3">
        <v>0.00259992</v>
      </c>
      <c r="J43" s="3">
        <v>0.003743636</v>
      </c>
      <c r="K43" s="3">
        <v>0.005329103</v>
      </c>
      <c r="L43" s="3">
        <v>0.007339036</v>
      </c>
      <c r="M43" s="3">
        <v>0.00977778</v>
      </c>
      <c r="N43" s="3">
        <v>0.01265028</v>
      </c>
      <c r="O43" s="3">
        <v>0.01580547</v>
      </c>
    </row>
    <row r="44" ht="14.25" hidden="1" customHeight="1">
      <c r="A44" s="1" t="s">
        <v>51</v>
      </c>
      <c r="B44" s="1" t="s">
        <v>23</v>
      </c>
      <c r="C44" s="3">
        <v>3.842484E-5</v>
      </c>
      <c r="D44" s="3">
        <v>1.7059243E-4</v>
      </c>
      <c r="E44" s="3">
        <v>2.05955699999999E-4</v>
      </c>
      <c r="F44" s="3">
        <v>4.7205169E-4</v>
      </c>
      <c r="G44" s="3">
        <v>4.255194E-4</v>
      </c>
      <c r="H44" s="3">
        <v>4.524215E-4</v>
      </c>
      <c r="I44" s="3">
        <v>4.579127E-4</v>
      </c>
      <c r="J44" s="3">
        <v>4.777713E-4</v>
      </c>
      <c r="K44" s="3">
        <v>4.92330999999999E-4</v>
      </c>
      <c r="L44" s="3">
        <v>5.018482E-4</v>
      </c>
      <c r="M44" s="3">
        <v>5.06490199999999E-4</v>
      </c>
      <c r="N44" s="3">
        <v>5.06852099999999E-4</v>
      </c>
      <c r="O44" s="3">
        <v>5.011073E-4</v>
      </c>
    </row>
    <row r="45" ht="14.25" customHeight="1">
      <c r="A45" s="1" t="s">
        <v>51</v>
      </c>
      <c r="B45" s="1" t="s">
        <v>26</v>
      </c>
      <c r="C45" s="3">
        <v>8.20989E-5</v>
      </c>
      <c r="D45" s="3">
        <v>3.838655E-4</v>
      </c>
      <c r="E45" s="3">
        <v>5.18336799999999E-4</v>
      </c>
      <c r="F45" s="3">
        <v>0.00100045089999999</v>
      </c>
      <c r="G45" s="3">
        <v>0.001060822</v>
      </c>
      <c r="H45" s="3">
        <v>0.001054924</v>
      </c>
      <c r="I45" s="3">
        <v>9.19174999999999E-4</v>
      </c>
      <c r="J45" s="3">
        <v>0.001038715</v>
      </c>
      <c r="K45" s="3">
        <v>0.001215517</v>
      </c>
      <c r="L45" s="3">
        <v>0.001416078</v>
      </c>
      <c r="M45" s="3">
        <v>0.001624029</v>
      </c>
      <c r="N45" s="3">
        <v>0.00181992</v>
      </c>
      <c r="O45" s="3">
        <v>0.001984157</v>
      </c>
    </row>
    <row r="46" ht="14.25" hidden="1" customHeight="1">
      <c r="A46" s="1" t="s">
        <v>52</v>
      </c>
      <c r="B46" s="1" t="s">
        <v>23</v>
      </c>
      <c r="C46" s="3">
        <v>1.579849E-5</v>
      </c>
      <c r="D46" s="3">
        <v>7.16493399999999E-5</v>
      </c>
      <c r="E46" s="3">
        <v>1.1246398E-4</v>
      </c>
      <c r="F46" s="3">
        <v>4.7773393E-4</v>
      </c>
      <c r="G46" s="3">
        <v>5.055573E-4</v>
      </c>
      <c r="H46" s="3">
        <v>5.118688E-4</v>
      </c>
      <c r="I46" s="3">
        <v>5.11941E-4</v>
      </c>
      <c r="J46" s="3">
        <v>5.015941E-4</v>
      </c>
      <c r="K46" s="3">
        <v>4.919673E-4</v>
      </c>
      <c r="L46" s="3">
        <v>4.696613E-4</v>
      </c>
      <c r="M46" s="3">
        <v>4.437909E-4</v>
      </c>
      <c r="N46" s="3">
        <v>4.152524E-4</v>
      </c>
      <c r="O46" s="3">
        <v>3.863504E-4</v>
      </c>
    </row>
    <row r="47" ht="14.25" customHeight="1">
      <c r="A47" s="1" t="s">
        <v>52</v>
      </c>
      <c r="B47" s="1" t="s">
        <v>26</v>
      </c>
      <c r="C47" s="3">
        <v>2.340012E-5</v>
      </c>
      <c r="D47" s="3">
        <v>1.3113318E-4</v>
      </c>
      <c r="E47" s="3">
        <v>2.181407E-4</v>
      </c>
      <c r="F47" s="3">
        <v>3.953424E-4</v>
      </c>
      <c r="G47" s="3">
        <v>3.868225E-4</v>
      </c>
      <c r="H47" s="3">
        <v>3.484174E-4</v>
      </c>
      <c r="I47" s="3">
        <v>2.696606E-4</v>
      </c>
      <c r="J47" s="3">
        <v>2.685886E-4</v>
      </c>
      <c r="K47" s="3">
        <v>2.733725E-4</v>
      </c>
      <c r="L47" s="3">
        <v>2.911392E-4</v>
      </c>
      <c r="M47" s="3">
        <v>3.06019599999999E-4</v>
      </c>
      <c r="N47" s="3">
        <v>3.144609E-4</v>
      </c>
      <c r="O47" s="3">
        <v>3.146651E-4</v>
      </c>
    </row>
    <row r="48" ht="14.25" hidden="1" customHeight="1">
      <c r="A48" s="1" t="s">
        <v>53</v>
      </c>
      <c r="B48" s="1" t="s">
        <v>23</v>
      </c>
      <c r="C48" s="3">
        <v>4.88009E-5</v>
      </c>
      <c r="D48" s="3">
        <v>1.2342827E-4</v>
      </c>
      <c r="E48" s="3">
        <v>1.6646716E-4</v>
      </c>
      <c r="F48" s="3">
        <v>4.00742279999999E-4</v>
      </c>
      <c r="G48" s="3">
        <v>4.854794E-4</v>
      </c>
      <c r="H48" s="3">
        <v>5.689856E-4</v>
      </c>
      <c r="I48" s="3">
        <v>7.67349E-4</v>
      </c>
      <c r="J48" s="3">
        <v>9.96541E-4</v>
      </c>
      <c r="K48" s="3">
        <v>0.00120714</v>
      </c>
      <c r="L48" s="3">
        <v>0.001417832</v>
      </c>
      <c r="M48" s="3">
        <v>0.001632122</v>
      </c>
      <c r="N48" s="3">
        <v>0.001853604</v>
      </c>
      <c r="O48" s="3">
        <v>0.002081481</v>
      </c>
    </row>
    <row r="49" ht="14.25" customHeight="1">
      <c r="A49" s="1" t="s">
        <v>53</v>
      </c>
      <c r="B49" s="1" t="s">
        <v>26</v>
      </c>
      <c r="C49" s="3">
        <v>6.2438E-4</v>
      </c>
      <c r="D49" s="3">
        <v>0.0010097893</v>
      </c>
      <c r="E49" s="3">
        <v>0.0012724038</v>
      </c>
      <c r="F49" s="3">
        <v>0.0012863344</v>
      </c>
      <c r="G49" s="3">
        <v>0.001120482</v>
      </c>
      <c r="H49" s="3">
        <v>0.001102012</v>
      </c>
      <c r="I49" s="3">
        <v>0.001045605</v>
      </c>
      <c r="J49" s="3">
        <v>0.001401394</v>
      </c>
      <c r="K49" s="3">
        <v>0.001837513</v>
      </c>
      <c r="L49" s="3">
        <v>0.002363934</v>
      </c>
      <c r="M49" s="3">
        <v>0.00298863</v>
      </c>
      <c r="N49" s="3">
        <v>0.003699671</v>
      </c>
      <c r="O49" s="3">
        <v>0.004466962</v>
      </c>
    </row>
    <row r="50" ht="14.25" hidden="1" customHeight="1">
      <c r="A50" s="1" t="s">
        <v>54</v>
      </c>
      <c r="B50" s="1" t="s">
        <v>23</v>
      </c>
      <c r="C50" s="3">
        <v>3.35085E-5</v>
      </c>
      <c r="D50" s="3">
        <v>1.8196261E-4</v>
      </c>
      <c r="E50" s="3">
        <v>2.981676E-4</v>
      </c>
      <c r="F50" s="3">
        <v>0.0011871339</v>
      </c>
      <c r="G50" s="3">
        <v>0.00128685</v>
      </c>
      <c r="H50" s="3">
        <v>0.00130517</v>
      </c>
      <c r="I50" s="3">
        <v>0.001298916</v>
      </c>
      <c r="J50" s="3">
        <v>0.001256001</v>
      </c>
      <c r="K50" s="3">
        <v>0.001203217</v>
      </c>
      <c r="L50" s="3">
        <v>0.00116101</v>
      </c>
      <c r="M50" s="3">
        <v>0.00111329899999999</v>
      </c>
      <c r="N50" s="3">
        <v>0.001057232</v>
      </c>
      <c r="O50" s="3">
        <v>9.98104E-4</v>
      </c>
    </row>
    <row r="51" ht="14.25" customHeight="1">
      <c r="A51" s="1" t="s">
        <v>54</v>
      </c>
      <c r="B51" s="1" t="s">
        <v>26</v>
      </c>
      <c r="C51" s="3">
        <v>4.021497E-5</v>
      </c>
      <c r="D51" s="3">
        <v>3.0849495E-4</v>
      </c>
      <c r="E51" s="3">
        <v>5.579912E-4</v>
      </c>
      <c r="F51" s="3">
        <v>9.782502E-4</v>
      </c>
      <c r="G51" s="3">
        <v>9.7377E-4</v>
      </c>
      <c r="H51" s="3">
        <v>9.0258E-4</v>
      </c>
      <c r="I51" s="3">
        <v>7.71176E-4</v>
      </c>
      <c r="J51" s="3">
        <v>7.80235E-4</v>
      </c>
      <c r="K51" s="3">
        <v>8.18796E-4</v>
      </c>
      <c r="L51" s="3">
        <v>8.64681E-4</v>
      </c>
      <c r="M51" s="3">
        <v>9.08810999999999E-4</v>
      </c>
      <c r="N51" s="3">
        <v>9.37221E-4</v>
      </c>
      <c r="O51" s="3">
        <v>9.46998E-4</v>
      </c>
    </row>
    <row r="52" ht="14.25" hidden="1" customHeight="1">
      <c r="A52" s="1" t="s">
        <v>55</v>
      </c>
      <c r="B52" s="1" t="s">
        <v>23</v>
      </c>
      <c r="C52" s="3">
        <v>1.261899E-4</v>
      </c>
      <c r="D52" s="3">
        <v>4.96815899999999E-4</v>
      </c>
      <c r="E52" s="3">
        <v>6.197719E-4</v>
      </c>
      <c r="F52" s="3">
        <v>0.0010825485</v>
      </c>
      <c r="G52" s="3">
        <v>9.151681E-4</v>
      </c>
      <c r="H52" s="3">
        <v>7.464034E-4</v>
      </c>
      <c r="I52" s="3">
        <v>5.429729E-4</v>
      </c>
      <c r="J52" s="3">
        <v>5.15980799999999E-4</v>
      </c>
      <c r="K52" s="3">
        <v>5.118167E-4</v>
      </c>
      <c r="L52" s="3">
        <v>4.91143E-4</v>
      </c>
      <c r="M52" s="3">
        <v>4.723626E-4</v>
      </c>
      <c r="N52" s="3">
        <v>4.44223E-4</v>
      </c>
      <c r="O52" s="3">
        <v>4.123461E-4</v>
      </c>
    </row>
    <row r="53" ht="14.25" customHeight="1">
      <c r="A53" s="1" t="s">
        <v>55</v>
      </c>
      <c r="B53" s="1" t="s">
        <v>26</v>
      </c>
      <c r="C53" s="3">
        <v>2.002051E-4</v>
      </c>
      <c r="D53" s="3">
        <v>0.0010677344</v>
      </c>
      <c r="E53" s="3">
        <v>0.001829167</v>
      </c>
      <c r="F53" s="3">
        <v>0.0041921531</v>
      </c>
      <c r="G53" s="3">
        <v>0.004614721</v>
      </c>
      <c r="H53" s="3">
        <v>0.004774968</v>
      </c>
      <c r="I53" s="3">
        <v>0.004660928</v>
      </c>
      <c r="J53" s="3">
        <v>0.004899522</v>
      </c>
      <c r="K53" s="3">
        <v>0.005292869</v>
      </c>
      <c r="L53" s="3">
        <v>0.00594437</v>
      </c>
      <c r="M53" s="3">
        <v>0.00655307999999999</v>
      </c>
      <c r="N53" s="3">
        <v>0.00706699999999999</v>
      </c>
      <c r="O53" s="3">
        <v>0.0074283</v>
      </c>
    </row>
    <row r="54" ht="14.25" hidden="1" customHeight="1">
      <c r="A54" s="1" t="s">
        <v>56</v>
      </c>
      <c r="B54" s="1" t="s">
        <v>23</v>
      </c>
      <c r="C54" s="3">
        <v>2.39995E-5</v>
      </c>
      <c r="D54" s="3">
        <v>4.212031E-5</v>
      </c>
      <c r="E54" s="3">
        <v>1.50169639999999E-4</v>
      </c>
      <c r="F54" s="3">
        <v>1.8173425E-4</v>
      </c>
      <c r="G54" s="3">
        <v>1.879403E-4</v>
      </c>
      <c r="H54" s="3">
        <v>2.479685E-4</v>
      </c>
      <c r="I54" s="3">
        <v>2.956562E-4</v>
      </c>
      <c r="J54" s="3">
        <v>3.503851E-4</v>
      </c>
      <c r="K54" s="3">
        <v>3.94497E-4</v>
      </c>
      <c r="L54" s="3">
        <v>4.505639E-4</v>
      </c>
      <c r="M54" s="3">
        <v>5.021874E-4</v>
      </c>
      <c r="N54" s="3">
        <v>5.496692E-4</v>
      </c>
      <c r="O54" s="3">
        <v>5.9115E-4</v>
      </c>
    </row>
    <row r="55" ht="14.25" customHeight="1">
      <c r="A55" s="1" t="s">
        <v>56</v>
      </c>
      <c r="B55" s="1" t="s">
        <v>26</v>
      </c>
      <c r="C55" s="3">
        <v>0.001621476</v>
      </c>
      <c r="D55" s="3">
        <v>0.002507166</v>
      </c>
      <c r="E55" s="3">
        <v>0.003530675</v>
      </c>
      <c r="F55" s="3">
        <v>0.00415592589999999</v>
      </c>
      <c r="G55" s="3">
        <v>0.004121363</v>
      </c>
      <c r="H55" s="3">
        <v>0.00475376</v>
      </c>
      <c r="I55" s="3">
        <v>0.004852565</v>
      </c>
      <c r="J55" s="3">
        <v>0.006950559</v>
      </c>
      <c r="K55" s="3">
        <v>0.00965097</v>
      </c>
      <c r="L55" s="3">
        <v>0.0127177199999999</v>
      </c>
      <c r="M55" s="3">
        <v>0.0163742599999999</v>
      </c>
      <c r="N55" s="3">
        <v>0.02055942</v>
      </c>
      <c r="O55" s="3">
        <v>0.02503889</v>
      </c>
    </row>
    <row r="56" ht="14.25" hidden="1" customHeight="1">
      <c r="A56" s="1" t="s">
        <v>57</v>
      </c>
      <c r="B56" s="1" t="s">
        <v>23</v>
      </c>
      <c r="C56" s="3">
        <v>9.47794E-4</v>
      </c>
      <c r="D56" s="3">
        <v>0.001184804</v>
      </c>
      <c r="E56" s="3">
        <v>0.002401047</v>
      </c>
      <c r="F56" s="3">
        <v>0.00838994599999999</v>
      </c>
      <c r="G56" s="3">
        <v>0.0141862099999999</v>
      </c>
      <c r="H56" s="3">
        <v>0.02001988</v>
      </c>
      <c r="I56" s="3">
        <v>0.02480939</v>
      </c>
      <c r="J56" s="3">
        <v>0.0283856899999999</v>
      </c>
      <c r="K56" s="3">
        <v>0.0307399</v>
      </c>
      <c r="L56" s="3">
        <v>0.03364052</v>
      </c>
      <c r="M56" s="3">
        <v>0.03621672</v>
      </c>
      <c r="N56" s="3">
        <v>0.03838358</v>
      </c>
      <c r="O56" s="3">
        <v>0.03998424</v>
      </c>
    </row>
    <row r="57" ht="14.25" customHeight="1">
      <c r="A57" s="1" t="s">
        <v>57</v>
      </c>
      <c r="B57" s="1" t="s">
        <v>26</v>
      </c>
      <c r="C57" s="3">
        <v>0.003417386</v>
      </c>
      <c r="D57" s="3">
        <v>0.004294828</v>
      </c>
      <c r="E57" s="3">
        <v>0.006076815</v>
      </c>
      <c r="F57" s="3">
        <v>0.010407776</v>
      </c>
      <c r="G57" s="3">
        <v>0.01232733</v>
      </c>
      <c r="H57" s="3">
        <v>0.01483166</v>
      </c>
      <c r="I57" s="3">
        <v>0.0164157</v>
      </c>
      <c r="J57" s="3">
        <v>0.02297793</v>
      </c>
      <c r="K57" s="3">
        <v>0.03147846</v>
      </c>
      <c r="L57" s="3">
        <v>0.04028847</v>
      </c>
      <c r="M57" s="3">
        <v>0.05066027</v>
      </c>
      <c r="N57" s="3">
        <v>0.06207055</v>
      </c>
      <c r="O57" s="3">
        <v>0.0734595</v>
      </c>
    </row>
    <row r="58" ht="14.25" hidden="1" customHeight="1">
      <c r="A58" s="1" t="s">
        <v>58</v>
      </c>
      <c r="B58" s="1" t="s">
        <v>23</v>
      </c>
      <c r="C58" s="3">
        <v>9.8586E-5</v>
      </c>
      <c r="D58" s="3">
        <v>6.810145E-5</v>
      </c>
      <c r="E58" s="3">
        <v>6.173426E-5</v>
      </c>
      <c r="F58" s="3">
        <v>1.807576E-4</v>
      </c>
      <c r="G58" s="3">
        <v>1.477377E-4</v>
      </c>
      <c r="H58" s="3">
        <v>1.715939E-4</v>
      </c>
      <c r="I58" s="3">
        <v>1.93576299999999E-4</v>
      </c>
      <c r="J58" s="3">
        <v>1.92977299999999E-4</v>
      </c>
      <c r="K58" s="3">
        <v>2.04651799999999E-4</v>
      </c>
      <c r="L58" s="3">
        <v>2.45961E-4</v>
      </c>
      <c r="M58" s="3">
        <v>2.897429E-4</v>
      </c>
      <c r="N58" s="3">
        <v>3.383429E-4</v>
      </c>
      <c r="O58" s="3">
        <v>3.907831E-4</v>
      </c>
    </row>
    <row r="59" ht="14.25" customHeight="1">
      <c r="A59" s="1" t="s">
        <v>58</v>
      </c>
      <c r="B59" s="1" t="s">
        <v>26</v>
      </c>
      <c r="C59" s="3">
        <v>4.036013E-4</v>
      </c>
      <c r="D59" s="3">
        <v>2.7434628E-4</v>
      </c>
      <c r="E59" s="3">
        <v>2.3500934E-4</v>
      </c>
      <c r="F59" s="3">
        <v>6.517135E-4</v>
      </c>
      <c r="G59" s="3">
        <v>4.443854E-4</v>
      </c>
      <c r="H59" s="3">
        <v>4.422651E-4</v>
      </c>
      <c r="I59" s="3">
        <v>4.843575E-4</v>
      </c>
      <c r="J59" s="3">
        <v>6.52753E-4</v>
      </c>
      <c r="K59" s="3">
        <v>8.51334E-4</v>
      </c>
      <c r="L59" s="3">
        <v>0.001080706</v>
      </c>
      <c r="M59" s="3">
        <v>0.001336019</v>
      </c>
      <c r="N59" s="3">
        <v>0.001611324</v>
      </c>
      <c r="O59" s="3">
        <v>0.001901206</v>
      </c>
    </row>
    <row r="60" ht="14.25" hidden="1" customHeight="1">
      <c r="A60" s="1" t="s">
        <v>59</v>
      </c>
      <c r="B60" s="1" t="s">
        <v>23</v>
      </c>
      <c r="C60" s="3">
        <v>1.794899E-4</v>
      </c>
      <c r="D60" s="3">
        <v>2.77659E-4</v>
      </c>
      <c r="E60" s="3">
        <v>5.68874E-4</v>
      </c>
      <c r="F60" s="3">
        <v>0.0024016994</v>
      </c>
      <c r="G60" s="3">
        <v>0.003613721</v>
      </c>
      <c r="H60" s="3">
        <v>0.004858351</v>
      </c>
      <c r="I60" s="3">
        <v>0.006165382</v>
      </c>
      <c r="J60" s="3">
        <v>0.00754097</v>
      </c>
      <c r="K60" s="3">
        <v>0.00883083</v>
      </c>
      <c r="L60" s="3">
        <v>0.00969822</v>
      </c>
      <c r="M60" s="3">
        <v>0.01041503</v>
      </c>
      <c r="N60" s="3">
        <v>0.0110212399999999</v>
      </c>
      <c r="O60" s="3">
        <v>0.0114680399999999</v>
      </c>
    </row>
    <row r="61" ht="14.25" customHeight="1">
      <c r="A61" s="1" t="s">
        <v>59</v>
      </c>
      <c r="B61" s="1" t="s">
        <v>26</v>
      </c>
      <c r="C61" s="3">
        <v>0.001650812</v>
      </c>
      <c r="D61" s="3">
        <v>0.00253852699999999</v>
      </c>
      <c r="E61" s="3">
        <v>0.004326545</v>
      </c>
      <c r="F61" s="3">
        <v>0.007260528</v>
      </c>
      <c r="G61" s="3">
        <v>0.008002323</v>
      </c>
      <c r="H61" s="3">
        <v>0.00862343</v>
      </c>
      <c r="I61" s="3">
        <v>0.00788743</v>
      </c>
      <c r="J61" s="3">
        <v>0.00951035999999999</v>
      </c>
      <c r="K61" s="3">
        <v>0.01160564</v>
      </c>
      <c r="L61" s="3">
        <v>0.01459951</v>
      </c>
      <c r="M61" s="3">
        <v>0.01835538</v>
      </c>
      <c r="N61" s="3">
        <v>0.02255291</v>
      </c>
      <c r="O61" s="3">
        <v>0.02687614</v>
      </c>
    </row>
    <row r="62" ht="14.25" hidden="1" customHeight="1">
      <c r="A62" s="1" t="s">
        <v>60</v>
      </c>
      <c r="B62" s="1" t="s">
        <v>23</v>
      </c>
      <c r="C62" s="3">
        <v>2.969366E-5</v>
      </c>
      <c r="D62" s="3">
        <v>6.73375E-5</v>
      </c>
      <c r="E62" s="3">
        <v>1.1092557E-4</v>
      </c>
      <c r="F62" s="3">
        <v>7.45596399999999E-5</v>
      </c>
      <c r="G62" s="3">
        <v>5.92105699999999E-5</v>
      </c>
      <c r="H62" s="3">
        <v>4.93298599999999E-5</v>
      </c>
      <c r="I62" s="3">
        <v>3.752555E-5</v>
      </c>
      <c r="J62" s="3">
        <v>4.094796E-5</v>
      </c>
      <c r="K62" s="3">
        <v>4.634335E-5</v>
      </c>
      <c r="L62" s="3">
        <v>5.292353E-5</v>
      </c>
      <c r="M62" s="3">
        <v>5.920932E-5</v>
      </c>
      <c r="N62" s="3">
        <v>6.569238E-5</v>
      </c>
      <c r="O62" s="3">
        <v>7.14906E-5</v>
      </c>
    </row>
    <row r="63" ht="14.25" customHeight="1">
      <c r="A63" s="1" t="s">
        <v>60</v>
      </c>
      <c r="B63" s="1" t="s">
        <v>26</v>
      </c>
      <c r="C63" s="3">
        <v>5.44951E-5</v>
      </c>
      <c r="D63" s="3">
        <v>1.5920137E-4</v>
      </c>
      <c r="E63" s="3">
        <v>4.1684509E-4</v>
      </c>
      <c r="F63" s="3">
        <v>3.9374778E-4</v>
      </c>
      <c r="G63" s="3">
        <v>3.798157E-4</v>
      </c>
      <c r="H63" s="3">
        <v>4.515473E-4</v>
      </c>
      <c r="I63" s="3">
        <v>5.051201E-4</v>
      </c>
      <c r="J63" s="3">
        <v>6.083906E-4</v>
      </c>
      <c r="K63" s="3">
        <v>7.059136E-4</v>
      </c>
      <c r="L63" s="3">
        <v>8.51855E-4</v>
      </c>
      <c r="M63" s="3">
        <v>0.001008849</v>
      </c>
      <c r="N63" s="3">
        <v>0.001166919</v>
      </c>
      <c r="O63" s="3">
        <v>0.001318684</v>
      </c>
    </row>
    <row r="64" ht="14.25" hidden="1" customHeight="1">
      <c r="A64" s="1" t="s">
        <v>61</v>
      </c>
      <c r="B64" s="1" t="s">
        <v>23</v>
      </c>
      <c r="C64" s="3">
        <v>5.63092E-5</v>
      </c>
      <c r="D64" s="3">
        <v>5.217475E-5</v>
      </c>
      <c r="E64" s="3">
        <v>1.1623287E-4</v>
      </c>
      <c r="F64" s="3">
        <v>1.9765256E-4</v>
      </c>
      <c r="G64" s="3">
        <v>1.186076E-4</v>
      </c>
      <c r="H64" s="3">
        <v>1.4236764E-4</v>
      </c>
      <c r="I64" s="3">
        <v>1.491632E-4</v>
      </c>
      <c r="J64" s="3">
        <v>1.426766E-4</v>
      </c>
      <c r="K64" s="3">
        <v>1.246065E-4</v>
      </c>
      <c r="L64" s="3">
        <v>1.411639E-4</v>
      </c>
      <c r="M64" s="3">
        <v>1.56550799999999E-4</v>
      </c>
      <c r="N64" s="3">
        <v>1.762263E-4</v>
      </c>
      <c r="O64" s="3">
        <v>2.047926E-4</v>
      </c>
    </row>
    <row r="65" ht="14.25" customHeight="1">
      <c r="A65" s="1" t="s">
        <v>61</v>
      </c>
      <c r="B65" s="1" t="s">
        <v>26</v>
      </c>
      <c r="C65" s="3">
        <v>0.003944901</v>
      </c>
      <c r="D65" s="3">
        <v>0.00370015399999999</v>
      </c>
      <c r="E65" s="3">
        <v>0.00855628</v>
      </c>
      <c r="F65" s="3">
        <v>0.012441507</v>
      </c>
      <c r="G65" s="3">
        <v>0.013109559</v>
      </c>
      <c r="H65" s="3">
        <v>0.01487347</v>
      </c>
      <c r="I65" s="3">
        <v>0.0148215599999999</v>
      </c>
      <c r="J65" s="3">
        <v>0.01842565</v>
      </c>
      <c r="K65" s="3">
        <v>0.02294139</v>
      </c>
      <c r="L65" s="3">
        <v>0.02994665</v>
      </c>
      <c r="M65" s="3">
        <v>0.03834127</v>
      </c>
      <c r="N65" s="3">
        <v>0.04724865</v>
      </c>
      <c r="O65" s="3">
        <v>0.0557023399999999</v>
      </c>
    </row>
    <row r="66" ht="14.25" hidden="1" customHeight="1">
      <c r="A66" s="1" t="s">
        <v>62</v>
      </c>
      <c r="B66" s="1" t="s">
        <v>23</v>
      </c>
      <c r="C66" s="3">
        <v>1.860101E-5</v>
      </c>
      <c r="D66" s="3">
        <v>8.178265E-5</v>
      </c>
      <c r="E66" s="3">
        <v>1.100786E-4</v>
      </c>
      <c r="F66" s="3">
        <v>1.9650349E-4</v>
      </c>
      <c r="G66" s="3">
        <v>1.692985E-4</v>
      </c>
      <c r="H66" s="3">
        <v>1.590706E-4</v>
      </c>
      <c r="I66" s="3">
        <v>1.361943E-4</v>
      </c>
      <c r="J66" s="3">
        <v>1.267752E-4</v>
      </c>
      <c r="K66" s="3">
        <v>1.230336E-4</v>
      </c>
      <c r="L66" s="3">
        <v>1.180365E-4</v>
      </c>
      <c r="M66" s="3">
        <v>1.161013E-4</v>
      </c>
      <c r="N66" s="3">
        <v>1.12126799999999E-4</v>
      </c>
      <c r="O66" s="3">
        <v>1.08752899999999E-4</v>
      </c>
    </row>
    <row r="67" ht="14.25" customHeight="1">
      <c r="A67" s="1" t="s">
        <v>62</v>
      </c>
      <c r="B67" s="1" t="s">
        <v>26</v>
      </c>
      <c r="C67" s="3">
        <v>3.419304E-5</v>
      </c>
      <c r="D67" s="3">
        <v>1.7542588E-4</v>
      </c>
      <c r="E67" s="3">
        <v>2.662435E-4</v>
      </c>
      <c r="F67" s="3">
        <v>5.19373E-4</v>
      </c>
      <c r="G67" s="3">
        <v>6.194516E-4</v>
      </c>
      <c r="H67" s="3">
        <v>7.094045E-4</v>
      </c>
      <c r="I67" s="3">
        <v>7.81071E-4</v>
      </c>
      <c r="J67" s="3">
        <v>9.18835999999999E-4</v>
      </c>
      <c r="K67" s="3">
        <v>0.001048413</v>
      </c>
      <c r="L67" s="3">
        <v>0.001199185</v>
      </c>
      <c r="M67" s="3">
        <v>0.001333041</v>
      </c>
      <c r="N67" s="3">
        <v>0.001457758</v>
      </c>
      <c r="O67" s="3">
        <v>0.001549357</v>
      </c>
    </row>
    <row r="68" ht="14.25" hidden="1" customHeight="1">
      <c r="A68" s="1" t="s">
        <v>63</v>
      </c>
      <c r="B68" s="1" t="s">
        <v>23</v>
      </c>
      <c r="C68" s="3">
        <v>2.131772E-4</v>
      </c>
      <c r="D68" s="3">
        <v>2.238918E-4</v>
      </c>
      <c r="E68" s="3">
        <v>2.686321E-4</v>
      </c>
      <c r="F68" s="3">
        <v>9.389353E-4</v>
      </c>
      <c r="G68" s="3">
        <v>4.507831E-4</v>
      </c>
      <c r="H68" s="3">
        <v>4.68471E-4</v>
      </c>
      <c r="I68" s="3">
        <v>4.64660199999999E-4</v>
      </c>
      <c r="J68" s="3">
        <v>4.625556E-4</v>
      </c>
      <c r="K68" s="3">
        <v>4.33567099999999E-4</v>
      </c>
      <c r="L68" s="3">
        <v>4.599796E-4</v>
      </c>
      <c r="M68" s="3">
        <v>4.74388899999999E-4</v>
      </c>
      <c r="N68" s="3">
        <v>5.123134E-4</v>
      </c>
      <c r="O68" s="3">
        <v>5.94497E-4</v>
      </c>
    </row>
    <row r="69" ht="14.25" customHeight="1">
      <c r="A69" s="1" t="s">
        <v>63</v>
      </c>
      <c r="B69" s="1" t="s">
        <v>26</v>
      </c>
      <c r="C69" s="3">
        <v>6.54219E-4</v>
      </c>
      <c r="D69" s="3">
        <v>7.982899E-4</v>
      </c>
      <c r="E69" s="3">
        <v>0.0010376209</v>
      </c>
      <c r="F69" s="3">
        <v>0.0025111605</v>
      </c>
      <c r="G69" s="3">
        <v>0.002311784</v>
      </c>
      <c r="H69" s="3">
        <v>0.002815015</v>
      </c>
      <c r="I69" s="3">
        <v>0.00337057399999999</v>
      </c>
      <c r="J69" s="3">
        <v>0.004664371</v>
      </c>
      <c r="K69" s="3">
        <v>0.0062854</v>
      </c>
      <c r="L69" s="3">
        <v>0.00825474</v>
      </c>
      <c r="M69" s="3">
        <v>0.01059939</v>
      </c>
      <c r="N69" s="3">
        <v>0.01306478</v>
      </c>
      <c r="O69" s="3">
        <v>0.01540589</v>
      </c>
    </row>
    <row r="70" ht="14.25" hidden="1" customHeight="1">
      <c r="A70" s="1" t="s">
        <v>64</v>
      </c>
      <c r="B70" s="1" t="s">
        <v>23</v>
      </c>
      <c r="C70" s="3">
        <v>5.99786999999999E-5</v>
      </c>
      <c r="D70" s="3">
        <v>9.672428E-5</v>
      </c>
      <c r="E70" s="3">
        <v>1.713244E-4</v>
      </c>
      <c r="F70" s="3">
        <v>5.783472E-4</v>
      </c>
      <c r="G70" s="3">
        <v>7.142708E-4</v>
      </c>
      <c r="H70" s="3">
        <v>8.71917299999999E-4</v>
      </c>
      <c r="I70" s="3">
        <v>0.001019429</v>
      </c>
      <c r="J70" s="3">
        <v>0.001126935</v>
      </c>
      <c r="K70" s="3">
        <v>0.001194904</v>
      </c>
      <c r="L70" s="3">
        <v>0.001310529</v>
      </c>
      <c r="M70" s="3">
        <v>0.00141362</v>
      </c>
      <c r="N70" s="3">
        <v>0.001503524</v>
      </c>
      <c r="O70" s="3">
        <v>0.001576534</v>
      </c>
    </row>
    <row r="71" ht="14.25" customHeight="1">
      <c r="A71" s="1" t="s">
        <v>64</v>
      </c>
      <c r="B71" s="1" t="s">
        <v>26</v>
      </c>
      <c r="C71" s="3">
        <v>1.881038E-4</v>
      </c>
      <c r="D71" s="3">
        <v>3.238914E-4</v>
      </c>
      <c r="E71" s="3">
        <v>4.877576E-4</v>
      </c>
      <c r="F71" s="3">
        <v>9.023909E-4</v>
      </c>
      <c r="G71" s="3">
        <v>0.001131818</v>
      </c>
      <c r="H71" s="3">
        <v>0.001388437</v>
      </c>
      <c r="I71" s="3">
        <v>0.00166496899999999</v>
      </c>
      <c r="J71" s="3">
        <v>0.002192343</v>
      </c>
      <c r="K71" s="3">
        <v>0.002797972</v>
      </c>
      <c r="L71" s="3">
        <v>0.003415276</v>
      </c>
      <c r="M71" s="3">
        <v>0.004118135</v>
      </c>
      <c r="N71" s="3">
        <v>0.004884533</v>
      </c>
      <c r="O71" s="3">
        <v>0.005670039</v>
      </c>
    </row>
    <row r="72" ht="14.25" hidden="1" customHeight="1">
      <c r="A72" s="1" t="s">
        <v>65</v>
      </c>
      <c r="B72" s="1" t="s">
        <v>23</v>
      </c>
      <c r="C72" s="3">
        <v>3.29614E-4</v>
      </c>
      <c r="D72" s="3">
        <v>4.396974E-4</v>
      </c>
      <c r="E72" s="3">
        <v>0.0010463157</v>
      </c>
      <c r="F72" s="3">
        <v>0.0027915969</v>
      </c>
      <c r="G72" s="3">
        <v>0.004891519</v>
      </c>
      <c r="H72" s="3">
        <v>0.00777956</v>
      </c>
      <c r="I72" s="3">
        <v>0.01086126</v>
      </c>
      <c r="J72" s="3">
        <v>0.01435051</v>
      </c>
      <c r="K72" s="3">
        <v>0.01781917</v>
      </c>
      <c r="L72" s="3">
        <v>0.01972322</v>
      </c>
      <c r="M72" s="3">
        <v>0.02130336</v>
      </c>
      <c r="N72" s="3">
        <v>0.02261024</v>
      </c>
      <c r="O72" s="3">
        <v>0.0235555</v>
      </c>
    </row>
    <row r="73" ht="14.25" customHeight="1">
      <c r="A73" s="1" t="s">
        <v>65</v>
      </c>
      <c r="B73" s="1" t="s">
        <v>26</v>
      </c>
      <c r="C73" s="3">
        <v>0.004430187</v>
      </c>
      <c r="D73" s="3">
        <v>0.00569452399999999</v>
      </c>
      <c r="E73" s="3">
        <v>0.009233772</v>
      </c>
      <c r="F73" s="3">
        <v>0.015405495</v>
      </c>
      <c r="G73" s="3">
        <v>0.01771491</v>
      </c>
      <c r="H73" s="3">
        <v>0.0206607</v>
      </c>
      <c r="I73" s="3">
        <v>0.02199295</v>
      </c>
      <c r="J73" s="3">
        <v>0.03099939</v>
      </c>
      <c r="K73" s="3">
        <v>0.04308721</v>
      </c>
      <c r="L73" s="3">
        <v>0.05732101</v>
      </c>
      <c r="M73" s="3">
        <v>0.0743133</v>
      </c>
      <c r="N73" s="3">
        <v>0.0933859</v>
      </c>
      <c r="O73" s="3">
        <v>0.1127527</v>
      </c>
    </row>
    <row r="74" ht="14.25" hidden="1" customHeight="1">
      <c r="A74" s="1" t="s">
        <v>66</v>
      </c>
      <c r="B74" s="1" t="s">
        <v>23</v>
      </c>
      <c r="C74" s="3">
        <v>2.196115E-4</v>
      </c>
      <c r="D74" s="3">
        <v>2.211648E-4</v>
      </c>
      <c r="E74" s="3">
        <v>3.727834E-4</v>
      </c>
      <c r="F74" s="3">
        <v>8.817817E-4</v>
      </c>
      <c r="G74" s="3">
        <v>9.7827E-4</v>
      </c>
      <c r="H74" s="3">
        <v>0.001334117</v>
      </c>
      <c r="I74" s="3">
        <v>0.001679764</v>
      </c>
      <c r="J74" s="3">
        <v>0.00198927</v>
      </c>
      <c r="K74" s="3">
        <v>0.002176393</v>
      </c>
      <c r="L74" s="3">
        <v>0.00244672</v>
      </c>
      <c r="M74" s="3">
        <v>0.002676913</v>
      </c>
      <c r="N74" s="3">
        <v>0.002870725</v>
      </c>
      <c r="O74" s="3">
        <v>0.00302420599999999</v>
      </c>
    </row>
    <row r="75" ht="14.25" customHeight="1">
      <c r="A75" s="1" t="s">
        <v>66</v>
      </c>
      <c r="B75" s="1" t="s">
        <v>26</v>
      </c>
      <c r="C75" s="3">
        <v>0.002425799</v>
      </c>
      <c r="D75" s="3">
        <v>0.00346875299999999</v>
      </c>
      <c r="E75" s="3">
        <v>0.003501758</v>
      </c>
      <c r="F75" s="3">
        <v>0.00489124</v>
      </c>
      <c r="G75" s="3">
        <v>0.005262183</v>
      </c>
      <c r="H75" s="3">
        <v>0.006066028</v>
      </c>
      <c r="I75" s="3">
        <v>0.00611774</v>
      </c>
      <c r="J75" s="3">
        <v>0.00856679</v>
      </c>
      <c r="K75" s="3">
        <v>0.0116746099999999</v>
      </c>
      <c r="L75" s="3">
        <v>0.0153576</v>
      </c>
      <c r="M75" s="3">
        <v>0.01974716</v>
      </c>
      <c r="N75" s="3">
        <v>0.02478154</v>
      </c>
      <c r="O75" s="3">
        <v>0.0301674799999999</v>
      </c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O$75">
    <filterColumn colId="1">
      <filters>
        <filter val="resid urban cooling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9" width="8.71"/>
    <col customWidth="1" hidden="1" min="20" max="21" width="8.71"/>
    <col customWidth="1" min="22" max="33" width="8.71"/>
  </cols>
  <sheetData>
    <row r="1" ht="14.25" customHeight="1">
      <c r="A1" s="1" t="s">
        <v>2</v>
      </c>
      <c r="B1" s="1" t="s">
        <v>4</v>
      </c>
      <c r="C1" s="1">
        <v>2010.0</v>
      </c>
      <c r="D1" s="1">
        <v>2015.0</v>
      </c>
      <c r="E1" s="1">
        <v>2020.0</v>
      </c>
      <c r="F1" s="1">
        <v>2025.0</v>
      </c>
      <c r="G1" s="1">
        <v>2030.0</v>
      </c>
      <c r="H1" s="1">
        <v>2035.0</v>
      </c>
      <c r="I1" s="1">
        <v>2040.0</v>
      </c>
      <c r="J1" s="1">
        <v>2045.0</v>
      </c>
      <c r="K1" s="1">
        <v>2050.0</v>
      </c>
      <c r="L1" s="1">
        <v>2055.0</v>
      </c>
      <c r="M1" s="1">
        <v>2060.0</v>
      </c>
      <c r="N1" s="1">
        <v>2065.0</v>
      </c>
      <c r="O1" s="1">
        <v>2070.0</v>
      </c>
      <c r="Q1" s="1" t="s">
        <v>75</v>
      </c>
      <c r="R1" s="1" t="s">
        <v>2</v>
      </c>
      <c r="S1" s="1" t="s">
        <v>4</v>
      </c>
      <c r="T1" s="1">
        <v>2010.0</v>
      </c>
      <c r="U1" s="1">
        <v>2015.0</v>
      </c>
      <c r="V1" s="1">
        <v>2020.0</v>
      </c>
      <c r="W1" s="1">
        <v>2025.0</v>
      </c>
      <c r="X1" s="1">
        <v>2030.0</v>
      </c>
      <c r="Y1" s="1">
        <v>2035.0</v>
      </c>
      <c r="Z1" s="1">
        <v>2040.0</v>
      </c>
      <c r="AA1" s="1">
        <v>2045.0</v>
      </c>
      <c r="AB1" s="1">
        <v>2050.0</v>
      </c>
      <c r="AC1" s="1">
        <v>2055.0</v>
      </c>
      <c r="AD1" s="1">
        <v>2060.0</v>
      </c>
      <c r="AE1" s="1">
        <v>2065.0</v>
      </c>
      <c r="AF1" s="1">
        <v>2070.0</v>
      </c>
      <c r="AG1" s="5" t="s">
        <v>76</v>
      </c>
    </row>
    <row r="2" ht="14.25" customHeight="1">
      <c r="A2" s="1" t="s">
        <v>6</v>
      </c>
      <c r="B2" s="1" t="s">
        <v>23</v>
      </c>
      <c r="C2" s="3">
        <v>1.949608E-5</v>
      </c>
      <c r="D2" s="3">
        <v>1.104514E-5</v>
      </c>
      <c r="E2" s="3">
        <v>1.263097E-5</v>
      </c>
      <c r="F2" s="3">
        <v>2.5472875E-5</v>
      </c>
      <c r="G2" s="3">
        <v>1.669668E-5</v>
      </c>
      <c r="H2" s="3">
        <v>1.82491499999999E-5</v>
      </c>
      <c r="I2" s="3">
        <v>1.767271E-5</v>
      </c>
      <c r="J2" s="3">
        <v>1.76945999999999E-5</v>
      </c>
      <c r="K2" s="3">
        <v>1.773792E-5</v>
      </c>
      <c r="L2" s="3">
        <v>1.970298E-5</v>
      </c>
      <c r="M2" s="3">
        <v>2.15224299999999E-5</v>
      </c>
      <c r="N2" s="3">
        <v>2.312013E-5</v>
      </c>
      <c r="O2" s="3">
        <v>2.45511E-5</v>
      </c>
      <c r="R2" s="1" t="s">
        <v>6</v>
      </c>
      <c r="S2" s="1" t="s">
        <v>23</v>
      </c>
      <c r="T2" s="1">
        <f>(C2*10^9)/GJperUnit!$B$2</f>
        <v>2906.912387</v>
      </c>
      <c r="U2" s="1">
        <f>(D2*10^9)/GJperUnit!$C$2</f>
        <v>1646.856921</v>
      </c>
      <c r="V2" s="1">
        <f>(E2*10^9)/GJperUnit!$D$2</f>
        <v>1883.307986</v>
      </c>
      <c r="W2" s="1">
        <f>(F2*10^9)/GJperUnit!$E$2</f>
        <v>3910.30785</v>
      </c>
      <c r="X2" s="1">
        <f>(G2*10^9)/GJperUnit!$F$2</f>
        <v>2638.830227</v>
      </c>
      <c r="Y2" s="1">
        <f>(H2*10^9)/GJperUnit!$G$2</f>
        <v>2969.424642</v>
      </c>
      <c r="Z2" s="1">
        <f>(I2*10^9)/GJperUnit!$H$2</f>
        <v>2960.609711</v>
      </c>
      <c r="AA2" s="1">
        <f>(J2*10^9)/GJperUnit!$I$2</f>
        <v>3051.877511</v>
      </c>
      <c r="AB2" s="1">
        <f>(K2*10^9)/GJperUnit!$J$2</f>
        <v>3149.759411</v>
      </c>
      <c r="AC2" s="1">
        <f>(L2*10^9)/GJperUnit!$K$2</f>
        <v>3602.093219</v>
      </c>
      <c r="AD2" s="1">
        <f>(M2*10^9)/GJperUnit!$L$2</f>
        <v>4051.00404</v>
      </c>
      <c r="AE2" s="1">
        <f>(N2*10^9)/GJperUnit!$M$2</f>
        <v>4480.329812</v>
      </c>
      <c r="AF2" s="1">
        <f>(O2*10^9)/GJperUnit!$N$2</f>
        <v>4898.228147</v>
      </c>
    </row>
    <row r="3" ht="14.25" customHeight="1">
      <c r="A3" s="1" t="s">
        <v>30</v>
      </c>
      <c r="B3" s="1" t="s">
        <v>23</v>
      </c>
      <c r="C3" s="3">
        <v>3.955872E-4</v>
      </c>
      <c r="D3" s="3">
        <v>3.74964899999999E-4</v>
      </c>
      <c r="E3" s="3">
        <v>5.777612E-4</v>
      </c>
      <c r="F3" s="3">
        <v>0.0018702797</v>
      </c>
      <c r="G3" s="3">
        <v>0.0011583459</v>
      </c>
      <c r="H3" s="3">
        <v>0.0013136283</v>
      </c>
      <c r="I3" s="3">
        <v>0.001431163</v>
      </c>
      <c r="J3" s="3">
        <v>0.00151419</v>
      </c>
      <c r="K3" s="3">
        <v>0.001521998</v>
      </c>
      <c r="L3" s="3">
        <v>0.001666429</v>
      </c>
      <c r="M3" s="3">
        <v>0.001801359</v>
      </c>
      <c r="N3" s="3">
        <v>0.001920043</v>
      </c>
      <c r="O3" s="3">
        <v>0.002009973</v>
      </c>
      <c r="R3" s="1" t="s">
        <v>30</v>
      </c>
      <c r="S3" s="1" t="s">
        <v>23</v>
      </c>
      <c r="T3" s="1">
        <f>(C3*10^9)/GJperUnit!$B$2</f>
        <v>58983.00233</v>
      </c>
      <c r="U3" s="1">
        <f>(D3*10^9)/GJperUnit!$C$2</f>
        <v>55908.16783</v>
      </c>
      <c r="V3" s="1">
        <f>(E3*10^9)/GJperUnit!$D$2</f>
        <v>86145.58359</v>
      </c>
      <c r="W3" s="1">
        <f>(F3*10^9)/GJperUnit!$E$2</f>
        <v>287104.1997</v>
      </c>
      <c r="X3" s="1">
        <f>(G3*10^9)/GJperUnit!$F$2</f>
        <v>183071.0162</v>
      </c>
      <c r="Y3" s="1">
        <f>(H3*10^9)/GJperUnit!$G$2</f>
        <v>213748.051</v>
      </c>
      <c r="Z3" s="1">
        <f>(I3*10^9)/GJperUnit!$H$2</f>
        <v>239754.6882</v>
      </c>
      <c r="AA3" s="1">
        <f>(J3*10^9)/GJperUnit!$I$2</f>
        <v>261160.038</v>
      </c>
      <c r="AB3" s="1">
        <f>(K3*10^9)/GJperUnit!$J$2</f>
        <v>270264.3559</v>
      </c>
      <c r="AC3" s="1">
        <f>(L3*10^9)/GJperUnit!$K$2</f>
        <v>304656.0775</v>
      </c>
      <c r="AD3" s="1">
        <f>(M3*10^9)/GJperUnit!$L$2</f>
        <v>339056.1654</v>
      </c>
      <c r="AE3" s="1">
        <f>(N3*10^9)/GJperUnit!$M$2</f>
        <v>372075.1524</v>
      </c>
      <c r="AF3" s="1">
        <f>(O3*10^9)/GJperUnit!$N$2</f>
        <v>401012.8395</v>
      </c>
    </row>
    <row r="4" ht="14.25" customHeight="1">
      <c r="A4" s="1" t="s">
        <v>32</v>
      </c>
      <c r="B4" s="1" t="s">
        <v>23</v>
      </c>
      <c r="C4" s="3">
        <v>2.28047E-5</v>
      </c>
      <c r="D4" s="3">
        <v>9.32059899999999E-5</v>
      </c>
      <c r="E4" s="3">
        <v>1.86435299999999E-4</v>
      </c>
      <c r="F4" s="3">
        <v>3.230969E-4</v>
      </c>
      <c r="G4" s="3">
        <v>2.664633E-4</v>
      </c>
      <c r="H4" s="3">
        <v>2.75980399999999E-4</v>
      </c>
      <c r="I4" s="3">
        <v>2.677969E-4</v>
      </c>
      <c r="J4" s="3">
        <v>2.728693E-4</v>
      </c>
      <c r="K4" s="3">
        <v>2.75545599999999E-4</v>
      </c>
      <c r="L4" s="3">
        <v>2.783698E-4</v>
      </c>
      <c r="M4" s="3">
        <v>2.810054E-4</v>
      </c>
      <c r="N4" s="3">
        <v>2.830202E-4</v>
      </c>
      <c r="O4" s="3">
        <v>2.834443E-4</v>
      </c>
      <c r="R4" s="1" t="s">
        <v>32</v>
      </c>
      <c r="S4" s="1" t="s">
        <v>23</v>
      </c>
      <c r="T4" s="1">
        <f>(C4*10^9)/GJperUnit!$B$2</f>
        <v>3400.235582</v>
      </c>
      <c r="U4" s="1">
        <f>(D4*10^9)/GJperUnit!$C$2</f>
        <v>13897.23713</v>
      </c>
      <c r="V4" s="1">
        <f>(E4*10^9)/GJperUnit!$D$2</f>
        <v>27797.95133</v>
      </c>
      <c r="W4" s="1">
        <f>(F4*10^9)/GJperUnit!$E$2</f>
        <v>49598.18412</v>
      </c>
      <c r="X4" s="1">
        <f>(G4*10^9)/GJperUnit!$F$2</f>
        <v>42113.24709</v>
      </c>
      <c r="Y4" s="1">
        <f>(H4*10^9)/GJperUnit!$G$2</f>
        <v>44906.36553</v>
      </c>
      <c r="Z4" s="1">
        <f>(I4*10^9)/GJperUnit!$H$2</f>
        <v>44862.50851</v>
      </c>
      <c r="AA4" s="1">
        <f>(J4*10^9)/GJperUnit!$I$2</f>
        <v>47063.15373</v>
      </c>
      <c r="AB4" s="1">
        <f>(K4*10^9)/GJperUnit!$J$2</f>
        <v>48929.20628</v>
      </c>
      <c r="AC4" s="1">
        <f>(L4*10^9)/GJperUnit!$K$2</f>
        <v>50891.48794</v>
      </c>
      <c r="AD4" s="1">
        <f>(M4*10^9)/GJperUnit!$L$2</f>
        <v>52891.51879</v>
      </c>
      <c r="AE4" s="1">
        <f>(N4*10^9)/GJperUnit!$M$2</f>
        <v>54845.01339</v>
      </c>
      <c r="AF4" s="1">
        <f>(O4*10^9)/GJperUnit!$N$2</f>
        <v>56550.41316</v>
      </c>
    </row>
    <row r="5" ht="14.25" customHeight="1">
      <c r="A5" s="1" t="s">
        <v>33</v>
      </c>
      <c r="B5" s="1" t="s">
        <v>23</v>
      </c>
      <c r="C5" s="3">
        <v>3.380418E-5</v>
      </c>
      <c r="D5" s="3">
        <v>1.55172039999999E-4</v>
      </c>
      <c r="E5" s="3">
        <v>2.913823E-4</v>
      </c>
      <c r="F5" s="3">
        <v>5.657244E-4</v>
      </c>
      <c r="G5" s="3">
        <v>5.47883E-4</v>
      </c>
      <c r="H5" s="3">
        <v>5.547095E-4</v>
      </c>
      <c r="I5" s="3">
        <v>5.033664E-4</v>
      </c>
      <c r="J5" s="3">
        <v>4.86102499999999E-4</v>
      </c>
      <c r="K5" s="3">
        <v>4.62286199999999E-4</v>
      </c>
      <c r="L5" s="3">
        <v>4.443325E-4</v>
      </c>
      <c r="M5" s="3">
        <v>4.306968E-4</v>
      </c>
      <c r="N5" s="3">
        <v>4.179649E-4</v>
      </c>
      <c r="O5" s="3">
        <v>4.048624E-4</v>
      </c>
      <c r="R5" s="1" t="s">
        <v>33</v>
      </c>
      <c r="S5" s="1" t="s">
        <v>23</v>
      </c>
      <c r="T5" s="1">
        <f>(C5*10^9)/GJperUnit!$B$2</f>
        <v>5040.284487</v>
      </c>
      <c r="U5" s="1">
        <f>(D5*10^9)/GJperUnit!$C$2</f>
        <v>23136.52412</v>
      </c>
      <c r="V5" s="1">
        <f>(E5*10^9)/GJperUnit!$D$2</f>
        <v>43445.80128</v>
      </c>
      <c r="W5" s="1">
        <f>(F5*10^9)/GJperUnit!$E$2</f>
        <v>86843.6155</v>
      </c>
      <c r="X5" s="1">
        <f>(G5*10^9)/GJperUnit!$F$2</f>
        <v>86590.28149</v>
      </c>
      <c r="Y5" s="1">
        <f>(H5*10^9)/GJperUnit!$G$2</f>
        <v>90259.98792</v>
      </c>
      <c r="Z5" s="1">
        <f>(I5*10^9)/GJperUnit!$H$2</f>
        <v>84326.14195</v>
      </c>
      <c r="AA5" s="1">
        <f>(J5*10^9)/GJperUnit!$I$2</f>
        <v>83840.56648</v>
      </c>
      <c r="AB5" s="1">
        <f>(K5*10^9)/GJperUnit!$J$2</f>
        <v>82089.1237</v>
      </c>
      <c r="AC5" s="1">
        <f>(L5*10^9)/GJperUnit!$K$2</f>
        <v>81232.74171</v>
      </c>
      <c r="AD5" s="1">
        <f>(M5*10^9)/GJperUnit!$L$2</f>
        <v>81066.79761</v>
      </c>
      <c r="AE5" s="1">
        <f>(N5*10^9)/GJperUnit!$M$2</f>
        <v>80995.24535</v>
      </c>
      <c r="AF5" s="1">
        <f>(O5*10^9)/GJperUnit!$N$2</f>
        <v>80774.72714</v>
      </c>
    </row>
    <row r="6" ht="14.25" customHeight="1">
      <c r="A6" s="1" t="s">
        <v>34</v>
      </c>
      <c r="B6" s="1" t="s">
        <v>23</v>
      </c>
      <c r="C6" s="3">
        <v>1.329571E-5</v>
      </c>
      <c r="D6" s="3">
        <v>2.525656E-5</v>
      </c>
      <c r="E6" s="3">
        <v>4.3530937E-5</v>
      </c>
      <c r="F6" s="3">
        <v>1.44279086E-4</v>
      </c>
      <c r="G6" s="3">
        <v>1.792908E-4</v>
      </c>
      <c r="H6" s="3">
        <v>2.31649499999999E-4</v>
      </c>
      <c r="I6" s="3">
        <v>3.059243E-4</v>
      </c>
      <c r="J6" s="3">
        <v>3.95143E-4</v>
      </c>
      <c r="K6" s="3">
        <v>4.859856E-4</v>
      </c>
      <c r="L6" s="3">
        <v>5.475921E-4</v>
      </c>
      <c r="M6" s="3">
        <v>6.01953E-4</v>
      </c>
      <c r="N6" s="3">
        <v>6.44424E-4</v>
      </c>
      <c r="O6" s="3">
        <v>6.79142E-4</v>
      </c>
      <c r="R6" s="1" t="s">
        <v>34</v>
      </c>
      <c r="S6" s="1" t="s">
        <v>23</v>
      </c>
      <c r="T6" s="1">
        <f>(C6*10^9)/GJperUnit!$B$2</f>
        <v>1982.422318</v>
      </c>
      <c r="U6" s="1">
        <f>(D6*10^9)/GJperUnit!$C$2</f>
        <v>3765.813801</v>
      </c>
      <c r="V6" s="1">
        <f>(E6*10^9)/GJperUnit!$D$2</f>
        <v>6490.567335</v>
      </c>
      <c r="W6" s="1">
        <f>(F6*10^9)/GJperUnit!$E$2</f>
        <v>22148.09449</v>
      </c>
      <c r="X6" s="1">
        <f>(G6*10^9)/GJperUnit!$F$2</f>
        <v>28336.05139</v>
      </c>
      <c r="Y6" s="1">
        <f>(H6*10^9)/GJperUnit!$G$2</f>
        <v>37693.02864</v>
      </c>
      <c r="Z6" s="1">
        <f>(I6*10^9)/GJperUnit!$H$2</f>
        <v>51249.7774</v>
      </c>
      <c r="AA6" s="1">
        <f>(J6*10^9)/GJperUnit!$I$2</f>
        <v>68152.31964</v>
      </c>
      <c r="AB6" s="1">
        <f>(K6*10^9)/GJperUnit!$J$2</f>
        <v>86297.47553</v>
      </c>
      <c r="AC6" s="1">
        <f>(L6*10^9)/GJperUnit!$K$2</f>
        <v>100110.6325</v>
      </c>
      <c r="AD6" s="1">
        <f>(M6*10^9)/GJperUnit!$L$2</f>
        <v>113301.0555</v>
      </c>
      <c r="AE6" s="1">
        <f>(N6*10^9)/GJperUnit!$M$2</f>
        <v>124879.5772</v>
      </c>
      <c r="AF6" s="1">
        <f>(O6*10^9)/GJperUnit!$N$2</f>
        <v>135496.6767</v>
      </c>
    </row>
    <row r="7" ht="14.25" customHeight="1">
      <c r="A7" s="1" t="s">
        <v>35</v>
      </c>
      <c r="B7" s="1" t="s">
        <v>23</v>
      </c>
      <c r="C7" s="3">
        <v>2.849887E-5</v>
      </c>
      <c r="D7" s="3">
        <v>1.4680738E-4</v>
      </c>
      <c r="E7" s="3">
        <v>1.13791336E-4</v>
      </c>
      <c r="F7" s="3">
        <v>2.05858796E-4</v>
      </c>
      <c r="G7" s="3">
        <v>2.02098999999999E-4</v>
      </c>
      <c r="H7" s="3">
        <v>2.139252E-4</v>
      </c>
      <c r="I7" s="3">
        <v>2.882746E-4</v>
      </c>
      <c r="J7" s="3">
        <v>3.747425E-4</v>
      </c>
      <c r="K7" s="3">
        <v>4.592754E-4</v>
      </c>
      <c r="L7" s="3">
        <v>5.600286E-4</v>
      </c>
      <c r="M7" s="3">
        <v>6.65396E-4</v>
      </c>
      <c r="N7" s="3">
        <v>7.74716E-4</v>
      </c>
      <c r="O7" s="3">
        <v>8.87594E-4</v>
      </c>
      <c r="R7" s="1" t="s">
        <v>35</v>
      </c>
      <c r="S7" s="1" t="s">
        <v>23</v>
      </c>
      <c r="T7" s="1">
        <f>(C7*10^9)/GJperUnit!$B$2</f>
        <v>4249.250015</v>
      </c>
      <c r="U7" s="1">
        <f>(D7*10^9)/GJperUnit!$C$2</f>
        <v>21889.33321</v>
      </c>
      <c r="V7" s="1">
        <f>(E7*10^9)/GJperUnit!$D$2</f>
        <v>16966.5617</v>
      </c>
      <c r="W7" s="1">
        <f>(F7*10^9)/GJperUnit!$E$2</f>
        <v>31601.11554</v>
      </c>
      <c r="X7" s="1">
        <f>(G7*10^9)/GJperUnit!$F$2</f>
        <v>31940.77805</v>
      </c>
      <c r="Y7" s="1">
        <f>(H7*10^9)/GJperUnit!$G$2</f>
        <v>34809.00538</v>
      </c>
      <c r="Z7" s="1">
        <f>(I7*10^9)/GJperUnit!$H$2</f>
        <v>48293.02242</v>
      </c>
      <c r="AA7" s="1">
        <f>(J7*10^9)/GJperUnit!$I$2</f>
        <v>64633.74182</v>
      </c>
      <c r="AB7" s="1">
        <f>(K7*10^9)/GJperUnit!$J$2</f>
        <v>81554.48967</v>
      </c>
      <c r="AC7" s="1">
        <f>(L7*10^9)/GJperUnit!$K$2</f>
        <v>102384.2699</v>
      </c>
      <c r="AD7" s="1">
        <f>(M7*10^9)/GJperUnit!$L$2</f>
        <v>125242.451</v>
      </c>
      <c r="AE7" s="1">
        <f>(N7*10^9)/GJperUnit!$M$2</f>
        <v>150128.1866</v>
      </c>
      <c r="AF7" s="1">
        <f>(O7*10^9)/GJperUnit!$N$2</f>
        <v>177085.2595</v>
      </c>
    </row>
    <row r="8" ht="14.25" customHeight="1">
      <c r="A8" s="1" t="s">
        <v>36</v>
      </c>
      <c r="B8" s="1" t="s">
        <v>23</v>
      </c>
      <c r="C8" s="3">
        <v>1.040977E-4</v>
      </c>
      <c r="D8" s="3">
        <v>7.64079999999999E-5</v>
      </c>
      <c r="E8" s="3">
        <v>3.407636E-5</v>
      </c>
      <c r="F8" s="3">
        <v>7.081133E-5</v>
      </c>
      <c r="G8" s="3">
        <v>8.740057E-5</v>
      </c>
      <c r="H8" s="3">
        <v>1.139184E-4</v>
      </c>
      <c r="I8" s="3">
        <v>1.336547E-4</v>
      </c>
      <c r="J8" s="3">
        <v>1.694276E-4</v>
      </c>
      <c r="K8" s="3">
        <v>2.07402799999999E-4</v>
      </c>
      <c r="L8" s="3">
        <v>2.52385899999999E-4</v>
      </c>
      <c r="M8" s="3">
        <v>3.043138E-4</v>
      </c>
      <c r="N8" s="3">
        <v>3.64517E-4</v>
      </c>
      <c r="O8" s="3">
        <v>4.29149E-4</v>
      </c>
      <c r="R8" s="1" t="s">
        <v>36</v>
      </c>
      <c r="S8" s="1" t="s">
        <v>23</v>
      </c>
      <c r="T8" s="1">
        <f>(C8*10^9)/GJperUnit!$B$2</f>
        <v>15521.21727</v>
      </c>
      <c r="U8" s="1">
        <f>(D8*10^9)/GJperUnit!$C$2</f>
        <v>11392.61645</v>
      </c>
      <c r="V8" s="1">
        <f>(E8*10^9)/GJperUnit!$D$2</f>
        <v>5080.86718</v>
      </c>
      <c r="W8" s="1">
        <f>(F8*10^9)/GJperUnit!$E$2</f>
        <v>10870.155</v>
      </c>
      <c r="X8" s="1">
        <f>(G8*10^9)/GJperUnit!$F$2</f>
        <v>13813.24107</v>
      </c>
      <c r="Y8" s="1">
        <f>(H8*10^9)/GJperUnit!$G$2</f>
        <v>18536.3211</v>
      </c>
      <c r="Z8" s="1">
        <f>(I8*10^9)/GJperUnit!$H$2</f>
        <v>22390.42019</v>
      </c>
      <c r="AA8" s="1">
        <f>(J8*10^9)/GJperUnit!$I$2</f>
        <v>29222.03848</v>
      </c>
      <c r="AB8" s="1">
        <f>(K8*10^9)/GJperUnit!$J$2</f>
        <v>36828.94731</v>
      </c>
      <c r="AC8" s="1">
        <f>(L8*10^9)/GJperUnit!$K$2</f>
        <v>46141.11871</v>
      </c>
      <c r="AD8" s="1">
        <f>(M8*10^9)/GJperUnit!$L$2</f>
        <v>57278.68244</v>
      </c>
      <c r="AE8" s="1">
        <f>(N8*10^9)/GJperUnit!$M$2</f>
        <v>70637.85463</v>
      </c>
      <c r="AF8" s="1">
        <f>(O8*10^9)/GJperUnit!$N$2</f>
        <v>85620.18448</v>
      </c>
    </row>
    <row r="9" ht="14.25" customHeight="1">
      <c r="A9" s="1" t="s">
        <v>37</v>
      </c>
      <c r="B9" s="1" t="s">
        <v>23</v>
      </c>
      <c r="C9" s="3">
        <v>1.779519E-5</v>
      </c>
      <c r="D9" s="3">
        <v>5.915533E-5</v>
      </c>
      <c r="E9" s="3">
        <v>1.20869966E-4</v>
      </c>
      <c r="F9" s="3">
        <v>2.305873E-5</v>
      </c>
      <c r="G9" s="3">
        <v>1.401142E-5</v>
      </c>
      <c r="H9" s="3">
        <v>9.699139E-6</v>
      </c>
      <c r="I9" s="3">
        <v>1.10943679999999E-5</v>
      </c>
      <c r="J9" s="3">
        <v>1.660932E-5</v>
      </c>
      <c r="K9" s="3">
        <v>2.139703E-5</v>
      </c>
      <c r="L9" s="3">
        <v>2.884674E-5</v>
      </c>
      <c r="M9" s="3">
        <v>3.574285E-5</v>
      </c>
      <c r="N9" s="3">
        <v>4.340417E-5</v>
      </c>
      <c r="O9" s="3">
        <v>5.198504E-5</v>
      </c>
      <c r="R9" s="1" t="s">
        <v>37</v>
      </c>
      <c r="S9" s="1" t="s">
        <v>23</v>
      </c>
      <c r="T9" s="1">
        <f>(C9*10^9)/GJperUnit!$B$2</f>
        <v>2653.3056</v>
      </c>
      <c r="U9" s="1">
        <f>(D9*10^9)/GJperUnit!$C$2</f>
        <v>8820.201885</v>
      </c>
      <c r="V9" s="1">
        <f>(E9*10^9)/GJperUnit!$D$2</f>
        <v>18022.00245</v>
      </c>
      <c r="W9" s="1">
        <f>(F9*10^9)/GJperUnit!$E$2</f>
        <v>3539.715596</v>
      </c>
      <c r="X9" s="1">
        <f>(G9*10^9)/GJperUnit!$F$2</f>
        <v>2214.437758</v>
      </c>
      <c r="Y9" s="1">
        <f>(H9*10^9)/GJperUnit!$G$2</f>
        <v>1578.202949</v>
      </c>
      <c r="Z9" s="1">
        <f>(I9*10^9)/GJperUnit!$H$2</f>
        <v>1858.577074</v>
      </c>
      <c r="AA9" s="1">
        <f>(J9*10^9)/GJperUnit!$I$2</f>
        <v>2864.693758</v>
      </c>
      <c r="AB9" s="1">
        <f>(K9*10^9)/GJperUnit!$J$2</f>
        <v>3799.515197</v>
      </c>
      <c r="AC9" s="1">
        <f>(L9*10^9)/GJperUnit!$K$2</f>
        <v>5273.752831</v>
      </c>
      <c r="AD9" s="1">
        <f>(M9*10^9)/GJperUnit!$L$2</f>
        <v>6727.606026</v>
      </c>
      <c r="AE9" s="1">
        <f>(N9*10^9)/GJperUnit!$M$2</f>
        <v>8411.068485</v>
      </c>
      <c r="AF9" s="1">
        <f>(O9*10^9)/GJperUnit!$N$2</f>
        <v>10371.61619</v>
      </c>
    </row>
    <row r="10" ht="14.25" customHeight="1">
      <c r="A10" s="1" t="s">
        <v>38</v>
      </c>
      <c r="B10" s="1" t="s">
        <v>23</v>
      </c>
      <c r="C10" s="3">
        <v>0.001755801</v>
      </c>
      <c r="D10" s="3">
        <v>0.00207411</v>
      </c>
      <c r="E10" s="3">
        <v>0.001712997</v>
      </c>
      <c r="F10" s="3">
        <v>9.131553E-4</v>
      </c>
      <c r="G10" s="3">
        <v>8.66958499999999E-4</v>
      </c>
      <c r="H10" s="3">
        <v>0.001104944</v>
      </c>
      <c r="I10" s="3">
        <v>0.00127992</v>
      </c>
      <c r="J10" s="3">
        <v>0.00162840999999999</v>
      </c>
      <c r="K10" s="3">
        <v>0.001986197</v>
      </c>
      <c r="L10" s="3">
        <v>0.002389667</v>
      </c>
      <c r="M10" s="3">
        <v>0.00283894199999999</v>
      </c>
      <c r="N10" s="3">
        <v>0.003342188</v>
      </c>
      <c r="O10" s="3">
        <v>0.003859662</v>
      </c>
      <c r="R10" s="1" t="s">
        <v>38</v>
      </c>
      <c r="S10" s="1" t="s">
        <v>23</v>
      </c>
      <c r="T10" s="1">
        <f>(C10*10^9)/GJperUnit!$B$2</f>
        <v>261794.1492</v>
      </c>
      <c r="U10" s="1">
        <f>(D10*10^9)/GJperUnit!$C$2</f>
        <v>309254.7862</v>
      </c>
      <c r="V10" s="1">
        <f>(E10*10^9)/GJperUnit!$D$2</f>
        <v>255411.9699</v>
      </c>
      <c r="W10" s="1">
        <f>(F10*10^9)/GJperUnit!$E$2</f>
        <v>140177.2802</v>
      </c>
      <c r="X10" s="1">
        <f>(G10*10^9)/GJperUnit!$F$2</f>
        <v>137018.6346</v>
      </c>
      <c r="Y10" s="1">
        <f>(H10*10^9)/GJperUnit!$G$2</f>
        <v>179791.8227</v>
      </c>
      <c r="Z10" s="1">
        <f>(I10*10^9)/GJperUnit!$H$2</f>
        <v>214417.7991</v>
      </c>
      <c r="AA10" s="1">
        <f>(J10*10^9)/GJperUnit!$I$2</f>
        <v>280860.1413</v>
      </c>
      <c r="AB10" s="1">
        <f>(K10*10^9)/GJperUnit!$J$2</f>
        <v>352693.1395</v>
      </c>
      <c r="AC10" s="1">
        <f>(L10*10^9)/GJperUnit!$K$2</f>
        <v>436878.2436</v>
      </c>
      <c r="AD10" s="1">
        <f>(M10*10^9)/GJperUnit!$L$2</f>
        <v>534352.5574</v>
      </c>
      <c r="AE10" s="1">
        <f>(N10*10^9)/GJperUnit!$M$2</f>
        <v>647665.2395</v>
      </c>
      <c r="AF10" s="1">
        <f>(O10*10^9)/GJperUnit!$N$2</f>
        <v>770047.1689</v>
      </c>
    </row>
    <row r="11" ht="14.25" customHeight="1">
      <c r="A11" s="1" t="s">
        <v>39</v>
      </c>
      <c r="B11" s="1" t="s">
        <v>23</v>
      </c>
      <c r="C11" s="3">
        <v>1.38019E-5</v>
      </c>
      <c r="D11" s="3">
        <v>7.740345E-5</v>
      </c>
      <c r="E11" s="3">
        <v>1.2404647E-4</v>
      </c>
      <c r="F11" s="3">
        <v>6.654024E-5</v>
      </c>
      <c r="G11" s="3">
        <v>6.584278E-5</v>
      </c>
      <c r="H11" s="3">
        <v>7.3741E-5</v>
      </c>
      <c r="I11" s="3">
        <v>7.394382E-5</v>
      </c>
      <c r="J11" s="3">
        <v>2.85107999999999E-5</v>
      </c>
      <c r="K11" s="3">
        <v>4.1474E-5</v>
      </c>
      <c r="L11" s="3">
        <v>6.20047E-5</v>
      </c>
      <c r="M11" s="3">
        <v>8.20486E-5</v>
      </c>
      <c r="N11" s="3">
        <v>1.025153E-4</v>
      </c>
      <c r="O11" s="3">
        <v>1.250497E-4</v>
      </c>
      <c r="R11" s="1" t="s">
        <v>39</v>
      </c>
      <c r="S11" s="1" t="s">
        <v>23</v>
      </c>
      <c r="T11" s="1">
        <f>(C11*10^9)/GJperUnit!$B$2</f>
        <v>2057.896463</v>
      </c>
      <c r="U11" s="1">
        <f>(D11*10^9)/GJperUnit!$C$2</f>
        <v>11541.04044</v>
      </c>
      <c r="V11" s="1">
        <f>(E11*10^9)/GJperUnit!$D$2</f>
        <v>18495.62683</v>
      </c>
      <c r="W11" s="1">
        <f>(F11*10^9)/GJperUnit!$E$2</f>
        <v>10214.50554</v>
      </c>
      <c r="X11" s="1">
        <f>(G11*10^9)/GJperUnit!$F$2</f>
        <v>10406.13572</v>
      </c>
      <c r="Y11" s="1">
        <f>(H11*10^9)/GJperUnit!$G$2</f>
        <v>11998.82419</v>
      </c>
      <c r="Z11" s="1">
        <f>(I11*10^9)/GJperUnit!$H$2</f>
        <v>12387.39229</v>
      </c>
      <c r="AA11" s="1">
        <f>(J11*10^9)/GJperUnit!$I$2</f>
        <v>4917.402446</v>
      </c>
      <c r="AB11" s="1">
        <f>(K11*10^9)/GJperUnit!$J$2</f>
        <v>7364.62459</v>
      </c>
      <c r="AC11" s="1">
        <f>(L11*10^9)/GJperUnit!$K$2</f>
        <v>11335.68168</v>
      </c>
      <c r="AD11" s="1">
        <f>(M11*10^9)/GJperUnit!$L$2</f>
        <v>15443.38674</v>
      </c>
      <c r="AE11" s="1">
        <f>(N11*10^9)/GJperUnit!$M$2</f>
        <v>19865.9071</v>
      </c>
      <c r="AF11" s="1">
        <f>(O11*10^9)/GJperUnit!$N$2</f>
        <v>24948.86015</v>
      </c>
    </row>
    <row r="12" ht="14.25" customHeight="1">
      <c r="A12" s="1" t="s">
        <v>40</v>
      </c>
      <c r="B12" s="1" t="s">
        <v>23</v>
      </c>
      <c r="C12" s="3">
        <v>9.78082E-5</v>
      </c>
      <c r="D12" s="3">
        <v>0.002890581</v>
      </c>
      <c r="E12" s="3">
        <v>2.60077E-4</v>
      </c>
      <c r="F12" s="3">
        <v>7.728391E-5</v>
      </c>
      <c r="G12" s="3">
        <v>2.9150024E-5</v>
      </c>
      <c r="H12" s="3">
        <v>1.670279E-5</v>
      </c>
      <c r="I12" s="3">
        <v>6.46963999999999E-6</v>
      </c>
      <c r="J12" s="3">
        <v>7.65047E-6</v>
      </c>
      <c r="K12" s="3">
        <v>9.27563E-6</v>
      </c>
      <c r="L12" s="3">
        <v>1.13052E-5</v>
      </c>
      <c r="M12" s="3">
        <v>1.332968E-5</v>
      </c>
      <c r="N12" s="3">
        <v>1.544631E-5</v>
      </c>
      <c r="O12" s="3">
        <v>1.774053E-5</v>
      </c>
      <c r="R12" s="1" t="s">
        <v>40</v>
      </c>
      <c r="S12" s="1" t="s">
        <v>23</v>
      </c>
      <c r="T12" s="1">
        <f>(C12*10^9)/GJperUnit!$B$2</f>
        <v>14583.43771</v>
      </c>
      <c r="U12" s="1">
        <f>(D12*10^9)/GJperUnit!$C$2</f>
        <v>430992.5747</v>
      </c>
      <c r="V12" s="1">
        <f>(E12*10^9)/GJperUnit!$D$2</f>
        <v>38778.1058</v>
      </c>
      <c r="W12" s="1">
        <f>(F12*10^9)/GJperUnit!$E$2</f>
        <v>11863.75232</v>
      </c>
      <c r="X12" s="1">
        <f>(G12*10^9)/GJperUnit!$F$2</f>
        <v>4607.021542</v>
      </c>
      <c r="Y12" s="1">
        <f>(H12*10^9)/GJperUnit!$G$2</f>
        <v>2717.807472</v>
      </c>
      <c r="Z12" s="1">
        <f>(I12*10^9)/GJperUnit!$H$2</f>
        <v>1083.822403</v>
      </c>
      <c r="AA12" s="1">
        <f>(J12*10^9)/GJperUnit!$I$2</f>
        <v>1319.515408</v>
      </c>
      <c r="AB12" s="1">
        <f>(K12*10^9)/GJperUnit!$J$2</f>
        <v>1647.092945</v>
      </c>
      <c r="AC12" s="1">
        <f>(L12*10^9)/GJperUnit!$K$2</f>
        <v>2066.81346</v>
      </c>
      <c r="AD12" s="1">
        <f>(M12*10^9)/GJperUnit!$L$2</f>
        <v>2508.94474</v>
      </c>
      <c r="AE12" s="1">
        <f>(N12*10^9)/GJperUnit!$M$2</f>
        <v>2993.260123</v>
      </c>
      <c r="AF12" s="1">
        <f>(O12*10^9)/GJperUnit!$N$2</f>
        <v>3539.440734</v>
      </c>
    </row>
    <row r="13" ht="14.25" customHeight="1">
      <c r="A13" s="1" t="s">
        <v>41</v>
      </c>
      <c r="B13" s="1" t="s">
        <v>23</v>
      </c>
      <c r="C13" s="3">
        <v>2.10698599999999E-4</v>
      </c>
      <c r="D13" s="3">
        <v>4.456383E-4</v>
      </c>
      <c r="E13" s="3">
        <v>4.47881799999999E-4</v>
      </c>
      <c r="F13" s="3">
        <v>9.3834399E-4</v>
      </c>
      <c r="G13" s="3">
        <v>9.34540999999999E-4</v>
      </c>
      <c r="H13" s="3">
        <v>0.001090926</v>
      </c>
      <c r="I13" s="3">
        <v>0.001307593</v>
      </c>
      <c r="J13" s="3">
        <v>0.001457496</v>
      </c>
      <c r="K13" s="3">
        <v>0.001516925</v>
      </c>
      <c r="L13" s="3">
        <v>0.001733462</v>
      </c>
      <c r="M13" s="3">
        <v>0.001983165</v>
      </c>
      <c r="N13" s="3">
        <v>0.002216936</v>
      </c>
      <c r="O13" s="3">
        <v>0.002420858</v>
      </c>
      <c r="R13" s="1" t="s">
        <v>41</v>
      </c>
      <c r="S13" s="1" t="s">
        <v>23</v>
      </c>
      <c r="T13" s="1">
        <f>(C13*10^9)/GJperUnit!$B$2</f>
        <v>31415.66768</v>
      </c>
      <c r="U13" s="1">
        <f>(D13*10^9)/GJperUnit!$C$2</f>
        <v>66445.74164</v>
      </c>
      <c r="V13" s="1">
        <f>(E13*10^9)/GJperUnit!$D$2</f>
        <v>66780.25288</v>
      </c>
      <c r="W13" s="1">
        <f>(F13*10^9)/GJperUnit!$E$2</f>
        <v>144043.9632</v>
      </c>
      <c r="X13" s="1">
        <f>(G13*10^9)/GJperUnit!$F$2</f>
        <v>147699.7247</v>
      </c>
      <c r="Y13" s="1">
        <f>(H13*10^9)/GJperUnit!$G$2</f>
        <v>177510.873</v>
      </c>
      <c r="Z13" s="1">
        <f>(I13*10^9)/GJperUnit!$H$2</f>
        <v>219053.7011</v>
      </c>
      <c r="AA13" s="1">
        <f>(J13*10^9)/GJperUnit!$I$2</f>
        <v>251381.7359</v>
      </c>
      <c r="AB13" s="1">
        <f>(K13*10^9)/GJperUnit!$J$2</f>
        <v>269363.5327</v>
      </c>
      <c r="AC13" s="1">
        <f>(L13*10^9)/GJperUnit!$K$2</f>
        <v>316911.0315</v>
      </c>
      <c r="AD13" s="1">
        <f>(M13*10^9)/GJperUnit!$L$2</f>
        <v>373276.1323</v>
      </c>
      <c r="AE13" s="1">
        <f>(N13*10^9)/GJperUnit!$M$2</f>
        <v>429608.5036</v>
      </c>
      <c r="AF13" s="1">
        <f>(O13*10^9)/GJperUnit!$N$2</f>
        <v>482989.1449</v>
      </c>
    </row>
    <row r="14" ht="14.25" customHeight="1">
      <c r="A14" s="1" t="s">
        <v>42</v>
      </c>
      <c r="B14" s="1" t="s">
        <v>23</v>
      </c>
      <c r="C14" s="3">
        <v>5.70871E-5</v>
      </c>
      <c r="D14" s="3">
        <v>1.6215764E-4</v>
      </c>
      <c r="E14" s="3">
        <v>3.988514E-4</v>
      </c>
      <c r="F14" s="3">
        <v>7.3793784E-4</v>
      </c>
      <c r="G14" s="3">
        <v>8.553901E-4</v>
      </c>
      <c r="H14" s="3">
        <v>0.0010130588</v>
      </c>
      <c r="I14" s="3">
        <v>0.001144346</v>
      </c>
      <c r="J14" s="3">
        <v>0.001260494</v>
      </c>
      <c r="K14" s="3">
        <v>0.00134514699999999</v>
      </c>
      <c r="L14" s="3">
        <v>0.00143103</v>
      </c>
      <c r="M14" s="3">
        <v>0.001511053</v>
      </c>
      <c r="N14" s="3">
        <v>0.00158504899999999</v>
      </c>
      <c r="O14" s="3">
        <v>0.001637728</v>
      </c>
      <c r="R14" s="1" t="s">
        <v>42</v>
      </c>
      <c r="S14" s="1" t="s">
        <v>23</v>
      </c>
      <c r="T14" s="1">
        <f>(C14*10^9)/GJperUnit!$B$2</f>
        <v>8511.823821</v>
      </c>
      <c r="U14" s="1">
        <f>(D14*10^9)/GJperUnit!$C$2</f>
        <v>24178.09387</v>
      </c>
      <c r="V14" s="1">
        <f>(E14*10^9)/GJperUnit!$D$2</f>
        <v>59469.70239</v>
      </c>
      <c r="W14" s="1">
        <f>(F14*10^9)/GJperUnit!$E$2</f>
        <v>113279.8763</v>
      </c>
      <c r="X14" s="1">
        <f>(G14*10^9)/GJperUnit!$F$2</f>
        <v>135190.3044</v>
      </c>
      <c r="Y14" s="1">
        <f>(H14*10^9)/GJperUnit!$G$2</f>
        <v>164840.6509</v>
      </c>
      <c r="Z14" s="1">
        <f>(I14*10^9)/GJperUnit!$H$2</f>
        <v>191705.8493</v>
      </c>
      <c r="AA14" s="1">
        <f>(J14*10^9)/GJperUnit!$I$2</f>
        <v>217403.8006</v>
      </c>
      <c r="AB14" s="1">
        <f>(K14*10^9)/GJperUnit!$J$2</f>
        <v>238860.5554</v>
      </c>
      <c r="AC14" s="1">
        <f>(L14*10^9)/GJperUnit!$K$2</f>
        <v>261620.499</v>
      </c>
      <c r="AD14" s="1">
        <f>(M14*10^9)/GJperUnit!$L$2</f>
        <v>284414.0651</v>
      </c>
      <c r="AE14" s="1">
        <f>(N14*10^9)/GJperUnit!$M$2</f>
        <v>307158.4065</v>
      </c>
      <c r="AF14" s="1">
        <f>(O14*10^9)/GJperUnit!$N$2</f>
        <v>326745.6606</v>
      </c>
    </row>
    <row r="15" ht="14.25" customHeight="1">
      <c r="A15" s="1" t="s">
        <v>43</v>
      </c>
      <c r="B15" s="1" t="s">
        <v>23</v>
      </c>
      <c r="C15" s="3">
        <v>3.088063E-4</v>
      </c>
      <c r="D15" s="3">
        <v>3.925823E-4</v>
      </c>
      <c r="E15" s="3">
        <v>8.52513299999999E-4</v>
      </c>
      <c r="F15" s="3">
        <v>0.0025828163</v>
      </c>
      <c r="G15" s="3">
        <v>0.004037718</v>
      </c>
      <c r="H15" s="3">
        <v>0.005361067</v>
      </c>
      <c r="I15" s="3">
        <v>0.00637629</v>
      </c>
      <c r="J15" s="3">
        <v>0.00679438</v>
      </c>
      <c r="K15" s="3">
        <v>0.00670703</v>
      </c>
      <c r="L15" s="3">
        <v>0.00719319</v>
      </c>
      <c r="M15" s="3">
        <v>0.00758952</v>
      </c>
      <c r="N15" s="3">
        <v>0.00785955</v>
      </c>
      <c r="O15" s="3">
        <v>0.0079811</v>
      </c>
      <c r="R15" s="1" t="s">
        <v>43</v>
      </c>
      <c r="S15" s="1" t="s">
        <v>23</v>
      </c>
      <c r="T15" s="1">
        <f>(C15*10^9)/GJperUnit!$B$2</f>
        <v>46043.76156</v>
      </c>
      <c r="U15" s="1">
        <f>(D15*10^9)/GJperUnit!$C$2</f>
        <v>58534.96451</v>
      </c>
      <c r="V15" s="1">
        <f>(E15*10^9)/GJperUnit!$D$2</f>
        <v>127111.7821</v>
      </c>
      <c r="W15" s="1">
        <f>(F15*10^9)/GJperUnit!$E$2</f>
        <v>396484.7648</v>
      </c>
      <c r="X15" s="1">
        <f>(G15*10^9)/GJperUnit!$F$2</f>
        <v>638141.9723</v>
      </c>
      <c r="Y15" s="1">
        <f>(H15*10^9)/GJperUnit!$G$2</f>
        <v>872330.1884</v>
      </c>
      <c r="Z15" s="1">
        <f>(I15*10^9)/GJperUnit!$H$2</f>
        <v>1068184.002</v>
      </c>
      <c r="AA15" s="1">
        <f>(J15*10^9)/GJperUnit!$I$2</f>
        <v>1171861.219</v>
      </c>
      <c r="AB15" s="1">
        <f>(K15*10^9)/GJperUnit!$J$2</f>
        <v>1190981.291</v>
      </c>
      <c r="AC15" s="1">
        <f>(L15*10^9)/GJperUnit!$K$2</f>
        <v>1315056.957</v>
      </c>
      <c r="AD15" s="1">
        <f>(M15*10^9)/GJperUnit!$L$2</f>
        <v>1428517.885</v>
      </c>
      <c r="AE15" s="1">
        <f>(N15*10^9)/GJperUnit!$M$2</f>
        <v>1523061.34</v>
      </c>
      <c r="AF15" s="1">
        <f>(O15*10^9)/GJperUnit!$N$2</f>
        <v>1592321.675</v>
      </c>
    </row>
    <row r="16" ht="14.25" customHeight="1">
      <c r="A16" s="1" t="s">
        <v>44</v>
      </c>
      <c r="B16" s="1" t="s">
        <v>23</v>
      </c>
      <c r="C16" s="3">
        <v>3.538783E-5</v>
      </c>
      <c r="D16" s="3">
        <v>2.4138609E-4</v>
      </c>
      <c r="E16" s="3">
        <v>1.138E-4</v>
      </c>
      <c r="F16" s="3">
        <v>3.630395E-4</v>
      </c>
      <c r="G16" s="3">
        <v>2.5192175E-4</v>
      </c>
      <c r="H16" s="3">
        <v>2.746885E-4</v>
      </c>
      <c r="I16" s="3">
        <v>3.171678E-4</v>
      </c>
      <c r="J16" s="3">
        <v>3.332279E-4</v>
      </c>
      <c r="K16" s="3">
        <v>3.320347E-4</v>
      </c>
      <c r="L16" s="3">
        <v>3.730791E-4</v>
      </c>
      <c r="M16" s="3">
        <v>4.14298E-4</v>
      </c>
      <c r="N16" s="3">
        <v>4.523051E-4</v>
      </c>
      <c r="O16" s="3">
        <v>4.889121E-4</v>
      </c>
      <c r="R16" s="1" t="s">
        <v>44</v>
      </c>
      <c r="S16" s="1" t="s">
        <v>23</v>
      </c>
      <c r="T16" s="1">
        <f>(C16*10^9)/GJperUnit!$B$2</f>
        <v>5276.410509</v>
      </c>
      <c r="U16" s="1">
        <f>(D16*10^9)/GJperUnit!$C$2</f>
        <v>35991.2462</v>
      </c>
      <c r="V16" s="1">
        <f>(E16*10^9)/GJperUnit!$D$2</f>
        <v>16967.85352</v>
      </c>
      <c r="W16" s="1">
        <f>(F16*10^9)/GJperUnit!$E$2</f>
        <v>55729.7206</v>
      </c>
      <c r="X16" s="1">
        <f>(G16*10^9)/GJperUnit!$F$2</f>
        <v>39815.02483</v>
      </c>
      <c r="Y16" s="1">
        <f>(H16*10^9)/GJperUnit!$G$2</f>
        <v>44696.15302</v>
      </c>
      <c r="Z16" s="1">
        <f>(I16*10^9)/GJperUnit!$H$2</f>
        <v>53133.33772</v>
      </c>
      <c r="AA16" s="1">
        <f>(J16*10^9)/GJperUnit!$I$2</f>
        <v>57473.50796</v>
      </c>
      <c r="AB16" s="1">
        <f>(K16*10^9)/GJperUnit!$J$2</f>
        <v>58960.09347</v>
      </c>
      <c r="AC16" s="1">
        <f>(L16*10^9)/GJperUnit!$K$2</f>
        <v>68206.21532</v>
      </c>
      <c r="AD16" s="1">
        <f>(M16*10^9)/GJperUnit!$L$2</f>
        <v>77980.17565</v>
      </c>
      <c r="AE16" s="1">
        <f>(N16*10^9)/GJperUnit!$M$2</f>
        <v>87649.8542</v>
      </c>
      <c r="AF16" s="1">
        <f>(O16*10^9)/GJperUnit!$N$2</f>
        <v>97543.61351</v>
      </c>
    </row>
    <row r="17" ht="14.25" customHeight="1">
      <c r="A17" s="1" t="s">
        <v>45</v>
      </c>
      <c r="B17" s="1" t="s">
        <v>23</v>
      </c>
      <c r="C17" s="3">
        <v>5.38523E-4</v>
      </c>
      <c r="D17" s="3">
        <v>9.775602E-4</v>
      </c>
      <c r="E17" s="3">
        <v>0.0025632248</v>
      </c>
      <c r="F17" s="3">
        <v>0.0083025327</v>
      </c>
      <c r="G17" s="3">
        <v>0.008359192</v>
      </c>
      <c r="H17" s="3">
        <v>0.009091482</v>
      </c>
      <c r="I17" s="3">
        <v>0.0101871299999999</v>
      </c>
      <c r="J17" s="3">
        <v>0.01102765</v>
      </c>
      <c r="K17" s="3">
        <v>0.01173184</v>
      </c>
      <c r="L17" s="3">
        <v>0.01274608</v>
      </c>
      <c r="M17" s="3">
        <v>0.01367554</v>
      </c>
      <c r="N17" s="3">
        <v>0.0144892</v>
      </c>
      <c r="O17" s="3">
        <v>0.01505287</v>
      </c>
      <c r="R17" s="1" t="s">
        <v>45</v>
      </c>
      <c r="S17" s="1" t="s">
        <v>23</v>
      </c>
      <c r="T17" s="1">
        <f>(C17*10^9)/GJperUnit!$B$2</f>
        <v>80295.07366</v>
      </c>
      <c r="U17" s="1">
        <f>(D17*10^9)/GJperUnit!$C$2</f>
        <v>145756.5754</v>
      </c>
      <c r="V17" s="1">
        <f>(E17*10^9)/GJperUnit!$D$2</f>
        <v>382182.9785</v>
      </c>
      <c r="W17" s="1">
        <f>(F17*10^9)/GJperUnit!$E$2</f>
        <v>1274510.976</v>
      </c>
      <c r="X17" s="1">
        <f>(G17*10^9)/GJperUnit!$F$2</f>
        <v>1321130.22</v>
      </c>
      <c r="Y17" s="1">
        <f>(H17*10^9)/GJperUnit!$G$2</f>
        <v>1479327.568</v>
      </c>
      <c r="Z17" s="1">
        <f>(I17*10^9)/GJperUnit!$H$2</f>
        <v>1706592.594</v>
      </c>
      <c r="AA17" s="1">
        <f>(J17*10^9)/GJperUnit!$I$2</f>
        <v>1901994.791</v>
      </c>
      <c r="AB17" s="1">
        <f>(K17*10^9)/GJperUnit!$J$2</f>
        <v>2083247.272</v>
      </c>
      <c r="AC17" s="1">
        <f>(L17*10^9)/GJperUnit!$K$2</f>
        <v>2330234.733</v>
      </c>
      <c r="AD17" s="1">
        <f>(M17*10^9)/GJperUnit!$L$2</f>
        <v>2574043.349</v>
      </c>
      <c r="AE17" s="1">
        <f>(N17*10^9)/GJperUnit!$M$2</f>
        <v>2807786.752</v>
      </c>
      <c r="AF17" s="1">
        <f>(O17*10^9)/GJperUnit!$N$2</f>
        <v>3003221.507</v>
      </c>
    </row>
    <row r="18" ht="14.25" customHeight="1">
      <c r="A18" s="1" t="s">
        <v>46</v>
      </c>
      <c r="B18" s="1" t="s">
        <v>23</v>
      </c>
      <c r="C18" s="3">
        <v>8.35001E-5</v>
      </c>
      <c r="D18" s="3">
        <v>1.229989E-4</v>
      </c>
      <c r="E18" s="3">
        <v>1.586307E-4</v>
      </c>
      <c r="F18" s="3">
        <v>3.96594689999999E-4</v>
      </c>
      <c r="G18" s="3">
        <v>2.81326E-4</v>
      </c>
      <c r="H18" s="3">
        <v>3.10458E-4</v>
      </c>
      <c r="I18" s="3">
        <v>3.13736E-4</v>
      </c>
      <c r="J18" s="3">
        <v>3.101401E-4</v>
      </c>
      <c r="K18" s="3">
        <v>2.961246E-4</v>
      </c>
      <c r="L18" s="3">
        <v>3.132991E-4</v>
      </c>
      <c r="M18" s="3">
        <v>3.35810299999999E-4</v>
      </c>
      <c r="N18" s="3">
        <v>3.55489999999999E-4</v>
      </c>
      <c r="O18" s="3">
        <v>3.698855E-4</v>
      </c>
      <c r="R18" s="1" t="s">
        <v>46</v>
      </c>
      <c r="S18" s="1" t="s">
        <v>23</v>
      </c>
      <c r="T18" s="1">
        <f>(C18*10^9)/GJperUnit!$B$2</f>
        <v>12450.06561</v>
      </c>
      <c r="U18" s="1">
        <f>(D18*10^9)/GJperUnit!$C$2</f>
        <v>18339.43162</v>
      </c>
      <c r="V18" s="1">
        <f>(E18*10^9)/GJperUnit!$D$2</f>
        <v>23652.21864</v>
      </c>
      <c r="W18" s="1">
        <f>(F18*10^9)/GJperUnit!$E$2</f>
        <v>60880.73409</v>
      </c>
      <c r="X18" s="1">
        <f>(G18*10^9)/GJperUnit!$F$2</f>
        <v>44462.22557</v>
      </c>
      <c r="Y18" s="1">
        <f>(H18*10^9)/GJperUnit!$G$2</f>
        <v>50516.41504</v>
      </c>
      <c r="Z18" s="1">
        <f>(I18*10^9)/GJperUnit!$H$2</f>
        <v>52558.42756</v>
      </c>
      <c r="AA18" s="1">
        <f>(J18*10^9)/GJperUnit!$I$2</f>
        <v>53491.43786</v>
      </c>
      <c r="AB18" s="1">
        <f>(K18*10^9)/GJperUnit!$J$2</f>
        <v>52583.46219</v>
      </c>
      <c r="AC18" s="1">
        <f>(L18*10^9)/GJperUnit!$K$2</f>
        <v>57277.25266</v>
      </c>
      <c r="AD18" s="1">
        <f>(M18*10^9)/GJperUnit!$L$2</f>
        <v>63207.03015</v>
      </c>
      <c r="AE18" s="1">
        <f>(N18*10^9)/GJperUnit!$M$2</f>
        <v>68888.55923</v>
      </c>
      <c r="AF18" s="1">
        <f>(O18*10^9)/GJperUnit!$N$2</f>
        <v>73796.43142</v>
      </c>
    </row>
    <row r="19" ht="14.25" customHeight="1">
      <c r="A19" s="1" t="s">
        <v>47</v>
      </c>
      <c r="B19" s="1" t="s">
        <v>23</v>
      </c>
      <c r="C19" s="3">
        <v>2.44802499999999E-4</v>
      </c>
      <c r="D19" s="3">
        <v>2.188126E-4</v>
      </c>
      <c r="E19" s="3">
        <v>1.70493E-4</v>
      </c>
      <c r="F19" s="3">
        <v>3.05497619999999E-4</v>
      </c>
      <c r="G19" s="3">
        <v>1.365518E-4</v>
      </c>
      <c r="H19" s="3">
        <v>5.81517999999999E-5</v>
      </c>
      <c r="I19" s="3">
        <v>4.586693E-5</v>
      </c>
      <c r="J19" s="3">
        <v>5.121235E-5</v>
      </c>
      <c r="K19" s="3">
        <v>5.9442E-5</v>
      </c>
      <c r="L19" s="3">
        <v>6.728822E-5</v>
      </c>
      <c r="M19" s="3">
        <v>7.5393E-5</v>
      </c>
      <c r="N19" s="3">
        <v>8.31725E-5</v>
      </c>
      <c r="O19" s="3">
        <v>8.94741E-5</v>
      </c>
      <c r="R19" s="1" t="s">
        <v>47</v>
      </c>
      <c r="S19" s="1" t="s">
        <v>23</v>
      </c>
      <c r="T19" s="1">
        <f>(C19*10^9)/GJperUnit!$B$2</f>
        <v>36500.64114</v>
      </c>
      <c r="U19" s="1">
        <f>(D19*10^9)/GJperUnit!$C$2</f>
        <v>32625.48458</v>
      </c>
      <c r="V19" s="1">
        <f>(E19*10^9)/GJperUnit!$D$2</f>
        <v>25420.91609</v>
      </c>
      <c r="W19" s="1">
        <f>(F19*10^9)/GJperUnit!$E$2</f>
        <v>46896.54158</v>
      </c>
      <c r="X19" s="1">
        <f>(G19*10^9)/GJperUnit!$F$2</f>
        <v>21581.35733</v>
      </c>
      <c r="Y19" s="1">
        <f>(H19*10^9)/GJperUnit!$G$2</f>
        <v>9462.215386</v>
      </c>
      <c r="Z19" s="1">
        <f>(I19*10^9)/GJperUnit!$H$2</f>
        <v>7683.828818</v>
      </c>
      <c r="AA19" s="1">
        <f>(J19*10^9)/GJperUnit!$I$2</f>
        <v>8832.854048</v>
      </c>
      <c r="AB19" s="1">
        <f>(K19*10^9)/GJperUnit!$J$2</f>
        <v>10555.23979</v>
      </c>
      <c r="AC19" s="1">
        <f>(L19*10^9)/GJperUnit!$K$2</f>
        <v>12301.61331</v>
      </c>
      <c r="AD19" s="1">
        <f>(M19*10^9)/GJperUnit!$L$2</f>
        <v>14190.65355</v>
      </c>
      <c r="AE19" s="1">
        <f>(N19*10^9)/GJperUnit!$M$2</f>
        <v>16117.56644</v>
      </c>
      <c r="AF19" s="1">
        <f>(O19*10^9)/GJperUnit!$N$2</f>
        <v>17851.11686</v>
      </c>
    </row>
    <row r="20" ht="14.25" customHeight="1">
      <c r="A20" s="1" t="s">
        <v>48</v>
      </c>
      <c r="B20" s="1" t="s">
        <v>23</v>
      </c>
      <c r="C20" s="3">
        <v>4.4994E-6</v>
      </c>
      <c r="D20" s="3">
        <v>8.149324E-6</v>
      </c>
      <c r="E20" s="3">
        <v>1.4220917E-5</v>
      </c>
      <c r="F20" s="3">
        <v>5.0464262E-5</v>
      </c>
      <c r="G20" s="3">
        <v>6.310869E-5</v>
      </c>
      <c r="H20" s="3">
        <v>7.548439E-5</v>
      </c>
      <c r="I20" s="3">
        <v>8.98271999999999E-5</v>
      </c>
      <c r="J20" s="3">
        <v>9.91214999999999E-5</v>
      </c>
      <c r="K20" s="3">
        <v>1.19732E-4</v>
      </c>
      <c r="L20" s="3">
        <v>1.368784E-4</v>
      </c>
      <c r="M20" s="3">
        <v>1.515106E-4</v>
      </c>
      <c r="N20" s="3">
        <v>1.65823E-4</v>
      </c>
      <c r="O20" s="3">
        <v>1.784412E-4</v>
      </c>
      <c r="R20" s="1" t="s">
        <v>48</v>
      </c>
      <c r="S20" s="1" t="s">
        <v>23</v>
      </c>
      <c r="T20" s="1">
        <f>(C20*10^9)/GJperUnit!$B$2</f>
        <v>670.8713544</v>
      </c>
      <c r="U20" s="1">
        <f>(D20*10^9)/GJperUnit!$C$2</f>
        <v>1215.083796</v>
      </c>
      <c r="V20" s="1">
        <f>(E20*10^9)/GJperUnit!$D$2</f>
        <v>2120.372905</v>
      </c>
      <c r="W20" s="1">
        <f>(F20*10^9)/GJperUnit!$E$2</f>
        <v>7746.703104</v>
      </c>
      <c r="X20" s="1">
        <f>(G20*10^9)/GJperUnit!$F$2</f>
        <v>9974.025899</v>
      </c>
      <c r="Y20" s="1">
        <f>(H20*10^9)/GJperUnit!$G$2</f>
        <v>12282.50125</v>
      </c>
      <c r="Z20" s="1">
        <f>(I20*10^9)/GJperUnit!$H$2</f>
        <v>15048.24561</v>
      </c>
      <c r="AA20" s="1">
        <f>(J20*10^9)/GJperUnit!$I$2</f>
        <v>17095.98842</v>
      </c>
      <c r="AB20" s="1">
        <f>(K20*10^9)/GJperUnit!$J$2</f>
        <v>21261.0607</v>
      </c>
      <c r="AC20" s="1">
        <f>(L20*10^9)/GJperUnit!$K$2</f>
        <v>25024.07029</v>
      </c>
      <c r="AD20" s="1">
        <f>(M20*10^9)/GJperUnit!$L$2</f>
        <v>28517.69306</v>
      </c>
      <c r="AE20" s="1">
        <f>(N20*10^9)/GJperUnit!$M$2</f>
        <v>32133.97721</v>
      </c>
      <c r="AF20" s="1">
        <f>(O20*10^9)/GJperUnit!$N$2</f>
        <v>35601.08136</v>
      </c>
    </row>
    <row r="21" ht="14.25" customHeight="1">
      <c r="A21" s="1" t="s">
        <v>49</v>
      </c>
      <c r="B21" s="1" t="s">
        <v>23</v>
      </c>
      <c r="C21" s="3">
        <v>4.59264E-6</v>
      </c>
      <c r="D21" s="3">
        <v>2.283913E-6</v>
      </c>
      <c r="E21" s="3">
        <v>8.09375599999999E-7</v>
      </c>
      <c r="F21" s="3">
        <v>1.92180609999999E-6</v>
      </c>
      <c r="G21" s="3">
        <v>1.998453E-6</v>
      </c>
      <c r="H21" s="3">
        <v>2.510743E-6</v>
      </c>
      <c r="I21" s="3">
        <v>1.44871899999999E-6</v>
      </c>
      <c r="J21" s="3">
        <v>1.7394955E-6</v>
      </c>
      <c r="K21" s="3">
        <v>2.082932E-6</v>
      </c>
      <c r="L21" s="3">
        <v>2.424319E-6</v>
      </c>
      <c r="M21" s="3">
        <v>2.787278E-6</v>
      </c>
      <c r="N21" s="3">
        <v>3.139357E-6</v>
      </c>
      <c r="O21" s="3">
        <v>3.43836199999999E-6</v>
      </c>
      <c r="R21" s="1" t="s">
        <v>49</v>
      </c>
      <c r="S21" s="1" t="s">
        <v>23</v>
      </c>
      <c r="T21" s="1">
        <f>(C21*10^9)/GJperUnit!$B$2</f>
        <v>684.7736626</v>
      </c>
      <c r="U21" s="1">
        <f>(D21*10^9)/GJperUnit!$C$2</f>
        <v>340.5369178</v>
      </c>
      <c r="V21" s="1">
        <f>(E21*10^9)/GJperUnit!$D$2</f>
        <v>120.6798473</v>
      </c>
      <c r="W21" s="1">
        <f>(F21*10^9)/GJperUnit!$E$2</f>
        <v>295.0139503</v>
      </c>
      <c r="X21" s="1">
        <f>(G21*10^9)/GJperUnit!$F$2</f>
        <v>315.8459157</v>
      </c>
      <c r="Y21" s="1">
        <f>(H21*10^9)/GJperUnit!$G$2</f>
        <v>408.5375009</v>
      </c>
      <c r="Z21" s="1">
        <f>(I21*10^9)/GJperUnit!$H$2</f>
        <v>242.6957462</v>
      </c>
      <c r="AA21" s="1">
        <f>(J21*10^9)/GJperUnit!$I$2</f>
        <v>300.0196216</v>
      </c>
      <c r="AB21" s="1">
        <f>(K21*10^9)/GJperUnit!$J$2</f>
        <v>369.870575</v>
      </c>
      <c r="AC21" s="1">
        <f>(L21*10^9)/GJperUnit!$K$2</f>
        <v>443.2133125</v>
      </c>
      <c r="AD21" s="1">
        <f>(M21*10^9)/GJperUnit!$L$2</f>
        <v>524.6282338</v>
      </c>
      <c r="AE21" s="1">
        <f>(N21*10^9)/GJperUnit!$M$2</f>
        <v>608.3596743</v>
      </c>
      <c r="AF21" s="1">
        <f>(O21*10^9)/GJperUnit!$N$2</f>
        <v>685.9929506</v>
      </c>
    </row>
    <row r="22" ht="14.25" customHeight="1">
      <c r="A22" s="1" t="s">
        <v>50</v>
      </c>
      <c r="B22" s="1" t="s">
        <v>23</v>
      </c>
      <c r="C22" s="3">
        <v>5.72975E-5</v>
      </c>
      <c r="D22" s="3">
        <v>1.2144483E-4</v>
      </c>
      <c r="E22" s="3">
        <v>1.1290767E-4</v>
      </c>
      <c r="F22" s="3">
        <v>2.1441693E-4</v>
      </c>
      <c r="G22" s="3">
        <v>2.031865E-4</v>
      </c>
      <c r="H22" s="3">
        <v>2.281954E-4</v>
      </c>
      <c r="I22" s="3">
        <v>2.482737E-4</v>
      </c>
      <c r="J22" s="3">
        <v>2.711334E-4</v>
      </c>
      <c r="K22" s="3">
        <v>2.651623E-4</v>
      </c>
      <c r="L22" s="3">
        <v>2.862965E-4</v>
      </c>
      <c r="M22" s="3">
        <v>3.133643E-4</v>
      </c>
      <c r="N22" s="3">
        <v>3.392022E-4</v>
      </c>
      <c r="O22" s="3">
        <v>3.615537E-4</v>
      </c>
      <c r="R22" s="1" t="s">
        <v>50</v>
      </c>
      <c r="S22" s="1" t="s">
        <v>23</v>
      </c>
      <c r="T22" s="1">
        <f>(C22*10^9)/GJperUnit!$B$2</f>
        <v>8543.194966</v>
      </c>
      <c r="U22" s="1">
        <f>(D22*10^9)/GJperUnit!$C$2</f>
        <v>18107.71605</v>
      </c>
      <c r="V22" s="1">
        <f>(E22*10^9)/GJperUnit!$D$2</f>
        <v>16834.80497</v>
      </c>
      <c r="W22" s="1">
        <f>(F22*10^9)/GJperUnit!$E$2</f>
        <v>32914.86354</v>
      </c>
      <c r="X22" s="1">
        <f>(G22*10^9)/GJperUnit!$F$2</f>
        <v>32112.65221</v>
      </c>
      <c r="Y22" s="1">
        <f>(H22*10^9)/GJperUnit!$G$2</f>
        <v>37130.99207</v>
      </c>
      <c r="Z22" s="1">
        <f>(I22*10^9)/GJperUnit!$H$2</f>
        <v>41591.89662</v>
      </c>
      <c r="AA22" s="1">
        <f>(J22*10^9)/GJperUnit!$I$2</f>
        <v>46763.75424</v>
      </c>
      <c r="AB22" s="1">
        <f>(K22*10^9)/GJperUnit!$J$2</f>
        <v>47085.42207</v>
      </c>
      <c r="AC22" s="1">
        <f>(L22*10^9)/GJperUnit!$K$2</f>
        <v>52340.64499</v>
      </c>
      <c r="AD22" s="1">
        <f>(M22*10^9)/GJperUnit!$L$2</f>
        <v>58982.18953</v>
      </c>
      <c r="AE22" s="1">
        <f>(N22*10^9)/GJperUnit!$M$2</f>
        <v>65732.23113</v>
      </c>
      <c r="AF22" s="1">
        <f>(O22*10^9)/GJperUnit!$N$2</f>
        <v>72134.14104</v>
      </c>
    </row>
    <row r="23" ht="14.25" customHeight="1">
      <c r="A23" s="1" t="s">
        <v>51</v>
      </c>
      <c r="B23" s="1" t="s">
        <v>23</v>
      </c>
      <c r="C23" s="3">
        <v>3.842484E-5</v>
      </c>
      <c r="D23" s="3">
        <v>1.7059243E-4</v>
      </c>
      <c r="E23" s="3">
        <v>2.05955699999999E-4</v>
      </c>
      <c r="F23" s="3">
        <v>4.7205169E-4</v>
      </c>
      <c r="G23" s="3">
        <v>4.255194E-4</v>
      </c>
      <c r="H23" s="3">
        <v>4.524215E-4</v>
      </c>
      <c r="I23" s="3">
        <v>4.579127E-4</v>
      </c>
      <c r="J23" s="3">
        <v>4.777713E-4</v>
      </c>
      <c r="K23" s="3">
        <v>4.92330999999999E-4</v>
      </c>
      <c r="L23" s="3">
        <v>5.018482E-4</v>
      </c>
      <c r="M23" s="3">
        <v>5.06490199999999E-4</v>
      </c>
      <c r="N23" s="3">
        <v>5.06852099999999E-4</v>
      </c>
      <c r="O23" s="3">
        <v>5.011073E-4</v>
      </c>
      <c r="R23" s="1" t="s">
        <v>51</v>
      </c>
      <c r="S23" s="1" t="s">
        <v>23</v>
      </c>
      <c r="T23" s="1">
        <f>(C23*10^9)/GJperUnit!$B$2</f>
        <v>5729.235999</v>
      </c>
      <c r="U23" s="1">
        <f>(D23*10^9)/GJperUnit!$C$2</f>
        <v>25435.74134</v>
      </c>
      <c r="V23" s="1">
        <f>(E23*10^9)/GJperUnit!$D$2</f>
        <v>30708.48989</v>
      </c>
      <c r="W23" s="1">
        <f>(F23*10^9)/GJperUnit!$E$2</f>
        <v>72464.03984</v>
      </c>
      <c r="X23" s="1">
        <f>(G23*10^9)/GJperUnit!$F$2</f>
        <v>67251.30115</v>
      </c>
      <c r="Y23" s="1">
        <f>(H23*10^9)/GJperUnit!$G$2</f>
        <v>73616.11641</v>
      </c>
      <c r="Z23" s="1">
        <f>(I23*10^9)/GJperUnit!$H$2</f>
        <v>76711.53923</v>
      </c>
      <c r="AA23" s="1">
        <f>(J23*10^9)/GJperUnit!$I$2</f>
        <v>82403.64211</v>
      </c>
      <c r="AB23" s="1">
        <f>(K23*10^9)/GJperUnit!$J$2</f>
        <v>87424.24143</v>
      </c>
      <c r="AC23" s="1">
        <f>(L23*10^9)/GJperUnit!$K$2</f>
        <v>91747.74569</v>
      </c>
      <c r="AD23" s="1">
        <f>(M23*10^9)/GJperUnit!$L$2</f>
        <v>95332.81541</v>
      </c>
      <c r="AE23" s="1">
        <f>(N23*10^9)/GJperUnit!$M$2</f>
        <v>98220.23379</v>
      </c>
      <c r="AF23" s="1">
        <f>(O23*10^9)/GJperUnit!$N$2</f>
        <v>99976.69683</v>
      </c>
    </row>
    <row r="24" ht="14.25" customHeight="1">
      <c r="A24" s="1" t="s">
        <v>52</v>
      </c>
      <c r="B24" s="1" t="s">
        <v>23</v>
      </c>
      <c r="C24" s="3">
        <v>1.579849E-5</v>
      </c>
      <c r="D24" s="3">
        <v>7.16493399999999E-5</v>
      </c>
      <c r="E24" s="3">
        <v>1.1246398E-4</v>
      </c>
      <c r="F24" s="3">
        <v>4.7773393E-4</v>
      </c>
      <c r="G24" s="3">
        <v>5.055573E-4</v>
      </c>
      <c r="H24" s="3">
        <v>5.118688E-4</v>
      </c>
      <c r="I24" s="3">
        <v>5.11941E-4</v>
      </c>
      <c r="J24" s="3">
        <v>5.015941E-4</v>
      </c>
      <c r="K24" s="3">
        <v>4.919673E-4</v>
      </c>
      <c r="L24" s="3">
        <v>4.696613E-4</v>
      </c>
      <c r="M24" s="3">
        <v>4.437909E-4</v>
      </c>
      <c r="N24" s="3">
        <v>4.152524E-4</v>
      </c>
      <c r="O24" s="3">
        <v>3.863504E-4</v>
      </c>
      <c r="R24" s="1" t="s">
        <v>52</v>
      </c>
      <c r="S24" s="1" t="s">
        <v>23</v>
      </c>
      <c r="T24" s="1">
        <f>(C24*10^9)/GJperUnit!$B$2</f>
        <v>2355.592831</v>
      </c>
      <c r="U24" s="1">
        <f>(D24*10^9)/GJperUnit!$C$2</f>
        <v>10683.08881</v>
      </c>
      <c r="V24" s="1">
        <f>(E24*10^9)/GJperUnit!$D$2</f>
        <v>16768.64973</v>
      </c>
      <c r="W24" s="1">
        <f>(F24*10^9)/GJperUnit!$E$2</f>
        <v>73336.3131</v>
      </c>
      <c r="X24" s="1">
        <f>(G24*10^9)/GJperUnit!$F$2</f>
        <v>79900.90752</v>
      </c>
      <c r="Y24" s="1">
        <f>(H24*10^9)/GJperUnit!$G$2</f>
        <v>83289.13009</v>
      </c>
      <c r="Z24" s="1">
        <f>(I24*10^9)/GJperUnit!$H$2</f>
        <v>85762.59647</v>
      </c>
      <c r="AA24" s="1">
        <f>(J24*10^9)/GJperUnit!$I$2</f>
        <v>86512.48139</v>
      </c>
      <c r="AB24" s="1">
        <f>(K24*10^9)/GJperUnit!$J$2</f>
        <v>87359.65846</v>
      </c>
      <c r="AC24" s="1">
        <f>(L24*10^9)/GJperUnit!$K$2</f>
        <v>85863.34575</v>
      </c>
      <c r="AD24" s="1">
        <f>(M24*10^9)/GJperUnit!$L$2</f>
        <v>83531.40091</v>
      </c>
      <c r="AE24" s="1">
        <f>(N24*10^9)/GJperUnit!$M$2</f>
        <v>80469.60407</v>
      </c>
      <c r="AF24" s="1">
        <f>(O24*10^9)/GJperUnit!$N$2</f>
        <v>77081.36922</v>
      </c>
    </row>
    <row r="25" ht="14.25" customHeight="1">
      <c r="A25" s="1" t="s">
        <v>53</v>
      </c>
      <c r="B25" s="1" t="s">
        <v>23</v>
      </c>
      <c r="C25" s="3">
        <v>4.88009E-5</v>
      </c>
      <c r="D25" s="3">
        <v>1.2342827E-4</v>
      </c>
      <c r="E25" s="3">
        <v>1.6646716E-4</v>
      </c>
      <c r="F25" s="3">
        <v>4.00742279999999E-4</v>
      </c>
      <c r="G25" s="3">
        <v>4.854794E-4</v>
      </c>
      <c r="H25" s="3">
        <v>5.689856E-4</v>
      </c>
      <c r="I25" s="3">
        <v>7.67349E-4</v>
      </c>
      <c r="J25" s="3">
        <v>9.96541E-4</v>
      </c>
      <c r="K25" s="3">
        <v>0.00120714</v>
      </c>
      <c r="L25" s="3">
        <v>0.001417832</v>
      </c>
      <c r="M25" s="3">
        <v>0.001632122</v>
      </c>
      <c r="N25" s="3">
        <v>0.001853604</v>
      </c>
      <c r="O25" s="3">
        <v>0.002081481</v>
      </c>
      <c r="R25" s="1" t="s">
        <v>53</v>
      </c>
      <c r="S25" s="1" t="s">
        <v>23</v>
      </c>
      <c r="T25" s="1">
        <f>(C25*10^9)/GJperUnit!$B$2</f>
        <v>7276.331484</v>
      </c>
      <c r="U25" s="1">
        <f>(D25*10^9)/GJperUnit!$C$2</f>
        <v>18403.45172</v>
      </c>
      <c r="V25" s="1">
        <f>(E25*10^9)/GJperUnit!$D$2</f>
        <v>24820.65366</v>
      </c>
      <c r="W25" s="1">
        <f>(F25*10^9)/GJperUnit!$E$2</f>
        <v>61517.42523</v>
      </c>
      <c r="X25" s="1">
        <f>(G25*10^9)/GJperUnit!$F$2</f>
        <v>76727.69169</v>
      </c>
      <c r="Y25" s="1">
        <f>(H25*10^9)/GJperUnit!$G$2</f>
        <v>92582.93464</v>
      </c>
      <c r="Z25" s="1">
        <f>(I25*10^9)/GJperUnit!$H$2</f>
        <v>128549.6622</v>
      </c>
      <c r="AA25" s="1">
        <f>(J25*10^9)/GJperUnit!$I$2</f>
        <v>171878.4864</v>
      </c>
      <c r="AB25" s="1">
        <f>(K25*10^9)/GJperUnit!$J$2</f>
        <v>214354.3648</v>
      </c>
      <c r="AC25" s="1">
        <f>(L25*10^9)/GJperUnit!$K$2</f>
        <v>259207.6444</v>
      </c>
      <c r="AD25" s="1">
        <f>(M25*10^9)/GJperUnit!$L$2</f>
        <v>307201.9663</v>
      </c>
      <c r="AE25" s="1">
        <f>(N25*10^9)/GJperUnit!$M$2</f>
        <v>359200.2839</v>
      </c>
      <c r="AF25" s="1">
        <f>(O25*10^9)/GJperUnit!$N$2</f>
        <v>415279.5118</v>
      </c>
    </row>
    <row r="26" ht="14.25" customHeight="1">
      <c r="A26" s="1" t="s">
        <v>54</v>
      </c>
      <c r="B26" s="1" t="s">
        <v>23</v>
      </c>
      <c r="C26" s="3">
        <v>3.35085E-5</v>
      </c>
      <c r="D26" s="3">
        <v>1.8196261E-4</v>
      </c>
      <c r="E26" s="3">
        <v>2.981676E-4</v>
      </c>
      <c r="F26" s="3">
        <v>0.0011871339</v>
      </c>
      <c r="G26" s="3">
        <v>0.00128685</v>
      </c>
      <c r="H26" s="3">
        <v>0.00130517</v>
      </c>
      <c r="I26" s="3">
        <v>0.001298916</v>
      </c>
      <c r="J26" s="3">
        <v>0.001256001</v>
      </c>
      <c r="K26" s="3">
        <v>0.001203217</v>
      </c>
      <c r="L26" s="3">
        <v>0.00116101</v>
      </c>
      <c r="M26" s="3">
        <v>0.00111329899999999</v>
      </c>
      <c r="N26" s="3">
        <v>0.001057232</v>
      </c>
      <c r="O26" s="3">
        <v>9.98104E-4</v>
      </c>
      <c r="R26" s="1" t="s">
        <v>54</v>
      </c>
      <c r="S26" s="1" t="s">
        <v>23</v>
      </c>
      <c r="T26" s="1">
        <f>(C26*10^9)/GJperUnit!$B$2</f>
        <v>4996.197889</v>
      </c>
      <c r="U26" s="1">
        <f>(D26*10^9)/GJperUnit!$C$2</f>
        <v>27131.0625</v>
      </c>
      <c r="V26" s="1">
        <f>(E26*10^9)/GJperUnit!$D$2</f>
        <v>44457.50581</v>
      </c>
      <c r="W26" s="1">
        <f>(F26*10^9)/GJperUnit!$E$2</f>
        <v>182235.3781</v>
      </c>
      <c r="X26" s="1">
        <f>(G26*10^9)/GJperUnit!$F$2</f>
        <v>203380.4731</v>
      </c>
      <c r="Y26" s="1">
        <f>(H26*10^9)/GJperUnit!$G$2</f>
        <v>212371.7521</v>
      </c>
      <c r="Z26" s="1">
        <f>(I26*10^9)/GJperUnit!$H$2</f>
        <v>217600.0921</v>
      </c>
      <c r="AA26" s="1">
        <f>(J26*10^9)/GJperUnit!$I$2</f>
        <v>216628.8701</v>
      </c>
      <c r="AB26" s="1">
        <f>(K26*10^9)/GJperUnit!$J$2</f>
        <v>213657.7496</v>
      </c>
      <c r="AC26" s="1">
        <f>(L26*10^9)/GJperUnit!$K$2</f>
        <v>212255.5191</v>
      </c>
      <c r="AD26" s="1">
        <f>(M26*10^9)/GJperUnit!$L$2</f>
        <v>209547.8413</v>
      </c>
      <c r="AE26" s="1">
        <f>(N26*10^9)/GJperUnit!$M$2</f>
        <v>204875.4937</v>
      </c>
      <c r="AF26" s="1">
        <f>(O26*10^9)/GJperUnit!$N$2</f>
        <v>199133.2815</v>
      </c>
    </row>
    <row r="27" ht="14.25" customHeight="1">
      <c r="A27" s="1" t="s">
        <v>55</v>
      </c>
      <c r="B27" s="1" t="s">
        <v>23</v>
      </c>
      <c r="C27" s="3">
        <v>1.261899E-4</v>
      </c>
      <c r="D27" s="3">
        <v>4.96815899999999E-4</v>
      </c>
      <c r="E27" s="3">
        <v>6.197719E-4</v>
      </c>
      <c r="F27" s="3">
        <v>0.0010825485</v>
      </c>
      <c r="G27" s="3">
        <v>9.151681E-4</v>
      </c>
      <c r="H27" s="3">
        <v>7.464034E-4</v>
      </c>
      <c r="I27" s="3">
        <v>5.429729E-4</v>
      </c>
      <c r="J27" s="3">
        <v>5.15980799999999E-4</v>
      </c>
      <c r="K27" s="3">
        <v>5.118167E-4</v>
      </c>
      <c r="L27" s="3">
        <v>4.91143E-4</v>
      </c>
      <c r="M27" s="3">
        <v>4.723626E-4</v>
      </c>
      <c r="N27" s="3">
        <v>4.44223E-4</v>
      </c>
      <c r="O27" s="3">
        <v>4.123461E-4</v>
      </c>
      <c r="R27" s="1" t="s">
        <v>55</v>
      </c>
      <c r="S27" s="1" t="s">
        <v>23</v>
      </c>
      <c r="T27" s="1">
        <f>(C27*10^9)/GJperUnit!$B$2</f>
        <v>18815.21739</v>
      </c>
      <c r="U27" s="1">
        <f>(D27*10^9)/GJperUnit!$C$2</f>
        <v>74076.4448</v>
      </c>
      <c r="V27" s="1">
        <f>(E27*10^9)/GJperUnit!$D$2</f>
        <v>92409.47993</v>
      </c>
      <c r="W27" s="1">
        <f>(F27*10^9)/GJperUnit!$E$2</f>
        <v>166180.6097</v>
      </c>
      <c r="X27" s="1">
        <f>(G27*10^9)/GJperUnit!$F$2</f>
        <v>144637.9307</v>
      </c>
      <c r="Y27" s="1">
        <f>(H27*10^9)/GJperUnit!$G$2</f>
        <v>121451.61</v>
      </c>
      <c r="Z27" s="1">
        <f>(I27*10^9)/GJperUnit!$H$2</f>
        <v>90961.19614</v>
      </c>
      <c r="AA27" s="1">
        <f>(J27*10^9)/GJperUnit!$I$2</f>
        <v>88993.82859</v>
      </c>
      <c r="AB27" s="1">
        <f>(K27*10^9)/GJperUnit!$J$2</f>
        <v>90884.35778</v>
      </c>
      <c r="AC27" s="1">
        <f>(L27*10^9)/GJperUnit!$K$2</f>
        <v>89790.62406</v>
      </c>
      <c r="AD27" s="1">
        <f>(M27*10^9)/GJperUnit!$L$2</f>
        <v>88909.23567</v>
      </c>
      <c r="AE27" s="1">
        <f>(N27*10^9)/GJperUnit!$M$2</f>
        <v>86083.66605</v>
      </c>
      <c r="AF27" s="1">
        <f>(O27*10^9)/GJperUnit!$N$2</f>
        <v>82267.81176</v>
      </c>
    </row>
    <row r="28" ht="14.25" customHeight="1">
      <c r="A28" s="1" t="s">
        <v>56</v>
      </c>
      <c r="B28" s="1" t="s">
        <v>23</v>
      </c>
      <c r="C28" s="3">
        <v>2.39995E-5</v>
      </c>
      <c r="D28" s="3">
        <v>4.212031E-5</v>
      </c>
      <c r="E28" s="3">
        <v>1.50169639999999E-4</v>
      </c>
      <c r="F28" s="3">
        <v>1.8173425E-4</v>
      </c>
      <c r="G28" s="3">
        <v>1.879403E-4</v>
      </c>
      <c r="H28" s="3">
        <v>2.479685E-4</v>
      </c>
      <c r="I28" s="3">
        <v>2.956562E-4</v>
      </c>
      <c r="J28" s="3">
        <v>3.503851E-4</v>
      </c>
      <c r="K28" s="3">
        <v>3.94497E-4</v>
      </c>
      <c r="L28" s="3">
        <v>4.505639E-4</v>
      </c>
      <c r="M28" s="3">
        <v>5.021874E-4</v>
      </c>
      <c r="N28" s="3">
        <v>5.496692E-4</v>
      </c>
      <c r="O28" s="3">
        <v>5.9115E-4</v>
      </c>
      <c r="R28" s="1" t="s">
        <v>56</v>
      </c>
      <c r="S28" s="1" t="s">
        <v>23</v>
      </c>
      <c r="T28" s="1">
        <f>(C28*10^9)/GJperUnit!$B$2</f>
        <v>3578.383134</v>
      </c>
      <c r="U28" s="1">
        <f>(D28*10^9)/GJperUnit!$C$2</f>
        <v>6280.239458</v>
      </c>
      <c r="V28" s="1">
        <f>(E28*10^9)/GJperUnit!$D$2</f>
        <v>22390.65426</v>
      </c>
      <c r="W28" s="1">
        <f>(F28*10^9)/GJperUnit!$E$2</f>
        <v>27897.78792</v>
      </c>
      <c r="X28" s="1">
        <f>(G28*10^9)/GJperUnit!$F$2</f>
        <v>29703.06339</v>
      </c>
      <c r="Y28" s="1">
        <f>(H28*10^9)/GJperUnit!$G$2</f>
        <v>40348.38743</v>
      </c>
      <c r="Z28" s="1">
        <f>(I28*10^9)/GJperUnit!$H$2</f>
        <v>49529.62035</v>
      </c>
      <c r="AA28" s="1">
        <f>(J28*10^9)/GJperUnit!$I$2</f>
        <v>60432.69736</v>
      </c>
      <c r="AB28" s="1">
        <f>(K28*10^9)/GJperUnit!$J$2</f>
        <v>70051.65421</v>
      </c>
      <c r="AC28" s="1">
        <f>(L28*10^9)/GJperUnit!$K$2</f>
        <v>82371.9645</v>
      </c>
      <c r="AD28" s="1">
        <f>(M28*10^9)/GJperUnit!$L$2</f>
        <v>94522.93195</v>
      </c>
      <c r="AE28" s="1">
        <f>(N28*10^9)/GJperUnit!$M$2</f>
        <v>106517.537</v>
      </c>
      <c r="AF28" s="1">
        <f>(O28*10^9)/GJperUnit!$N$2</f>
        <v>117941.256</v>
      </c>
    </row>
    <row r="29" ht="14.25" customHeight="1">
      <c r="A29" s="1" t="s">
        <v>57</v>
      </c>
      <c r="B29" s="1" t="s">
        <v>23</v>
      </c>
      <c r="C29" s="3">
        <v>9.47794E-4</v>
      </c>
      <c r="D29" s="3">
        <v>0.001184804</v>
      </c>
      <c r="E29" s="3">
        <v>0.002401047</v>
      </c>
      <c r="F29" s="3">
        <v>0.00838994599999999</v>
      </c>
      <c r="G29" s="3">
        <v>0.0141862099999999</v>
      </c>
      <c r="H29" s="3">
        <v>0.02001988</v>
      </c>
      <c r="I29" s="3">
        <v>0.02480939</v>
      </c>
      <c r="J29" s="3">
        <v>0.0283856899999999</v>
      </c>
      <c r="K29" s="3">
        <v>0.0307399</v>
      </c>
      <c r="L29" s="3">
        <v>0.03364052</v>
      </c>
      <c r="M29" s="3">
        <v>0.03621672</v>
      </c>
      <c r="N29" s="3">
        <v>0.03838358</v>
      </c>
      <c r="O29" s="3">
        <v>0.03998424</v>
      </c>
      <c r="R29" s="1" t="s">
        <v>57</v>
      </c>
      <c r="S29" s="1" t="s">
        <v>23</v>
      </c>
      <c r="T29" s="1">
        <f>(C29*10^9)/GJperUnit!$B$2</f>
        <v>141318.3635</v>
      </c>
      <c r="U29" s="1">
        <f>(D29*10^9)/GJperUnit!$C$2</f>
        <v>176657.1241</v>
      </c>
      <c r="V29" s="1">
        <f>(E29*10^9)/GJperUnit!$D$2</f>
        <v>358001.8787</v>
      </c>
      <c r="W29" s="1">
        <f>(F29*10^9)/GJperUnit!$E$2</f>
        <v>1287929.678</v>
      </c>
      <c r="X29" s="1">
        <f>(G29*10^9)/GJperUnit!$F$2</f>
        <v>2242062.479</v>
      </c>
      <c r="Y29" s="1">
        <f>(H29*10^9)/GJperUnit!$G$2</f>
        <v>3257550.352</v>
      </c>
      <c r="Z29" s="1">
        <f>(I29*10^9)/GJperUnit!$H$2</f>
        <v>4156177.573</v>
      </c>
      <c r="AA29" s="1">
        <f>(J29*10^9)/GJperUnit!$I$2</f>
        <v>4895824.09</v>
      </c>
      <c r="AB29" s="1">
        <f>(K29*10^9)/GJperUnit!$J$2</f>
        <v>5458548.089</v>
      </c>
      <c r="AC29" s="1">
        <f>(L29*10^9)/GJperUnit!$K$2</f>
        <v>6150150.332</v>
      </c>
      <c r="AD29" s="1">
        <f>(M29*10^9)/GJperUnit!$L$2</f>
        <v>6816798.988</v>
      </c>
      <c r="AE29" s="1">
        <f>(N29*10^9)/GJperUnit!$M$2</f>
        <v>7438154.446</v>
      </c>
      <c r="AF29" s="1">
        <f>(O29*10^9)/GJperUnit!$N$2</f>
        <v>7977317.913</v>
      </c>
    </row>
    <row r="30" ht="14.25" customHeight="1">
      <c r="A30" s="1" t="s">
        <v>58</v>
      </c>
      <c r="B30" s="1" t="s">
        <v>23</v>
      </c>
      <c r="C30" s="3">
        <v>9.8586E-5</v>
      </c>
      <c r="D30" s="3">
        <v>6.810145E-5</v>
      </c>
      <c r="E30" s="3">
        <v>6.173426E-5</v>
      </c>
      <c r="F30" s="3">
        <v>1.807576E-4</v>
      </c>
      <c r="G30" s="3">
        <v>1.477377E-4</v>
      </c>
      <c r="H30" s="3">
        <v>1.715939E-4</v>
      </c>
      <c r="I30" s="3">
        <v>1.93576299999999E-4</v>
      </c>
      <c r="J30" s="3">
        <v>1.92977299999999E-4</v>
      </c>
      <c r="K30" s="3">
        <v>2.04651799999999E-4</v>
      </c>
      <c r="L30" s="3">
        <v>2.45961E-4</v>
      </c>
      <c r="M30" s="3">
        <v>2.897429E-4</v>
      </c>
      <c r="N30" s="3">
        <v>3.383429E-4</v>
      </c>
      <c r="O30" s="3">
        <v>3.907831E-4</v>
      </c>
      <c r="R30" s="1" t="s">
        <v>58</v>
      </c>
      <c r="S30" s="1" t="s">
        <v>23</v>
      </c>
      <c r="T30" s="1">
        <f>(C30*10^9)/GJperUnit!$B$2</f>
        <v>14699.40955</v>
      </c>
      <c r="U30" s="1">
        <f>(D30*10^9)/GJperUnit!$C$2</f>
        <v>10154.08988</v>
      </c>
      <c r="V30" s="1">
        <f>(E30*10^9)/GJperUnit!$D$2</f>
        <v>9204.726546</v>
      </c>
      <c r="W30" s="1">
        <f>(F30*10^9)/GJperUnit!$E$2</f>
        <v>27747.86365</v>
      </c>
      <c r="X30" s="1">
        <f>(G30*10^9)/GJperUnit!$F$2</f>
        <v>23349.2352</v>
      </c>
      <c r="Y30" s="1">
        <f>(H30*10^9)/GJperUnit!$G$2</f>
        <v>27921.03496</v>
      </c>
      <c r="Z30" s="1">
        <f>(I30*10^9)/GJperUnit!$H$2</f>
        <v>32428.74883</v>
      </c>
      <c r="AA30" s="1">
        <f>(J30*10^9)/GJperUnit!$I$2</f>
        <v>33283.77482</v>
      </c>
      <c r="AB30" s="1">
        <f>(K30*10^9)/GJperUnit!$J$2</f>
        <v>36340.44651</v>
      </c>
      <c r="AC30" s="1">
        <f>(L30*10^9)/GJperUnit!$K$2</f>
        <v>44966.52031</v>
      </c>
      <c r="AD30" s="1">
        <f>(M30*10^9)/GJperUnit!$L$2</f>
        <v>54536.11225</v>
      </c>
      <c r="AE30" s="1">
        <f>(N30*10^9)/GJperUnit!$M$2</f>
        <v>65565.71185</v>
      </c>
      <c r="AF30" s="1">
        <f>(O30*10^9)/GJperUnit!$N$2</f>
        <v>77965.7441</v>
      </c>
    </row>
    <row r="31" ht="14.25" customHeight="1">
      <c r="A31" s="1" t="s">
        <v>59</v>
      </c>
      <c r="B31" s="1" t="s">
        <v>23</v>
      </c>
      <c r="C31" s="3">
        <v>1.794899E-4</v>
      </c>
      <c r="D31" s="3">
        <v>2.77659E-4</v>
      </c>
      <c r="E31" s="3">
        <v>5.68874E-4</v>
      </c>
      <c r="F31" s="3">
        <v>0.0024016994</v>
      </c>
      <c r="G31" s="3">
        <v>0.003613721</v>
      </c>
      <c r="H31" s="3">
        <v>0.004858351</v>
      </c>
      <c r="I31" s="3">
        <v>0.006165382</v>
      </c>
      <c r="J31" s="3">
        <v>0.00754097</v>
      </c>
      <c r="K31" s="3">
        <v>0.00883083</v>
      </c>
      <c r="L31" s="3">
        <v>0.00969822</v>
      </c>
      <c r="M31" s="3">
        <v>0.01041503</v>
      </c>
      <c r="N31" s="3">
        <v>0.0110212399999999</v>
      </c>
      <c r="O31" s="3">
        <v>0.0114680399999999</v>
      </c>
      <c r="R31" s="1" t="s">
        <v>59</v>
      </c>
      <c r="S31" s="1" t="s">
        <v>23</v>
      </c>
      <c r="T31" s="1">
        <f>(C31*10^9)/GJperUnit!$B$2</f>
        <v>26762.3755</v>
      </c>
      <c r="U31" s="1">
        <f>(D31*10^9)/GJperUnit!$C$2</f>
        <v>41399.62426</v>
      </c>
      <c r="V31" s="1">
        <f>(E31*10^9)/GJperUnit!$D$2</f>
        <v>84820.48071</v>
      </c>
      <c r="W31" s="1">
        <f>(F31*10^9)/GJperUnit!$E$2</f>
        <v>368681.7454</v>
      </c>
      <c r="X31" s="1">
        <f>(G31*10^9)/GJperUnit!$F$2</f>
        <v>571131.2792</v>
      </c>
      <c r="Y31" s="1">
        <f>(H31*10^9)/GJperUnit!$G$2</f>
        <v>790530.3633</v>
      </c>
      <c r="Z31" s="1">
        <f>(I31*10^9)/GJperUnit!$H$2</f>
        <v>1032851.771</v>
      </c>
      <c r="AA31" s="1">
        <f>(J31*10^9)/GJperUnit!$I$2</f>
        <v>1300629.387</v>
      </c>
      <c r="AB31" s="1">
        <f>(K31*10^9)/GJperUnit!$J$2</f>
        <v>1568108.882</v>
      </c>
      <c r="AC31" s="1">
        <f>(L31*10^9)/GJperUnit!$K$2</f>
        <v>1773025.832</v>
      </c>
      <c r="AD31" s="1">
        <f>(M31*10^9)/GJperUnit!$L$2</f>
        <v>1960342.239</v>
      </c>
      <c r="AE31" s="1">
        <f>(N31*10^9)/GJperUnit!$M$2</f>
        <v>2135748.81</v>
      </c>
      <c r="AF31" s="1">
        <f>(O31*10^9)/GJperUnit!$N$2</f>
        <v>2288006.498</v>
      </c>
    </row>
    <row r="32" ht="14.25" customHeight="1">
      <c r="A32" s="1" t="s">
        <v>60</v>
      </c>
      <c r="B32" s="1" t="s">
        <v>23</v>
      </c>
      <c r="C32" s="3">
        <v>2.969366E-5</v>
      </c>
      <c r="D32" s="3">
        <v>6.73375E-5</v>
      </c>
      <c r="E32" s="3">
        <v>1.1092557E-4</v>
      </c>
      <c r="F32" s="3">
        <v>7.45596399999999E-5</v>
      </c>
      <c r="G32" s="3">
        <v>5.92105699999999E-5</v>
      </c>
      <c r="H32" s="3">
        <v>4.93298599999999E-5</v>
      </c>
      <c r="I32" s="3">
        <v>3.752555E-5</v>
      </c>
      <c r="J32" s="3">
        <v>4.094796E-5</v>
      </c>
      <c r="K32" s="3">
        <v>4.634335E-5</v>
      </c>
      <c r="L32" s="3">
        <v>5.292353E-5</v>
      </c>
      <c r="M32" s="3">
        <v>5.920932E-5</v>
      </c>
      <c r="N32" s="3">
        <v>6.569238E-5</v>
      </c>
      <c r="O32" s="3">
        <v>7.14906E-5</v>
      </c>
      <c r="R32" s="1" t="s">
        <v>60</v>
      </c>
      <c r="S32" s="1" t="s">
        <v>23</v>
      </c>
      <c r="T32" s="1">
        <f>(C32*10^9)/GJperUnit!$B$2</f>
        <v>4427.396076</v>
      </c>
      <c r="U32" s="1">
        <f>(D32*10^9)/GJperUnit!$C$2</f>
        <v>10040.1831</v>
      </c>
      <c r="V32" s="1">
        <f>(E32*10^9)/GJperUnit!$D$2</f>
        <v>16539.2691</v>
      </c>
      <c r="W32" s="1">
        <f>(F32*10^9)/GJperUnit!$E$2</f>
        <v>11445.55318</v>
      </c>
      <c r="X32" s="1">
        <f>(G32*10^9)/GJperUnit!$F$2</f>
        <v>9357.946722</v>
      </c>
      <c r="Y32" s="1">
        <f>(H32*10^9)/GJperUnit!$G$2</f>
        <v>8026.746554</v>
      </c>
      <c r="Z32" s="1">
        <f>(I32*10^9)/GJperUnit!$H$2</f>
        <v>6286.44434</v>
      </c>
      <c r="AA32" s="1">
        <f>(J32*10^9)/GJperUnit!$I$2</f>
        <v>7062.502584</v>
      </c>
      <c r="AB32" s="1">
        <f>(K32*10^9)/GJperUnit!$J$2</f>
        <v>8229.285215</v>
      </c>
      <c r="AC32" s="1">
        <f>(L32*10^9)/GJperUnit!$K$2</f>
        <v>9675.464755</v>
      </c>
      <c r="AD32" s="1">
        <f>(M32*10^9)/GJperUnit!$L$2</f>
        <v>11144.522</v>
      </c>
      <c r="AE32" s="1">
        <f>(N32*10^9)/GJperUnit!$M$2</f>
        <v>12730.18484</v>
      </c>
      <c r="AF32" s="1">
        <f>(O32*10^9)/GJperUnit!$N$2</f>
        <v>14263.2008</v>
      </c>
    </row>
    <row r="33" ht="14.25" customHeight="1">
      <c r="A33" s="1" t="s">
        <v>61</v>
      </c>
      <c r="B33" s="1" t="s">
        <v>23</v>
      </c>
      <c r="C33" s="3">
        <v>5.63092E-5</v>
      </c>
      <c r="D33" s="3">
        <v>5.217475E-5</v>
      </c>
      <c r="E33" s="3">
        <v>1.1623287E-4</v>
      </c>
      <c r="F33" s="3">
        <v>1.9765256E-4</v>
      </c>
      <c r="G33" s="3">
        <v>1.186076E-4</v>
      </c>
      <c r="H33" s="3">
        <v>1.4236764E-4</v>
      </c>
      <c r="I33" s="3">
        <v>1.491632E-4</v>
      </c>
      <c r="J33" s="3">
        <v>1.426766E-4</v>
      </c>
      <c r="K33" s="3">
        <v>1.246065E-4</v>
      </c>
      <c r="L33" s="3">
        <v>1.411639E-4</v>
      </c>
      <c r="M33" s="3">
        <v>1.56550799999999E-4</v>
      </c>
      <c r="N33" s="3">
        <v>1.762263E-4</v>
      </c>
      <c r="O33" s="3">
        <v>2.047926E-4</v>
      </c>
      <c r="R33" s="1" t="s">
        <v>61</v>
      </c>
      <c r="S33" s="1" t="s">
        <v>23</v>
      </c>
      <c r="T33" s="1">
        <f>(C33*10^9)/GJperUnit!$B$2</f>
        <v>8395.837061</v>
      </c>
      <c r="U33" s="1">
        <f>(D33*10^9)/GJperUnit!$C$2</f>
        <v>7779.380629</v>
      </c>
      <c r="V33" s="1">
        <f>(E33*10^9)/GJperUnit!$D$2</f>
        <v>17330.60029</v>
      </c>
      <c r="W33" s="1">
        <f>(F33*10^9)/GJperUnit!$E$2</f>
        <v>30341.38694</v>
      </c>
      <c r="X33" s="1">
        <f>(G33*10^9)/GJperUnit!$F$2</f>
        <v>18745.36255</v>
      </c>
      <c r="Y33" s="1">
        <f>(H33*10^9)/GJperUnit!$G$2</f>
        <v>23165.46132</v>
      </c>
      <c r="Z33" s="1">
        <f>(I33*10^9)/GJperUnit!$H$2</f>
        <v>24988.47197</v>
      </c>
      <c r="AA33" s="1">
        <f>(J33*10^9)/GJperUnit!$I$2</f>
        <v>24608.15768</v>
      </c>
      <c r="AB33" s="1">
        <f>(K33*10^9)/GJperUnit!$J$2</f>
        <v>22126.63582</v>
      </c>
      <c r="AC33" s="1">
        <f>(L33*10^9)/GJperUnit!$K$2</f>
        <v>25807.54419</v>
      </c>
      <c r="AD33" s="1">
        <f>(M33*10^9)/GJperUnit!$L$2</f>
        <v>29466.37175</v>
      </c>
      <c r="AE33" s="1">
        <f>(N33*10^9)/GJperUnit!$M$2</f>
        <v>34149.97863</v>
      </c>
      <c r="AF33" s="1">
        <f>(O33*10^9)/GJperUnit!$N$2</f>
        <v>40858.49016</v>
      </c>
    </row>
    <row r="34" ht="14.25" customHeight="1">
      <c r="A34" s="1" t="s">
        <v>62</v>
      </c>
      <c r="B34" s="1" t="s">
        <v>23</v>
      </c>
      <c r="C34" s="3">
        <v>1.860101E-5</v>
      </c>
      <c r="D34" s="3">
        <v>8.178265E-5</v>
      </c>
      <c r="E34" s="3">
        <v>1.100786E-4</v>
      </c>
      <c r="F34" s="3">
        <v>1.9650349E-4</v>
      </c>
      <c r="G34" s="3">
        <v>1.692985E-4</v>
      </c>
      <c r="H34" s="3">
        <v>1.590706E-4</v>
      </c>
      <c r="I34" s="3">
        <v>1.361943E-4</v>
      </c>
      <c r="J34" s="3">
        <v>1.267752E-4</v>
      </c>
      <c r="K34" s="3">
        <v>1.230336E-4</v>
      </c>
      <c r="L34" s="3">
        <v>1.180365E-4</v>
      </c>
      <c r="M34" s="3">
        <v>1.161013E-4</v>
      </c>
      <c r="N34" s="3">
        <v>1.12126799999999E-4</v>
      </c>
      <c r="O34" s="3">
        <v>1.08752899999999E-4</v>
      </c>
      <c r="R34" s="1" t="s">
        <v>62</v>
      </c>
      <c r="S34" s="1" t="s">
        <v>23</v>
      </c>
      <c r="T34" s="1">
        <f>(C34*10^9)/GJperUnit!$B$2</f>
        <v>2773.455299</v>
      </c>
      <c r="U34" s="1">
        <f>(D34*10^9)/GJperUnit!$C$2</f>
        <v>12193.98968</v>
      </c>
      <c r="V34" s="1">
        <f>(E34*10^9)/GJperUnit!$D$2</f>
        <v>16412.98384</v>
      </c>
      <c r="W34" s="1">
        <f>(F34*10^9)/GJperUnit!$E$2</f>
        <v>30164.9947</v>
      </c>
      <c r="X34" s="1">
        <f>(G34*10^9)/GJperUnit!$F$2</f>
        <v>26756.81628</v>
      </c>
      <c r="Y34" s="1">
        <f>(H34*10^9)/GJperUnit!$G$2</f>
        <v>25883.29645</v>
      </c>
      <c r="Z34" s="1">
        <f>(I34*10^9)/GJperUnit!$H$2</f>
        <v>22815.86509</v>
      </c>
      <c r="AA34" s="1">
        <f>(J34*10^9)/GJperUnit!$I$2</f>
        <v>21865.56248</v>
      </c>
      <c r="AB34" s="1">
        <f>(K34*10^9)/GJperUnit!$J$2</f>
        <v>21847.33269</v>
      </c>
      <c r="AC34" s="1">
        <f>(L34*10^9)/GJperUnit!$K$2</f>
        <v>21579.39948</v>
      </c>
      <c r="AD34" s="1">
        <f>(M34*10^9)/GJperUnit!$L$2</f>
        <v>21852.86863</v>
      </c>
      <c r="AE34" s="1">
        <f>(N34*10^9)/GJperUnit!$M$2</f>
        <v>21728.46973</v>
      </c>
      <c r="AF34" s="1">
        <f>(O34*10^9)/GJperUnit!$N$2</f>
        <v>21697.46023</v>
      </c>
    </row>
    <row r="35" ht="14.25" customHeight="1">
      <c r="A35" s="1" t="s">
        <v>63</v>
      </c>
      <c r="B35" s="1" t="s">
        <v>23</v>
      </c>
      <c r="C35" s="3">
        <v>2.131772E-4</v>
      </c>
      <c r="D35" s="3">
        <v>2.238918E-4</v>
      </c>
      <c r="E35" s="3">
        <v>2.686321E-4</v>
      </c>
      <c r="F35" s="3">
        <v>9.389353E-4</v>
      </c>
      <c r="G35" s="3">
        <v>4.507831E-4</v>
      </c>
      <c r="H35" s="3">
        <v>4.68471E-4</v>
      </c>
      <c r="I35" s="3">
        <v>4.64660199999999E-4</v>
      </c>
      <c r="J35" s="3">
        <v>4.625556E-4</v>
      </c>
      <c r="K35" s="3">
        <v>4.33567099999999E-4</v>
      </c>
      <c r="L35" s="3">
        <v>4.599796E-4</v>
      </c>
      <c r="M35" s="3">
        <v>4.74388899999999E-4</v>
      </c>
      <c r="N35" s="3">
        <v>5.123134E-4</v>
      </c>
      <c r="O35" s="3">
        <v>5.94497E-4</v>
      </c>
      <c r="R35" s="1" t="s">
        <v>63</v>
      </c>
      <c r="S35" s="1" t="s">
        <v>23</v>
      </c>
      <c r="T35" s="1">
        <f>(C35*10^9)/GJperUnit!$B$2</f>
        <v>31785.2329</v>
      </c>
      <c r="U35" s="1">
        <f>(D35*10^9)/GJperUnit!$C$2</f>
        <v>33382.80551</v>
      </c>
      <c r="V35" s="1">
        <f>(E35*10^9)/GJperUnit!$D$2</f>
        <v>40053.69178</v>
      </c>
      <c r="W35" s="1">
        <f>(F35*10^9)/GJperUnit!$E$2</f>
        <v>144134.7345</v>
      </c>
      <c r="X35" s="1">
        <f>(G35*10^9)/GJperUnit!$F$2</f>
        <v>71244.10781</v>
      </c>
      <c r="Y35" s="1">
        <f>(H35*10^9)/GJperUnit!$G$2</f>
        <v>76227.62329</v>
      </c>
      <c r="Z35" s="1">
        <f>(I35*10^9)/GJperUnit!$H$2</f>
        <v>77841.90996</v>
      </c>
      <c r="AA35" s="1">
        <f>(J35*10^9)/GJperUnit!$I$2</f>
        <v>79779.31307</v>
      </c>
      <c r="AB35" s="1">
        <f>(K35*10^9)/GJperUnit!$J$2</f>
        <v>76989.41327</v>
      </c>
      <c r="AC35" s="1">
        <f>(L35*10^9)/GJperUnit!$K$2</f>
        <v>84093.3401</v>
      </c>
      <c r="AD35" s="1">
        <f>(M35*10^9)/GJperUnit!$L$2</f>
        <v>89290.63077</v>
      </c>
      <c r="AE35" s="1">
        <f>(N35*10^9)/GJperUnit!$M$2</f>
        <v>99278.55073</v>
      </c>
      <c r="AF35" s="1">
        <f>(O35*10^9)/GJperUnit!$N$2</f>
        <v>118609.0211</v>
      </c>
    </row>
    <row r="36" ht="14.25" customHeight="1">
      <c r="A36" s="1" t="s">
        <v>64</v>
      </c>
      <c r="B36" s="1" t="s">
        <v>23</v>
      </c>
      <c r="C36" s="3">
        <v>5.99786999999999E-5</v>
      </c>
      <c r="D36" s="3">
        <v>9.672428E-5</v>
      </c>
      <c r="E36" s="3">
        <v>1.713244E-4</v>
      </c>
      <c r="F36" s="3">
        <v>5.783472E-4</v>
      </c>
      <c r="G36" s="3">
        <v>7.142708E-4</v>
      </c>
      <c r="H36" s="3">
        <v>8.71917299999999E-4</v>
      </c>
      <c r="I36" s="3">
        <v>0.001019429</v>
      </c>
      <c r="J36" s="3">
        <v>0.001126935</v>
      </c>
      <c r="K36" s="3">
        <v>0.001194904</v>
      </c>
      <c r="L36" s="3">
        <v>0.001310529</v>
      </c>
      <c r="M36" s="3">
        <v>0.00141362</v>
      </c>
      <c r="N36" s="3">
        <v>0.001503524</v>
      </c>
      <c r="O36" s="3">
        <v>0.001576534</v>
      </c>
      <c r="R36" s="1" t="s">
        <v>64</v>
      </c>
      <c r="S36" s="1" t="s">
        <v>23</v>
      </c>
      <c r="T36" s="1">
        <f>(C36*10^9)/GJperUnit!$B$2</f>
        <v>8942.968331</v>
      </c>
      <c r="U36" s="1">
        <f>(D36*10^9)/GJperUnit!$C$2</f>
        <v>14421.82263</v>
      </c>
      <c r="V36" s="1">
        <f>(E36*10^9)/GJperUnit!$D$2</f>
        <v>25544.87982</v>
      </c>
      <c r="W36" s="1">
        <f>(F36*10^9)/GJperUnit!$E$2</f>
        <v>88781.32508</v>
      </c>
      <c r="X36" s="1">
        <f>(G36*10^9)/GJperUnit!$F$2</f>
        <v>112887.0756</v>
      </c>
      <c r="Y36" s="1">
        <f>(H36*10^9)/GJperUnit!$G$2</f>
        <v>141874.7019</v>
      </c>
      <c r="Z36" s="1">
        <f>(I36*10^9)/GJperUnit!$H$2</f>
        <v>170779.2069</v>
      </c>
      <c r="AA36" s="1">
        <f>(J36*10^9)/GJperUnit!$I$2</f>
        <v>194368.2017</v>
      </c>
      <c r="AB36" s="1">
        <f>(K36*10^9)/GJperUnit!$J$2</f>
        <v>212181.5928</v>
      </c>
      <c r="AC36" s="1">
        <f>(L36*10^9)/GJperUnit!$K$2</f>
        <v>239590.5403</v>
      </c>
      <c r="AD36" s="1">
        <f>(M36*10^9)/GJperUnit!$L$2</f>
        <v>266074.9893</v>
      </c>
      <c r="AE36" s="1">
        <f>(N36*10^9)/GJperUnit!$M$2</f>
        <v>291360.1005</v>
      </c>
      <c r="AF36" s="1">
        <f>(O36*10^9)/GJperUnit!$N$2</f>
        <v>314536.7504</v>
      </c>
    </row>
    <row r="37" ht="14.25" customHeight="1">
      <c r="A37" s="1" t="s">
        <v>65</v>
      </c>
      <c r="B37" s="1" t="s">
        <v>23</v>
      </c>
      <c r="C37" s="3">
        <v>3.29614E-4</v>
      </c>
      <c r="D37" s="3">
        <v>4.396974E-4</v>
      </c>
      <c r="E37" s="3">
        <v>0.0010463157</v>
      </c>
      <c r="F37" s="3">
        <v>0.0027915969</v>
      </c>
      <c r="G37" s="3">
        <v>0.004891519</v>
      </c>
      <c r="H37" s="3">
        <v>0.00777956</v>
      </c>
      <c r="I37" s="3">
        <v>0.01086126</v>
      </c>
      <c r="J37" s="3">
        <v>0.01435051</v>
      </c>
      <c r="K37" s="3">
        <v>0.01781917</v>
      </c>
      <c r="L37" s="3">
        <v>0.01972322</v>
      </c>
      <c r="M37" s="3">
        <v>0.02130336</v>
      </c>
      <c r="N37" s="3">
        <v>0.02261024</v>
      </c>
      <c r="O37" s="3">
        <v>0.0235555</v>
      </c>
      <c r="R37" s="1" t="s">
        <v>65</v>
      </c>
      <c r="S37" s="1" t="s">
        <v>23</v>
      </c>
      <c r="T37" s="1">
        <f>(C37*10^9)/GJperUnit!$B$2</f>
        <v>49146.23964</v>
      </c>
      <c r="U37" s="1">
        <f>(D37*10^9)/GJperUnit!$C$2</f>
        <v>65559.93917</v>
      </c>
      <c r="V37" s="1">
        <f>(E37*10^9)/GJperUnit!$D$2</f>
        <v>156008.1857</v>
      </c>
      <c r="W37" s="1">
        <f>(F37*10^9)/GJperUnit!$E$2</f>
        <v>428534.4026</v>
      </c>
      <c r="X37" s="1">
        <f>(G37*10^9)/GJperUnit!$F$2</f>
        <v>773081.1271</v>
      </c>
      <c r="Y37" s="1">
        <f>(H37*10^9)/GJperUnit!$G$2</f>
        <v>1265857.159</v>
      </c>
      <c r="Z37" s="1">
        <f>(I37*10^9)/GJperUnit!$H$2</f>
        <v>1819525.802</v>
      </c>
      <c r="AA37" s="1">
        <f>(J37*10^9)/GJperUnit!$I$2</f>
        <v>2475105.328</v>
      </c>
      <c r="AB37" s="1">
        <f>(K37*10^9)/GJperUnit!$J$2</f>
        <v>3164187.143</v>
      </c>
      <c r="AC37" s="1">
        <f>(L37*10^9)/GJperUnit!$K$2</f>
        <v>3605793.49</v>
      </c>
      <c r="AD37" s="1">
        <f>(M37*10^9)/GJperUnit!$L$2</f>
        <v>4009770.153</v>
      </c>
      <c r="AE37" s="1">
        <f>(N37*10^9)/GJperUnit!$M$2</f>
        <v>4381520.879</v>
      </c>
      <c r="AF37" s="1">
        <f>(O37*10^9)/GJperUnit!$N$2</f>
        <v>4699594.443</v>
      </c>
    </row>
    <row r="38" ht="14.25" customHeight="1">
      <c r="A38" s="1" t="s">
        <v>66</v>
      </c>
      <c r="B38" s="1" t="s">
        <v>23</v>
      </c>
      <c r="C38" s="3">
        <v>2.196115E-4</v>
      </c>
      <c r="D38" s="3">
        <v>2.211648E-4</v>
      </c>
      <c r="E38" s="3">
        <v>3.727834E-4</v>
      </c>
      <c r="F38" s="3">
        <v>8.817817E-4</v>
      </c>
      <c r="G38" s="3">
        <v>9.7827E-4</v>
      </c>
      <c r="H38" s="3">
        <v>0.001334117</v>
      </c>
      <c r="I38" s="3">
        <v>0.001679764</v>
      </c>
      <c r="J38" s="3">
        <v>0.00198927</v>
      </c>
      <c r="K38" s="3">
        <v>0.002176393</v>
      </c>
      <c r="L38" s="3">
        <v>0.00244672</v>
      </c>
      <c r="M38" s="3">
        <v>0.002676913</v>
      </c>
      <c r="N38" s="3">
        <v>0.002870725</v>
      </c>
      <c r="O38" s="3">
        <v>0.00302420599999999</v>
      </c>
      <c r="R38" s="1" t="s">
        <v>66</v>
      </c>
      <c r="S38" s="1" t="s">
        <v>23</v>
      </c>
      <c r="T38" s="1">
        <f>(C38*10^9)/GJperUnit!$B$2</f>
        <v>32744.60249</v>
      </c>
      <c r="U38" s="1">
        <f>(D38*10^9)/GJperUnit!$C$2</f>
        <v>32976.20326</v>
      </c>
      <c r="V38" s="1">
        <f>(E38*10^9)/GJperUnit!$D$2</f>
        <v>55582.90094</v>
      </c>
      <c r="W38" s="1">
        <f>(F38*10^9)/GJperUnit!$E$2</f>
        <v>135361.1598</v>
      </c>
      <c r="X38" s="1">
        <f>(G38*10^9)/GJperUnit!$F$2</f>
        <v>154610.8835</v>
      </c>
      <c r="Y38" s="1">
        <f>(H38*10^9)/GJperUnit!$G$2</f>
        <v>217081.8858</v>
      </c>
      <c r="Z38" s="1">
        <f>(I38*10^9)/GJperUnit!$H$2</f>
        <v>281401.4156</v>
      </c>
      <c r="AA38" s="1">
        <f>(J38*10^9)/GJperUnit!$I$2</f>
        <v>343099.4979</v>
      </c>
      <c r="AB38" s="1">
        <f>(K38*10^9)/GJperUnit!$J$2</f>
        <v>386466.6395</v>
      </c>
      <c r="AC38" s="1">
        <f>(L38*10^9)/GJperUnit!$K$2</f>
        <v>447308.6569</v>
      </c>
      <c r="AD38" s="1">
        <f>(M38*10^9)/GJperUnit!$L$2</f>
        <v>503855.0655</v>
      </c>
      <c r="AE38" s="1">
        <f>(N38*10^9)/GJperUnit!$M$2</f>
        <v>556302.8754</v>
      </c>
      <c r="AF38" s="1">
        <f>(O38*10^9)/GJperUnit!$N$2</f>
        <v>603364.0428</v>
      </c>
    </row>
    <row r="39" ht="14.25" customHeight="1">
      <c r="A39" s="1" t="s">
        <v>6</v>
      </c>
      <c r="B39" s="1" t="s">
        <v>26</v>
      </c>
      <c r="C39" s="3">
        <v>3.320875E-5</v>
      </c>
      <c r="D39" s="3">
        <v>1.91382799999999E-5</v>
      </c>
      <c r="E39" s="3">
        <v>2.065545E-5</v>
      </c>
      <c r="F39" s="3">
        <v>3.242135E-5</v>
      </c>
      <c r="G39" s="3">
        <v>2.60426599999999E-5</v>
      </c>
      <c r="H39" s="3">
        <v>2.776236E-5</v>
      </c>
      <c r="I39" s="3">
        <v>2.407519E-5</v>
      </c>
      <c r="J39" s="3">
        <v>3.23031E-5</v>
      </c>
      <c r="K39" s="3">
        <v>4.30361499999999E-5</v>
      </c>
      <c r="L39" s="3">
        <v>5.641708E-5</v>
      </c>
      <c r="M39" s="3">
        <v>7.18415E-5</v>
      </c>
      <c r="N39" s="3">
        <v>8.91269E-5</v>
      </c>
      <c r="O39" s="3">
        <v>1.08148899999999E-4</v>
      </c>
      <c r="R39" s="1" t="s">
        <v>6</v>
      </c>
      <c r="S39" s="1" t="s">
        <v>26</v>
      </c>
      <c r="T39" s="1">
        <f>(C39*10^9)/GJperUnit!$B$2</f>
        <v>4951.504443</v>
      </c>
      <c r="U39" s="1">
        <f>(D39*10^9)/GJperUnit!$C$2</f>
        <v>2853.563547</v>
      </c>
      <c r="V39" s="1">
        <f>(E39*10^9)/GJperUnit!$D$2</f>
        <v>3079.777241</v>
      </c>
      <c r="W39" s="1">
        <f>(F39*10^9)/GJperUnit!$E$2</f>
        <v>4976.959193</v>
      </c>
      <c r="X39" s="1">
        <f>(G39*10^9)/GJperUnit!$F$2</f>
        <v>4115.917559</v>
      </c>
      <c r="Y39" s="1">
        <f>(H39*10^9)/GJperUnit!$G$2</f>
        <v>4517.37401</v>
      </c>
      <c r="Z39" s="1">
        <f>(I39*10^9)/GJperUnit!$H$2</f>
        <v>4033.181177</v>
      </c>
      <c r="AA39" s="1">
        <f>(J39*10^9)/GJperUnit!$I$2</f>
        <v>5571.479684</v>
      </c>
      <c r="AB39" s="1">
        <f>(K39*10^9)/GJperUnit!$J$2</f>
        <v>7642.01882</v>
      </c>
      <c r="AC39" s="1">
        <f>(L39*10^9)/GJperUnit!$K$2</f>
        <v>10314.15458</v>
      </c>
      <c r="AD39" s="1">
        <f>(M39*10^9)/GJperUnit!$L$2</f>
        <v>13522.18159</v>
      </c>
      <c r="AE39" s="1">
        <f>(N39*10^9)/GJperUnit!$M$2</f>
        <v>17271.43866</v>
      </c>
      <c r="AF39" s="1">
        <f>(O39*10^9)/GJperUnit!$N$2</f>
        <v>21576.95525</v>
      </c>
    </row>
    <row r="40" ht="14.25" customHeight="1">
      <c r="A40" s="1" t="s">
        <v>30</v>
      </c>
      <c r="B40" s="1" t="s">
        <v>26</v>
      </c>
      <c r="C40" s="3">
        <v>0.001088915</v>
      </c>
      <c r="D40" s="3">
        <v>9.40314E-4</v>
      </c>
      <c r="E40" s="3">
        <v>0.001539909</v>
      </c>
      <c r="F40" s="3">
        <v>0.00293148639999999</v>
      </c>
      <c r="G40" s="3">
        <v>0.002643968</v>
      </c>
      <c r="H40" s="3">
        <v>0.003214321</v>
      </c>
      <c r="I40" s="3">
        <v>0.00363291999999999</v>
      </c>
      <c r="J40" s="3">
        <v>0.004989368</v>
      </c>
      <c r="K40" s="3">
        <v>0.00678506</v>
      </c>
      <c r="L40" s="3">
        <v>0.00900216</v>
      </c>
      <c r="M40" s="3">
        <v>0.01180532</v>
      </c>
      <c r="N40" s="3">
        <v>0.01508096</v>
      </c>
      <c r="O40" s="3">
        <v>0.01868704</v>
      </c>
      <c r="R40" s="1" t="s">
        <v>30</v>
      </c>
      <c r="S40" s="1" t="s">
        <v>26</v>
      </c>
      <c r="T40" s="1">
        <f>(C40*10^9)/GJperUnit!$B$2</f>
        <v>162359.8437</v>
      </c>
      <c r="U40" s="1">
        <f>(D40*10^9)/GJperUnit!$C$2</f>
        <v>140203.0775</v>
      </c>
      <c r="V40" s="1">
        <f>(E40*10^9)/GJperUnit!$D$2</f>
        <v>229604.1331</v>
      </c>
      <c r="W40" s="1">
        <f>(F40*10^9)/GJperUnit!$E$2</f>
        <v>450008.6575</v>
      </c>
      <c r="X40" s="1">
        <f>(G40*10^9)/GJperUnit!$F$2</f>
        <v>417866.4667</v>
      </c>
      <c r="Y40" s="1">
        <f>(H40*10^9)/GJperUnit!$G$2</f>
        <v>523020.7426</v>
      </c>
      <c r="Z40" s="1">
        <f>(I40*10^9)/GJperUnit!$H$2</f>
        <v>608602.6553</v>
      </c>
      <c r="AA40" s="1">
        <f>(J40*10^9)/GJperUnit!$I$2</f>
        <v>860541.6337</v>
      </c>
      <c r="AB40" s="1">
        <f>(K40*10^9)/GJperUnit!$J$2</f>
        <v>1204837.241</v>
      </c>
      <c r="AC40" s="1">
        <f>(L40*10^9)/GJperUnit!$K$2</f>
        <v>1645772.34</v>
      </c>
      <c r="AD40" s="1">
        <f>(M40*10^9)/GJperUnit!$L$2</f>
        <v>2222025.999</v>
      </c>
      <c r="AE40" s="1">
        <f>(N40*10^9)/GJperUnit!$M$2</f>
        <v>2922460.846</v>
      </c>
      <c r="AF40" s="1">
        <f>(O40*10^9)/GJperUnit!$N$2</f>
        <v>3728280.416</v>
      </c>
    </row>
    <row r="41" ht="14.25" customHeight="1">
      <c r="A41" s="1" t="s">
        <v>32</v>
      </c>
      <c r="B41" s="1" t="s">
        <v>26</v>
      </c>
      <c r="C41" s="3">
        <v>4.14057099999999E-5</v>
      </c>
      <c r="D41" s="3">
        <v>2.6266063E-4</v>
      </c>
      <c r="E41" s="3">
        <v>4.399073E-4</v>
      </c>
      <c r="F41" s="3">
        <v>8.361075E-4</v>
      </c>
      <c r="G41" s="3">
        <v>9.10016E-4</v>
      </c>
      <c r="H41" s="3">
        <v>9.46661E-4</v>
      </c>
      <c r="I41" s="3">
        <v>8.97587999999999E-4</v>
      </c>
      <c r="J41" s="3">
        <v>0.001049201</v>
      </c>
      <c r="K41" s="3">
        <v>0.001254126</v>
      </c>
      <c r="L41" s="3">
        <v>0.00147336999999999</v>
      </c>
      <c r="M41" s="3">
        <v>0.001687573</v>
      </c>
      <c r="N41" s="3">
        <v>0.001881077</v>
      </c>
      <c r="O41" s="3">
        <v>0.00203256899999999</v>
      </c>
      <c r="R41" s="1" t="s">
        <v>32</v>
      </c>
      <c r="S41" s="1" t="s">
        <v>26</v>
      </c>
      <c r="T41" s="1">
        <f>(C41*10^9)/GJperUnit!$B$2</f>
        <v>6173.690881</v>
      </c>
      <c r="U41" s="1">
        <f>(D41*10^9)/GJperUnit!$C$2</f>
        <v>39163.33125</v>
      </c>
      <c r="V41" s="1">
        <f>(E41*10^9)/GJperUnit!$D$2</f>
        <v>65591.23576</v>
      </c>
      <c r="W41" s="1">
        <f>(F41*10^9)/GJperUnit!$E$2</f>
        <v>128349.7729</v>
      </c>
      <c r="X41" s="1">
        <f>(G41*10^9)/GJperUnit!$F$2</f>
        <v>143823.666</v>
      </c>
      <c r="Y41" s="1">
        <f>(H41*10^9)/GJperUnit!$G$2</f>
        <v>154036.6812</v>
      </c>
      <c r="Z41" s="1">
        <f>(I41*10^9)/GJperUnit!$H$2</f>
        <v>150367.8694</v>
      </c>
      <c r="AA41" s="1">
        <f>(J41*10^9)/GJperUnit!$I$2</f>
        <v>180961.024</v>
      </c>
      <c r="AB41" s="1">
        <f>(K41*10^9)/GJperUnit!$J$2</f>
        <v>222697.7668</v>
      </c>
      <c r="AC41" s="1">
        <f>(L41*10^9)/GJperUnit!$K$2</f>
        <v>269361.0858</v>
      </c>
      <c r="AD41" s="1">
        <f>(M41*10^9)/GJperUnit!$L$2</f>
        <v>317639.0882</v>
      </c>
      <c r="AE41" s="1">
        <f>(N41*10^9)/GJperUnit!$M$2</f>
        <v>364524.1338</v>
      </c>
      <c r="AF41" s="1">
        <f>(O41*10^9)/GJperUnit!$N$2</f>
        <v>405521.0026</v>
      </c>
    </row>
    <row r="42" ht="14.25" customHeight="1">
      <c r="A42" s="1" t="s">
        <v>33</v>
      </c>
      <c r="B42" s="1" t="s">
        <v>26</v>
      </c>
      <c r="C42" s="3">
        <v>1.018014E-4</v>
      </c>
      <c r="D42" s="3">
        <v>4.4967E-4</v>
      </c>
      <c r="E42" s="3">
        <v>8.40385E-4</v>
      </c>
      <c r="F42" s="3">
        <v>0.0015166666</v>
      </c>
      <c r="G42" s="3">
        <v>0.001518405</v>
      </c>
      <c r="H42" s="3">
        <v>0.001354465</v>
      </c>
      <c r="I42" s="3">
        <v>8.77733E-4</v>
      </c>
      <c r="J42" s="3">
        <v>9.085646E-4</v>
      </c>
      <c r="K42" s="3">
        <v>0.001011982</v>
      </c>
      <c r="L42" s="3">
        <v>0.00120686499999999</v>
      </c>
      <c r="M42" s="3">
        <v>0.001420315</v>
      </c>
      <c r="N42" s="3">
        <v>0.00162766599999999</v>
      </c>
      <c r="O42" s="3">
        <v>0.00181088099999999</v>
      </c>
      <c r="R42" s="1" t="s">
        <v>33</v>
      </c>
      <c r="S42" s="1" t="s">
        <v>26</v>
      </c>
      <c r="T42" s="1">
        <f>(C42*10^9)/GJperUnit!$B$2</f>
        <v>15178.83342</v>
      </c>
      <c r="U42" s="1">
        <f>(D42*10^9)/GJperUnit!$C$2</f>
        <v>67046.8778</v>
      </c>
      <c r="V42" s="1">
        <f>(E42*10^9)/GJperUnit!$D$2</f>
        <v>125303.4234</v>
      </c>
      <c r="W42" s="1">
        <f>(F42*10^9)/GJperUnit!$E$2</f>
        <v>232821.5135</v>
      </c>
      <c r="X42" s="1">
        <f>(G42*10^9)/GJperUnit!$F$2</f>
        <v>239976.6307</v>
      </c>
      <c r="Y42" s="1">
        <f>(H42*10^9)/GJperUnit!$G$2</f>
        <v>220392.8264</v>
      </c>
      <c r="Z42" s="1">
        <f>(I42*10^9)/GJperUnit!$H$2</f>
        <v>147041.6729</v>
      </c>
      <c r="AA42" s="1">
        <f>(J42*10^9)/GJperUnit!$I$2</f>
        <v>156704.75</v>
      </c>
      <c r="AB42" s="1">
        <f>(K42*10^9)/GJperUnit!$J$2</f>
        <v>179699.7522</v>
      </c>
      <c r="AC42" s="1">
        <f>(L42*10^9)/GJperUnit!$K$2</f>
        <v>220638.7172</v>
      </c>
      <c r="AD42" s="1">
        <f>(M42*10^9)/GJperUnit!$L$2</f>
        <v>267335.1384</v>
      </c>
      <c r="AE42" s="1">
        <f>(N42*10^9)/GJperUnit!$M$2</f>
        <v>315416.9334</v>
      </c>
      <c r="AF42" s="1">
        <f>(O42*10^9)/GJperUnit!$N$2</f>
        <v>361291.6849</v>
      </c>
    </row>
    <row r="43" ht="14.25" customHeight="1">
      <c r="A43" s="1" t="s">
        <v>34</v>
      </c>
      <c r="B43" s="1" t="s">
        <v>26</v>
      </c>
      <c r="C43" s="3">
        <v>1.452974E-4</v>
      </c>
      <c r="D43" s="3">
        <v>2.481071E-4</v>
      </c>
      <c r="E43" s="3">
        <v>4.0949685E-4</v>
      </c>
      <c r="F43" s="3">
        <v>3.693777E-4</v>
      </c>
      <c r="G43" s="3">
        <v>2.923194E-4</v>
      </c>
      <c r="H43" s="3">
        <v>2.998851E-4</v>
      </c>
      <c r="I43" s="3">
        <v>2.28636899999999E-4</v>
      </c>
      <c r="J43" s="3">
        <v>3.046557E-4</v>
      </c>
      <c r="K43" s="3">
        <v>4.04200599999999E-4</v>
      </c>
      <c r="L43" s="3">
        <v>5.596113E-4</v>
      </c>
      <c r="M43" s="3">
        <v>7.5127E-4</v>
      </c>
      <c r="N43" s="3">
        <v>9.99834E-4</v>
      </c>
      <c r="O43" s="3">
        <v>0.001282589</v>
      </c>
      <c r="R43" s="1" t="s">
        <v>34</v>
      </c>
      <c r="S43" s="1" t="s">
        <v>26</v>
      </c>
      <c r="T43" s="1">
        <f>(C43*10^9)/GJperUnit!$B$2</f>
        <v>21664.19157</v>
      </c>
      <c r="U43" s="1">
        <f>(D43*10^9)/GJperUnit!$C$2</f>
        <v>36993.36494</v>
      </c>
      <c r="V43" s="1">
        <f>(E43*10^9)/GJperUnit!$D$2</f>
        <v>61056.96457</v>
      </c>
      <c r="W43" s="1">
        <f>(F43*10^9)/GJperUnit!$E$2</f>
        <v>56702.68942</v>
      </c>
      <c r="X43" s="1">
        <f>(G43*10^9)/GJperUnit!$F$2</f>
        <v>46199.67973</v>
      </c>
      <c r="Y43" s="1">
        <f>(H43*10^9)/GJperUnit!$G$2</f>
        <v>48796.03739</v>
      </c>
      <c r="Z43" s="1">
        <f>(I43*10^9)/GJperUnit!$H$2</f>
        <v>38302.25395</v>
      </c>
      <c r="AA43" s="1">
        <f>(J43*10^9)/GJperUnit!$I$2</f>
        <v>52545.51554</v>
      </c>
      <c r="AB43" s="1">
        <f>(K43*10^9)/GJperUnit!$J$2</f>
        <v>71774.74268</v>
      </c>
      <c r="AC43" s="1">
        <f>(L43*10^9)/GJperUnit!$K$2</f>
        <v>102307.9793</v>
      </c>
      <c r="AD43" s="1">
        <f>(M43*10^9)/GJperUnit!$L$2</f>
        <v>141405.8638</v>
      </c>
      <c r="AE43" s="1">
        <f>(N43*10^9)/GJperUnit!$M$2</f>
        <v>193752.6336</v>
      </c>
      <c r="AF43" s="1">
        <f>(O43*10^9)/GJperUnit!$N$2</f>
        <v>255891.3263</v>
      </c>
    </row>
    <row r="44" ht="14.25" customHeight="1">
      <c r="A44" s="1" t="s">
        <v>35</v>
      </c>
      <c r="B44" s="1" t="s">
        <v>26</v>
      </c>
      <c r="C44" s="3">
        <v>4.89604E-4</v>
      </c>
      <c r="D44" s="3">
        <v>9.11383199999999E-4</v>
      </c>
      <c r="E44" s="3">
        <v>0.0015479546</v>
      </c>
      <c r="F44" s="3">
        <v>0.0010536041</v>
      </c>
      <c r="G44" s="3">
        <v>8.315519E-4</v>
      </c>
      <c r="H44" s="3">
        <v>8.79845E-4</v>
      </c>
      <c r="I44" s="3">
        <v>0.001016369</v>
      </c>
      <c r="J44" s="3">
        <v>0.00155859599999999</v>
      </c>
      <c r="K44" s="3">
        <v>0.002273621</v>
      </c>
      <c r="L44" s="3">
        <v>0.00320469</v>
      </c>
      <c r="M44" s="3">
        <v>0.004374477</v>
      </c>
      <c r="N44" s="3">
        <v>0.00576516</v>
      </c>
      <c r="O44" s="3">
        <v>0.00731575</v>
      </c>
      <c r="R44" s="1" t="s">
        <v>35</v>
      </c>
      <c r="S44" s="1" t="s">
        <v>26</v>
      </c>
      <c r="T44" s="1">
        <f>(C44*10^9)/GJperUnit!$B$2</f>
        <v>73001.13318</v>
      </c>
      <c r="U44" s="1">
        <f>(D44*10^9)/GJperUnit!$C$2</f>
        <v>135889.4257</v>
      </c>
      <c r="V44" s="1">
        <f>(E44*10^9)/GJperUnit!$D$2</f>
        <v>230803.7514</v>
      </c>
      <c r="W44" s="1">
        <f>(F44*10^9)/GJperUnit!$E$2</f>
        <v>161737.3925</v>
      </c>
      <c r="X44" s="1">
        <f>(G44*10^9)/GJperUnit!$F$2</f>
        <v>131422.7912</v>
      </c>
      <c r="Y44" s="1">
        <f>(H44*10^9)/GJperUnit!$G$2</f>
        <v>143164.6638</v>
      </c>
      <c r="Z44" s="1">
        <f>(I44*10^9)/GJperUnit!$H$2</f>
        <v>170266.5823</v>
      </c>
      <c r="AA44" s="1">
        <f>(J44*10^9)/GJperUnit!$I$2</f>
        <v>268818.9663</v>
      </c>
      <c r="AB44" s="1">
        <f>(K44*10^9)/GJperUnit!$J$2</f>
        <v>403731.618</v>
      </c>
      <c r="AC44" s="1">
        <f>(L44*10^9)/GJperUnit!$K$2</f>
        <v>585880.5175</v>
      </c>
      <c r="AD44" s="1">
        <f>(M44*10^9)/GJperUnit!$L$2</f>
        <v>823374.684</v>
      </c>
      <c r="AE44" s="1">
        <f>(N44*10^9)/GJperUnit!$M$2</f>
        <v>1117200.389</v>
      </c>
      <c r="AF44" s="1">
        <f>(O44*10^9)/GJperUnit!$N$2</f>
        <v>1459576.661</v>
      </c>
    </row>
    <row r="45" ht="14.25" customHeight="1">
      <c r="A45" s="1" t="s">
        <v>36</v>
      </c>
      <c r="B45" s="1" t="s">
        <v>26</v>
      </c>
      <c r="C45" s="3">
        <v>2.871026E-4</v>
      </c>
      <c r="D45" s="3">
        <v>3.138095E-4</v>
      </c>
      <c r="E45" s="3">
        <v>5.057883E-4</v>
      </c>
      <c r="F45" s="3">
        <v>9.684271E-4</v>
      </c>
      <c r="G45" s="3">
        <v>0.001217803</v>
      </c>
      <c r="H45" s="3">
        <v>0.001574056</v>
      </c>
      <c r="I45" s="3">
        <v>0.001801631</v>
      </c>
      <c r="J45" s="3">
        <v>0.002329727</v>
      </c>
      <c r="K45" s="3">
        <v>0.002953486</v>
      </c>
      <c r="L45" s="3">
        <v>0.003753984</v>
      </c>
      <c r="M45" s="3">
        <v>0.004689257</v>
      </c>
      <c r="N45" s="3">
        <v>0.005715989</v>
      </c>
      <c r="O45" s="3">
        <v>0.00674281</v>
      </c>
      <c r="R45" s="1" t="s">
        <v>36</v>
      </c>
      <c r="S45" s="1" t="s">
        <v>26</v>
      </c>
      <c r="T45" s="1">
        <f>(C45*10^9)/GJperUnit!$B$2</f>
        <v>42807.68772</v>
      </c>
      <c r="U45" s="1">
        <f>(D45*10^9)/GJperUnit!$C$2</f>
        <v>46789.7507</v>
      </c>
      <c r="V45" s="1">
        <f>(E45*10^9)/GJperUnit!$D$2</f>
        <v>75414.25121</v>
      </c>
      <c r="W45" s="1">
        <f>(F45*10^9)/GJperUnit!$E$2</f>
        <v>148661.9822</v>
      </c>
      <c r="X45" s="1">
        <f>(G45*10^9)/GJperUnit!$F$2</f>
        <v>192467.9258</v>
      </c>
      <c r="Y45" s="1">
        <f>(H45*10^9)/GJperUnit!$G$2</f>
        <v>256123.7468</v>
      </c>
      <c r="Z45" s="1">
        <f>(I45*10^9)/GJperUnit!$H$2</f>
        <v>301817.1087</v>
      </c>
      <c r="AA45" s="1">
        <f>(J45*10^9)/GJperUnit!$I$2</f>
        <v>401819.8454</v>
      </c>
      <c r="AB45" s="1">
        <f>(K45*10^9)/GJperUnit!$J$2</f>
        <v>524456.6625</v>
      </c>
      <c r="AC45" s="1">
        <f>(L45*10^9)/GJperUnit!$K$2</f>
        <v>686302.2909</v>
      </c>
      <c r="AD45" s="1">
        <f>(M45*10^9)/GJperUnit!$L$2</f>
        <v>882623.34</v>
      </c>
      <c r="AE45" s="1">
        <f>(N45*10^9)/GJperUnit!$M$2</f>
        <v>1107671.796</v>
      </c>
      <c r="AF45" s="1">
        <f>(O45*10^9)/GJperUnit!$N$2</f>
        <v>1345268.511</v>
      </c>
    </row>
    <row r="46" ht="14.25" customHeight="1">
      <c r="A46" s="1" t="s">
        <v>37</v>
      </c>
      <c r="B46" s="1" t="s">
        <v>26</v>
      </c>
      <c r="C46" s="3">
        <v>3.797986E-5</v>
      </c>
      <c r="D46" s="3">
        <v>8.153557E-5</v>
      </c>
      <c r="E46" s="3">
        <v>2.0503379E-4</v>
      </c>
      <c r="F46" s="3">
        <v>1.1715861E-4</v>
      </c>
      <c r="G46" s="3">
        <v>1.219111E-4</v>
      </c>
      <c r="H46" s="3">
        <v>1.296657E-4</v>
      </c>
      <c r="I46" s="3">
        <v>1.550449E-4</v>
      </c>
      <c r="J46" s="3">
        <v>2.063585E-4</v>
      </c>
      <c r="K46" s="3">
        <v>2.50232299999999E-4</v>
      </c>
      <c r="L46" s="3">
        <v>3.282527E-4</v>
      </c>
      <c r="M46" s="3">
        <v>4.001369E-4</v>
      </c>
      <c r="N46" s="3">
        <v>4.816729E-4</v>
      </c>
      <c r="O46" s="3">
        <v>5.69973E-4</v>
      </c>
      <c r="R46" s="1" t="s">
        <v>37</v>
      </c>
      <c r="S46" s="1" t="s">
        <v>26</v>
      </c>
      <c r="T46" s="1">
        <f>(C46*10^9)/GJperUnit!$B$2</f>
        <v>5662.888412</v>
      </c>
      <c r="U46" s="1">
        <f>(D46*10^9)/GJperUnit!$C$2</f>
        <v>12157.14946</v>
      </c>
      <c r="V46" s="1">
        <f>(E46*10^9)/GJperUnit!$D$2</f>
        <v>30571.03089</v>
      </c>
      <c r="W46" s="1">
        <f>(F46*10^9)/GJperUnit!$E$2</f>
        <v>17984.86556</v>
      </c>
      <c r="X46" s="1">
        <f>(G46*10^9)/GJperUnit!$F$2</f>
        <v>19267.46489</v>
      </c>
      <c r="Y46" s="1">
        <f>(H46*10^9)/GJperUnit!$G$2</f>
        <v>21098.65527</v>
      </c>
      <c r="Z46" s="1">
        <f>(I46*10^9)/GJperUnit!$H$2</f>
        <v>25973.80009</v>
      </c>
      <c r="AA46" s="1">
        <f>(J46*10^9)/GJperUnit!$I$2</f>
        <v>35591.69833</v>
      </c>
      <c r="AB46" s="1">
        <f>(K46*10^9)/GJperUnit!$J$2</f>
        <v>44434.27086</v>
      </c>
      <c r="AC46" s="1">
        <f>(L46*10^9)/GJperUnit!$K$2</f>
        <v>60011.06558</v>
      </c>
      <c r="AD46" s="1">
        <f>(M46*10^9)/GJperUnit!$L$2</f>
        <v>75314.73902</v>
      </c>
      <c r="AE46" s="1">
        <f>(N46*10^9)/GJperUnit!$M$2</f>
        <v>93340.88751</v>
      </c>
      <c r="AF46" s="1">
        <f>(O46*10^9)/GJperUnit!$N$2</f>
        <v>113716.1998</v>
      </c>
    </row>
    <row r="47" ht="14.25" customHeight="1">
      <c r="A47" s="1" t="s">
        <v>38</v>
      </c>
      <c r="B47" s="1" t="s">
        <v>26</v>
      </c>
      <c r="C47" s="3">
        <v>0.003543687</v>
      </c>
      <c r="D47" s="3">
        <v>0.007078535</v>
      </c>
      <c r="E47" s="3">
        <v>0.01103414</v>
      </c>
      <c r="F47" s="3">
        <v>0.017773295</v>
      </c>
      <c r="G47" s="3">
        <v>0.02310869</v>
      </c>
      <c r="H47" s="3">
        <v>0.03016406</v>
      </c>
      <c r="I47" s="3">
        <v>0.03756834</v>
      </c>
      <c r="J47" s="3">
        <v>0.0501196399999999</v>
      </c>
      <c r="K47" s="3">
        <v>0.06545417</v>
      </c>
      <c r="L47" s="3">
        <v>0.0849834999999999</v>
      </c>
      <c r="M47" s="3">
        <v>0.1078396</v>
      </c>
      <c r="N47" s="3">
        <v>0.1330112</v>
      </c>
      <c r="O47" s="3">
        <v>0.1581207</v>
      </c>
      <c r="R47" s="1" t="s">
        <v>38</v>
      </c>
      <c r="S47" s="1" t="s">
        <v>26</v>
      </c>
      <c r="T47" s="1">
        <f>(C47*10^9)/GJperUnit!$B$2</f>
        <v>528372.2491</v>
      </c>
      <c r="U47" s="1">
        <f>(D47*10^9)/GJperUnit!$C$2</f>
        <v>1055426.582</v>
      </c>
      <c r="V47" s="1">
        <f>(E47*10^9)/GJperUnit!$D$2</f>
        <v>1645216.795</v>
      </c>
      <c r="W47" s="1">
        <f>(F47*10^9)/GJperUnit!$E$2</f>
        <v>2728355.357</v>
      </c>
      <c r="X47" s="1">
        <f>(G47*10^9)/GJperUnit!$F$2</f>
        <v>3652217.667</v>
      </c>
      <c r="Y47" s="1">
        <f>(H47*10^9)/GJperUnit!$G$2</f>
        <v>4908168.494</v>
      </c>
      <c r="Z47" s="1">
        <f>(I47*10^9)/GJperUnit!$H$2</f>
        <v>6293612.708</v>
      </c>
      <c r="AA47" s="1">
        <f>(J47*10^9)/GJperUnit!$I$2</f>
        <v>8644388.805</v>
      </c>
      <c r="AB47" s="1">
        <f>(K47*10^9)/GJperUnit!$J$2</f>
        <v>11622833.34</v>
      </c>
      <c r="AC47" s="1">
        <f>(L47*10^9)/GJperUnit!$K$2</f>
        <v>15536659.38</v>
      </c>
      <c r="AD47" s="1">
        <f>(M47*10^9)/GJperUnit!$L$2</f>
        <v>20297831.39</v>
      </c>
      <c r="AE47" s="1">
        <f>(N47*10^9)/GJperUnit!$M$2</f>
        <v>25775549.04</v>
      </c>
      <c r="AF47" s="1">
        <f>(O47*10^9)/GJperUnit!$N$2</f>
        <v>31546906.79</v>
      </c>
    </row>
    <row r="48" ht="14.25" customHeight="1">
      <c r="A48" s="1" t="s">
        <v>39</v>
      </c>
      <c r="B48" s="1" t="s">
        <v>26</v>
      </c>
      <c r="C48" s="3">
        <v>1.860101E-5</v>
      </c>
      <c r="D48" s="3">
        <v>3.73803499999999E-5</v>
      </c>
      <c r="E48" s="3">
        <v>4.7645752E-5</v>
      </c>
      <c r="F48" s="3">
        <v>4.20636439999999E-5</v>
      </c>
      <c r="G48" s="3">
        <v>5.097316E-5</v>
      </c>
      <c r="H48" s="3">
        <v>6.033974E-5</v>
      </c>
      <c r="I48" s="3">
        <v>7.727339E-5</v>
      </c>
      <c r="J48" s="3">
        <v>1.053643E-4</v>
      </c>
      <c r="K48" s="3">
        <v>1.331757E-4</v>
      </c>
      <c r="L48" s="3">
        <v>1.68703E-4</v>
      </c>
      <c r="M48" s="3">
        <v>2.10703E-4</v>
      </c>
      <c r="N48" s="3">
        <v>2.596479E-4</v>
      </c>
      <c r="O48" s="3">
        <v>3.139687E-4</v>
      </c>
      <c r="R48" s="1" t="s">
        <v>39</v>
      </c>
      <c r="S48" s="1" t="s">
        <v>26</v>
      </c>
      <c r="T48" s="1">
        <f>(C48*10^9)/GJperUnit!$B$2</f>
        <v>2773.455299</v>
      </c>
      <c r="U48" s="1">
        <f>(D48*10^9)/GJperUnit!$C$2</f>
        <v>5573.50003</v>
      </c>
      <c r="V48" s="1">
        <f>(E48*10^9)/GJperUnit!$D$2</f>
        <v>7104.096141</v>
      </c>
      <c r="W48" s="1">
        <f>(F48*10^9)/GJperUnit!$E$2</f>
        <v>6457.135181</v>
      </c>
      <c r="X48" s="1">
        <f>(G48*10^9)/GJperUnit!$F$2</f>
        <v>8056.063563</v>
      </c>
      <c r="Y48" s="1">
        <f>(H48*10^9)/GJperUnit!$G$2</f>
        <v>9818.227745</v>
      </c>
      <c r="Z48" s="1">
        <f>(I48*10^9)/GJperUnit!$H$2</f>
        <v>12945.17642</v>
      </c>
      <c r="AA48" s="1">
        <f>(J48*10^9)/GJperUnit!$I$2</f>
        <v>18172.71583</v>
      </c>
      <c r="AB48" s="1">
        <f>(K48*10^9)/GJperUnit!$J$2</f>
        <v>23648.28652</v>
      </c>
      <c r="AC48" s="1">
        <f>(L48*10^9)/GJperUnit!$K$2</f>
        <v>30842.23465</v>
      </c>
      <c r="AD48" s="1">
        <f>(M48*10^9)/GJperUnit!$L$2</f>
        <v>39659.03033</v>
      </c>
      <c r="AE48" s="1">
        <f>(N48*10^9)/GJperUnit!$M$2</f>
        <v>50315.81687</v>
      </c>
      <c r="AF48" s="1">
        <f>(O48*10^9)/GJperUnit!$N$2</f>
        <v>62640.38368</v>
      </c>
    </row>
    <row r="49" ht="14.25" customHeight="1">
      <c r="A49" s="1" t="s">
        <v>40</v>
      </c>
      <c r="B49" s="1" t="s">
        <v>26</v>
      </c>
      <c r="C49" s="3">
        <v>1.350102E-4</v>
      </c>
      <c r="D49" s="3">
        <v>0.0082793187</v>
      </c>
      <c r="E49" s="3">
        <v>4.50722E-4</v>
      </c>
      <c r="F49" s="3">
        <v>1.66286289999999E-4</v>
      </c>
      <c r="G49" s="3">
        <v>9.532805E-5</v>
      </c>
      <c r="H49" s="3">
        <v>7.07752999999999E-5</v>
      </c>
      <c r="I49" s="3">
        <v>7.458591E-5</v>
      </c>
      <c r="J49" s="3">
        <v>8.677927E-5</v>
      </c>
      <c r="K49" s="3">
        <v>1.014061E-4</v>
      </c>
      <c r="L49" s="3">
        <v>1.24549E-4</v>
      </c>
      <c r="M49" s="3">
        <v>1.528888E-4</v>
      </c>
      <c r="N49" s="3">
        <v>1.834218E-4</v>
      </c>
      <c r="O49" s="3">
        <v>2.152744E-4</v>
      </c>
      <c r="R49" s="1" t="s">
        <v>40</v>
      </c>
      <c r="S49" s="1" t="s">
        <v>26</v>
      </c>
      <c r="T49" s="1">
        <f>(C49*10^9)/GJperUnit!$B$2</f>
        <v>20130.34532</v>
      </c>
      <c r="U49" s="1">
        <f>(D49*10^9)/GJperUnit!$C$2</f>
        <v>1234466.318</v>
      </c>
      <c r="V49" s="1">
        <f>(E49*10^9)/GJperUnit!$D$2</f>
        <v>67203.73352</v>
      </c>
      <c r="W49" s="1">
        <f>(F49*10^9)/GJperUnit!$E$2</f>
        <v>25526.3917</v>
      </c>
      <c r="X49" s="1">
        <f>(G49*10^9)/GJperUnit!$F$2</f>
        <v>15066.14128</v>
      </c>
      <c r="Y49" s="1">
        <f>(H49*10^9)/GJperUnit!$G$2</f>
        <v>11516.25801</v>
      </c>
      <c r="Z49" s="1">
        <f>(I49*10^9)/GJperUnit!$H$2</f>
        <v>12494.95802</v>
      </c>
      <c r="AA49" s="1">
        <f>(J49*10^9)/GJperUnit!$I$2</f>
        <v>14967.26134</v>
      </c>
      <c r="AB49" s="1">
        <f>(K49*10^9)/GJperUnit!$J$2</f>
        <v>18006.89245</v>
      </c>
      <c r="AC49" s="1">
        <f>(L49*10^9)/GJperUnit!$K$2</f>
        <v>22770.01288</v>
      </c>
      <c r="AD49" s="1">
        <f>(M49*10^9)/GJperUnit!$L$2</f>
        <v>28777.10121</v>
      </c>
      <c r="AE49" s="1">
        <f>(N49*10^9)/GJperUnit!$M$2</f>
        <v>35544.35718</v>
      </c>
      <c r="AF49" s="1">
        <f>(O49*10^9)/GJperUnit!$N$2</f>
        <v>42949.73038</v>
      </c>
    </row>
    <row r="50" ht="14.25" customHeight="1">
      <c r="A50" s="1" t="s">
        <v>41</v>
      </c>
      <c r="B50" s="1" t="s">
        <v>26</v>
      </c>
      <c r="C50" s="3">
        <v>0.004414688</v>
      </c>
      <c r="D50" s="3">
        <v>0.00714905699999999</v>
      </c>
      <c r="E50" s="3">
        <v>0.006817188</v>
      </c>
      <c r="F50" s="3">
        <v>0.008350154</v>
      </c>
      <c r="G50" s="3">
        <v>0.00858385</v>
      </c>
      <c r="H50" s="3">
        <v>0.00952229</v>
      </c>
      <c r="I50" s="3">
        <v>0.01087452</v>
      </c>
      <c r="J50" s="3">
        <v>0.01658695</v>
      </c>
      <c r="K50" s="3">
        <v>0.0240833599999999</v>
      </c>
      <c r="L50" s="3">
        <v>0.03349352</v>
      </c>
      <c r="M50" s="3">
        <v>0.04486839</v>
      </c>
      <c r="N50" s="3">
        <v>0.05822315</v>
      </c>
      <c r="O50" s="3">
        <v>0.0728973</v>
      </c>
      <c r="R50" s="1" t="s">
        <v>41</v>
      </c>
      <c r="S50" s="1" t="s">
        <v>26</v>
      </c>
      <c r="T50" s="1">
        <f>(C50*10^9)/GJperUnit!$B$2</f>
        <v>658240.5916</v>
      </c>
      <c r="U50" s="1">
        <f>(D50*10^9)/GJperUnit!$C$2</f>
        <v>1065941.582</v>
      </c>
      <c r="V50" s="1">
        <f>(E50*10^9)/GJperUnit!$D$2</f>
        <v>1016459.116</v>
      </c>
      <c r="W50" s="1">
        <f>(F50*10^9)/GJperUnit!$E$2</f>
        <v>1281821.26</v>
      </c>
      <c r="X50" s="1">
        <f>(G50*10^9)/GJperUnit!$F$2</f>
        <v>1356636.34</v>
      </c>
      <c r="Y50" s="1">
        <f>(H50*10^9)/GJperUnit!$G$2</f>
        <v>1549426.827</v>
      </c>
      <c r="Z50" s="1">
        <f>(I50*10^9)/GJperUnit!$H$2</f>
        <v>1821747.175</v>
      </c>
      <c r="AA50" s="1">
        <f>(J50*10^9)/GJperUnit!$I$2</f>
        <v>2860835.491</v>
      </c>
      <c r="AB50" s="1">
        <f>(K50*10^9)/GJperUnit!$J$2</f>
        <v>4276532.412</v>
      </c>
      <c r="AC50" s="1">
        <f>(L50*10^9)/GJperUnit!$K$2</f>
        <v>6123275.833</v>
      </c>
      <c r="AD50" s="1">
        <f>(M50*10^9)/GJperUnit!$L$2</f>
        <v>8445237.325</v>
      </c>
      <c r="AE50" s="1">
        <f>(N50*10^9)/GJperUnit!$M$2</f>
        <v>11282761.59</v>
      </c>
      <c r="AF50" s="1">
        <f>(O50*10^9)/GJperUnit!$N$2</f>
        <v>14543853.71</v>
      </c>
    </row>
    <row r="51" ht="14.25" customHeight="1">
      <c r="A51" s="1" t="s">
        <v>42</v>
      </c>
      <c r="B51" s="1" t="s">
        <v>26</v>
      </c>
      <c r="C51" s="3">
        <v>2.275128E-4</v>
      </c>
      <c r="D51" s="3">
        <v>4.05262599999999E-4</v>
      </c>
      <c r="E51" s="3">
        <v>7.10218499999999E-4</v>
      </c>
      <c r="F51" s="3">
        <v>0.0012318034</v>
      </c>
      <c r="G51" s="3">
        <v>0.0013003845</v>
      </c>
      <c r="H51" s="3">
        <v>0.001400801</v>
      </c>
      <c r="I51" s="3">
        <v>0.001423208</v>
      </c>
      <c r="J51" s="3">
        <v>0.001770805</v>
      </c>
      <c r="K51" s="3">
        <v>0.00221241899999999</v>
      </c>
      <c r="L51" s="3">
        <v>0.002625025</v>
      </c>
      <c r="M51" s="3">
        <v>0.003085166</v>
      </c>
      <c r="N51" s="3">
        <v>0.003549348</v>
      </c>
      <c r="O51" s="3">
        <v>0.003967517</v>
      </c>
      <c r="R51" s="1" t="s">
        <v>42</v>
      </c>
      <c r="S51" s="1" t="s">
        <v>26</v>
      </c>
      <c r="T51" s="1">
        <f>(C51*10^9)/GJperUnit!$B$2</f>
        <v>33922.70531</v>
      </c>
      <c r="U51" s="1">
        <f>(D51*10^9)/GJperUnit!$C$2</f>
        <v>60425.62772</v>
      </c>
      <c r="V51" s="1">
        <f>(E51*10^9)/GJperUnit!$D$2</f>
        <v>105895.2854</v>
      </c>
      <c r="W51" s="1">
        <f>(F51*10^9)/GJperUnit!$E$2</f>
        <v>189092.5349</v>
      </c>
      <c r="X51" s="1">
        <f>(G51*10^9)/GJperUnit!$F$2</f>
        <v>205519.5359</v>
      </c>
      <c r="Y51" s="1">
        <f>(H51*10^9)/GJperUnit!$G$2</f>
        <v>227932.4247</v>
      </c>
      <c r="Z51" s="1">
        <f>(I51*10^9)/GJperUnit!$H$2</f>
        <v>238422.0318</v>
      </c>
      <c r="AA51" s="1">
        <f>(J51*10^9)/GJperUnit!$I$2</f>
        <v>305419.73</v>
      </c>
      <c r="AB51" s="1">
        <f>(K51*10^9)/GJperUnit!$J$2</f>
        <v>392863.8514</v>
      </c>
      <c r="AC51" s="1">
        <f>(L51*10^9)/GJperUnit!$K$2</f>
        <v>479906.3265</v>
      </c>
      <c r="AD51" s="1">
        <f>(M51*10^9)/GJperUnit!$L$2</f>
        <v>580697.4366</v>
      </c>
      <c r="AE51" s="1">
        <f>(N51*10^9)/GJperUnit!$M$2</f>
        <v>687809.6991</v>
      </c>
      <c r="AF51" s="1">
        <f>(O51*10^9)/GJperUnit!$N$2</f>
        <v>791565.4877</v>
      </c>
    </row>
    <row r="52" ht="14.25" customHeight="1">
      <c r="A52" s="1" t="s">
        <v>43</v>
      </c>
      <c r="B52" s="1" t="s">
        <v>26</v>
      </c>
      <c r="C52" s="3">
        <v>0.002278588</v>
      </c>
      <c r="D52" s="3">
        <v>0.002943464</v>
      </c>
      <c r="E52" s="3">
        <v>0.004943705</v>
      </c>
      <c r="F52" s="3">
        <v>0.00718808499999999</v>
      </c>
      <c r="G52" s="3">
        <v>0.00776408699999999</v>
      </c>
      <c r="H52" s="3">
        <v>0.00858146</v>
      </c>
      <c r="I52" s="3">
        <v>0.00865309</v>
      </c>
      <c r="J52" s="3">
        <v>0.01123074</v>
      </c>
      <c r="K52" s="3">
        <v>0.0144646499999999</v>
      </c>
      <c r="L52" s="3">
        <v>0.01817104</v>
      </c>
      <c r="M52" s="3">
        <v>0.0224938799999999</v>
      </c>
      <c r="N52" s="3">
        <v>0.0273474499999999</v>
      </c>
      <c r="O52" s="3">
        <v>0.03241084</v>
      </c>
      <c r="R52" s="1" t="s">
        <v>43</v>
      </c>
      <c r="S52" s="1" t="s">
        <v>26</v>
      </c>
      <c r="T52" s="1">
        <f>(C52*10^9)/GJperUnit!$B$2</f>
        <v>339742.9475</v>
      </c>
      <c r="U52" s="1">
        <f>(D52*10^9)/GJperUnit!$C$2</f>
        <v>438877.5571</v>
      </c>
      <c r="V52" s="1">
        <f>(E52*10^9)/GJperUnit!$D$2</f>
        <v>737118.2978</v>
      </c>
      <c r="W52" s="1">
        <f>(F52*10^9)/GJperUnit!$E$2</f>
        <v>1103433.562</v>
      </c>
      <c r="X52" s="1">
        <f>(G52*10^9)/GJperUnit!$F$2</f>
        <v>1227076.728</v>
      </c>
      <c r="Y52" s="1">
        <f>(H52*10^9)/GJperUnit!$G$2</f>
        <v>1396338.941</v>
      </c>
      <c r="Z52" s="1">
        <f>(I52*10^9)/GJperUnit!$H$2</f>
        <v>1449603.501</v>
      </c>
      <c r="AA52" s="1">
        <f>(J52*10^9)/GJperUnit!$I$2</f>
        <v>1937022.755</v>
      </c>
      <c r="AB52" s="1">
        <f>(K52*10^9)/GJperUnit!$J$2</f>
        <v>2568518.037</v>
      </c>
      <c r="AC52" s="1">
        <f>(L52*10^9)/GJperUnit!$K$2</f>
        <v>3322024.383</v>
      </c>
      <c r="AD52" s="1">
        <f>(M52*10^9)/GJperUnit!$L$2</f>
        <v>4233852.718</v>
      </c>
      <c r="AE52" s="1">
        <f>(N52*10^9)/GJperUnit!$M$2</f>
        <v>5299520.181</v>
      </c>
      <c r="AF52" s="1">
        <f>(O52*10^9)/GJperUnit!$N$2</f>
        <v>6466337.099</v>
      </c>
    </row>
    <row r="53" ht="14.25" customHeight="1">
      <c r="A53" s="1" t="s">
        <v>44</v>
      </c>
      <c r="B53" s="1" t="s">
        <v>26</v>
      </c>
      <c r="C53" s="3">
        <v>0.001106504</v>
      </c>
      <c r="D53" s="3">
        <v>0.003659798</v>
      </c>
      <c r="E53" s="3">
        <v>0.00102526</v>
      </c>
      <c r="F53" s="3">
        <v>0.004019099</v>
      </c>
      <c r="G53" s="3">
        <v>0.003552894</v>
      </c>
      <c r="H53" s="3">
        <v>0.0039213218</v>
      </c>
      <c r="I53" s="3">
        <v>0.004326111</v>
      </c>
      <c r="J53" s="3">
        <v>0.00536699</v>
      </c>
      <c r="K53" s="3">
        <v>0.006338262</v>
      </c>
      <c r="L53" s="3">
        <v>0.007703606</v>
      </c>
      <c r="M53" s="3">
        <v>0.009181675</v>
      </c>
      <c r="N53" s="3">
        <v>0.01061292</v>
      </c>
      <c r="O53" s="3">
        <v>0.0119098</v>
      </c>
      <c r="R53" s="1" t="s">
        <v>44</v>
      </c>
      <c r="S53" s="1" t="s">
        <v>26</v>
      </c>
      <c r="T53" s="1">
        <f>(C53*10^9)/GJperUnit!$B$2</f>
        <v>164982.4059</v>
      </c>
      <c r="U53" s="1">
        <f>(D53*10^9)/GJperUnit!$C$2</f>
        <v>545684.6782</v>
      </c>
      <c r="V53" s="1">
        <f>(E53*10^9)/GJperUnit!$D$2</f>
        <v>152868.7302</v>
      </c>
      <c r="W53" s="1">
        <f>(F53*10^9)/GJperUnit!$E$2</f>
        <v>616966.6505</v>
      </c>
      <c r="X53" s="1">
        <f>(G53*10^9)/GJperUnit!$F$2</f>
        <v>561517.8634</v>
      </c>
      <c r="Y53" s="1">
        <f>(H53*10^9)/GJperUnit!$G$2</f>
        <v>638060.9279</v>
      </c>
      <c r="Z53" s="1">
        <f>(I53*10^9)/GJperUnit!$H$2</f>
        <v>724729.0449</v>
      </c>
      <c r="AA53" s="1">
        <f>(J53*10^9)/GJperUnit!$I$2</f>
        <v>925672.0175</v>
      </c>
      <c r="AB53" s="1">
        <f>(K53*10^9)/GJperUnit!$J$2</f>
        <v>1125498.389</v>
      </c>
      <c r="AC53" s="1">
        <f>(L53*10^9)/GJperUnit!$K$2</f>
        <v>1408371.066</v>
      </c>
      <c r="AD53" s="1">
        <f>(M53*10^9)/GJperUnit!$L$2</f>
        <v>1728197.165</v>
      </c>
      <c r="AE53" s="1">
        <f>(N53*10^9)/GJperUnit!$M$2</f>
        <v>2056622.6</v>
      </c>
      <c r="AF53" s="1">
        <f>(O53*10^9)/GJperUnit!$N$2</f>
        <v>2376142.722</v>
      </c>
    </row>
    <row r="54" ht="14.25" customHeight="1">
      <c r="A54" s="1" t="s">
        <v>45</v>
      </c>
      <c r="B54" s="1" t="s">
        <v>26</v>
      </c>
      <c r="C54" s="3">
        <v>0.001117592</v>
      </c>
      <c r="D54" s="3">
        <v>0.002478991</v>
      </c>
      <c r="E54" s="3">
        <v>0.00110213</v>
      </c>
      <c r="F54" s="3">
        <v>0.0140609</v>
      </c>
      <c r="G54" s="3">
        <v>0.01597226</v>
      </c>
      <c r="H54" s="3">
        <v>0.018423644</v>
      </c>
      <c r="I54" s="3">
        <v>0.0218342</v>
      </c>
      <c r="J54" s="3">
        <v>0.02661295</v>
      </c>
      <c r="K54" s="3">
        <v>0.03233353</v>
      </c>
      <c r="L54" s="3">
        <v>0.03795218</v>
      </c>
      <c r="M54" s="3">
        <v>0.0444371</v>
      </c>
      <c r="N54" s="3">
        <v>0.05092255</v>
      </c>
      <c r="O54" s="3">
        <v>0.05671434</v>
      </c>
      <c r="R54" s="1" t="s">
        <v>45</v>
      </c>
      <c r="S54" s="1" t="s">
        <v>26</v>
      </c>
      <c r="T54" s="1">
        <f>(C54*10^9)/GJperUnit!$B$2</f>
        <v>166635.6534</v>
      </c>
      <c r="U54" s="1">
        <f>(D54*10^9)/GJperUnit!$C$2</f>
        <v>369623.5164</v>
      </c>
      <c r="V54" s="1">
        <f>(E54*10^9)/GJperUnit!$D$2</f>
        <v>164330.232</v>
      </c>
      <c r="W54" s="1">
        <f>(F54*10^9)/GJperUnit!$E$2</f>
        <v>2158470.437</v>
      </c>
      <c r="X54" s="1">
        <f>(G54*10^9)/GJperUnit!$F$2</f>
        <v>2524339.119</v>
      </c>
      <c r="Y54" s="1">
        <f>(H54*10^9)/GJperUnit!$G$2</f>
        <v>2997817.569</v>
      </c>
      <c r="Z54" s="1">
        <f>(I54*10^9)/GJperUnit!$H$2</f>
        <v>3657760.726</v>
      </c>
      <c r="AA54" s="1">
        <f>(J54*10^9)/GJperUnit!$I$2</f>
        <v>4590070.62</v>
      </c>
      <c r="AB54" s="1">
        <f>(K54*10^9)/GJperUnit!$J$2</f>
        <v>5741532.288</v>
      </c>
      <c r="AC54" s="1">
        <f>(L54*10^9)/GJperUnit!$K$2</f>
        <v>6938406.791</v>
      </c>
      <c r="AD54" s="1">
        <f>(M54*10^9)/GJperUnit!$L$2</f>
        <v>8364058.874</v>
      </c>
      <c r="AE54" s="1">
        <f>(N54*10^9)/GJperUnit!$M$2</f>
        <v>9868016.264</v>
      </c>
      <c r="AF54" s="1">
        <f>(O54*10^9)/GJperUnit!$N$2</f>
        <v>11315166.19</v>
      </c>
    </row>
    <row r="55" ht="14.25" customHeight="1">
      <c r="A55" s="1" t="s">
        <v>46</v>
      </c>
      <c r="B55" s="1" t="s">
        <v>26</v>
      </c>
      <c r="C55" s="3">
        <v>4.32100099999999E-4</v>
      </c>
      <c r="D55" s="3">
        <v>6.290483E-4</v>
      </c>
      <c r="E55" s="3">
        <v>8.589549E-4</v>
      </c>
      <c r="F55" s="3">
        <v>0.001568031</v>
      </c>
      <c r="G55" s="3">
        <v>0.001502903</v>
      </c>
      <c r="H55" s="3">
        <v>0.001682643</v>
      </c>
      <c r="I55" s="3">
        <v>0.001764434</v>
      </c>
      <c r="J55" s="3">
        <v>0.002280214</v>
      </c>
      <c r="K55" s="3">
        <v>0.00290387</v>
      </c>
      <c r="L55" s="3">
        <v>0.00368977799999999</v>
      </c>
      <c r="M55" s="3">
        <v>0.004581397</v>
      </c>
      <c r="N55" s="3">
        <v>0.00556953199999999</v>
      </c>
      <c r="O55" s="3">
        <v>0.00660066</v>
      </c>
      <c r="R55" s="1" t="s">
        <v>46</v>
      </c>
      <c r="S55" s="1" t="s">
        <v>26</v>
      </c>
      <c r="T55" s="1">
        <f>(C55*10^9)/GJperUnit!$B$2</f>
        <v>64427.16348</v>
      </c>
      <c r="U55" s="1">
        <f>(D55*10^9)/GJperUnit!$C$2</f>
        <v>93792.61347</v>
      </c>
      <c r="V55" s="1">
        <f>(E55*10^9)/GJperUnit!$D$2</f>
        <v>128072.2401</v>
      </c>
      <c r="W55" s="1">
        <f>(F55*10^9)/GJperUnit!$E$2</f>
        <v>240706.3956</v>
      </c>
      <c r="X55" s="1">
        <f>(G55*10^9)/GJperUnit!$F$2</f>
        <v>237526.6139</v>
      </c>
      <c r="Y55" s="1">
        <f>(H55*10^9)/GJperUnit!$G$2</f>
        <v>273792.565</v>
      </c>
      <c r="Z55" s="1">
        <f>(I55*10^9)/GJperUnit!$H$2</f>
        <v>295585.7045</v>
      </c>
      <c r="AA55" s="1">
        <f>(J55*10^9)/GJperUnit!$I$2</f>
        <v>393280.0869</v>
      </c>
      <c r="AB55" s="1">
        <f>(K55*10^9)/GJperUnit!$J$2</f>
        <v>515646.246</v>
      </c>
      <c r="AC55" s="1">
        <f>(L55*10^9)/GJperUnit!$K$2</f>
        <v>674564.1682</v>
      </c>
      <c r="AD55" s="1">
        <f>(M55*10^9)/GJperUnit!$L$2</f>
        <v>862321.6689</v>
      </c>
      <c r="AE55" s="1">
        <f>(N55*10^9)/GJperUnit!$M$2</f>
        <v>1079290.655</v>
      </c>
      <c r="AF55" s="1">
        <f>(O55*10^9)/GJperUnit!$N$2</f>
        <v>1316907.943</v>
      </c>
    </row>
    <row r="56" ht="14.25" customHeight="1">
      <c r="A56" s="1" t="s">
        <v>47</v>
      </c>
      <c r="B56" s="1" t="s">
        <v>26</v>
      </c>
      <c r="C56" s="3">
        <v>4.287912E-4</v>
      </c>
      <c r="D56" s="3">
        <v>3.579331E-4</v>
      </c>
      <c r="E56" s="3">
        <v>6.63231999999999E-4</v>
      </c>
      <c r="F56" s="3">
        <v>0.0015890952</v>
      </c>
      <c r="G56" s="3">
        <v>0.001494315</v>
      </c>
      <c r="H56" s="3">
        <v>0.001757289</v>
      </c>
      <c r="I56" s="3">
        <v>0.001823279</v>
      </c>
      <c r="J56" s="3">
        <v>0.002142869</v>
      </c>
      <c r="K56" s="3">
        <v>0.00249701399999999</v>
      </c>
      <c r="L56" s="3">
        <v>0.003074203</v>
      </c>
      <c r="M56" s="3">
        <v>0.00374854199999999</v>
      </c>
      <c r="N56" s="3">
        <v>0.004484108</v>
      </c>
      <c r="O56" s="3">
        <v>0.005244659</v>
      </c>
      <c r="R56" s="1" t="s">
        <v>47</v>
      </c>
      <c r="S56" s="1" t="s">
        <v>26</v>
      </c>
      <c r="T56" s="1">
        <f>(C56*10^9)/GJperUnit!$B$2</f>
        <v>63933.79853</v>
      </c>
      <c r="U56" s="1">
        <f>(D56*10^9)/GJperUnit!$C$2</f>
        <v>53368.68551</v>
      </c>
      <c r="V56" s="1">
        <f>(E56*10^9)/GJperUnit!$D$2</f>
        <v>98889.4853</v>
      </c>
      <c r="W56" s="1">
        <f>(F56*10^9)/GJperUnit!$E$2</f>
        <v>243939.9335</v>
      </c>
      <c r="X56" s="1">
        <f>(G56*10^9)/GJperUnit!$F$2</f>
        <v>236169.3217</v>
      </c>
      <c r="Y56" s="1">
        <f>(H56*10^9)/GJperUnit!$G$2</f>
        <v>285938.647</v>
      </c>
      <c r="Z56" s="1">
        <f>(I56*10^9)/GJperUnit!$H$2</f>
        <v>305443.6764</v>
      </c>
      <c r="AA56" s="1">
        <f>(J56*10^9)/GJperUnit!$I$2</f>
        <v>369591.4974</v>
      </c>
      <c r="AB56" s="1">
        <f>(K56*10^9)/GJperUnit!$J$2</f>
        <v>443399.9784</v>
      </c>
      <c r="AC56" s="1">
        <f>(L56*10^9)/GJperUnit!$K$2</f>
        <v>562024.9211</v>
      </c>
      <c r="AD56" s="1">
        <f>(M56*10^9)/GJperUnit!$L$2</f>
        <v>705559.6783</v>
      </c>
      <c r="AE56" s="1">
        <f>(N56*10^9)/GJperUnit!$M$2</f>
        <v>868951.9805</v>
      </c>
      <c r="AF56" s="1">
        <f>(O56*10^9)/GJperUnit!$N$2</f>
        <v>1046370.075</v>
      </c>
    </row>
    <row r="57" ht="14.25" customHeight="1">
      <c r="A57" s="1" t="s">
        <v>48</v>
      </c>
      <c r="B57" s="1" t="s">
        <v>26</v>
      </c>
      <c r="C57" s="3">
        <v>3.814819E-6</v>
      </c>
      <c r="D57" s="3">
        <v>9.336149E-6</v>
      </c>
      <c r="E57" s="3">
        <v>1.767908E-5</v>
      </c>
      <c r="F57" s="3">
        <v>2.6015805E-5</v>
      </c>
      <c r="G57" s="3">
        <v>2.847213E-5</v>
      </c>
      <c r="H57" s="3">
        <v>3.616533E-5</v>
      </c>
      <c r="I57" s="3">
        <v>4.755732E-5</v>
      </c>
      <c r="J57" s="3">
        <v>6.448993E-5</v>
      </c>
      <c r="K57" s="3">
        <v>8.0078E-5</v>
      </c>
      <c r="L57" s="3">
        <v>1.006531E-4</v>
      </c>
      <c r="M57" s="3">
        <v>1.246052E-4</v>
      </c>
      <c r="N57" s="3">
        <v>1.50117E-4</v>
      </c>
      <c r="O57" s="3">
        <v>1.768359E-4</v>
      </c>
      <c r="R57" s="1" t="s">
        <v>48</v>
      </c>
      <c r="S57" s="1" t="s">
        <v>26</v>
      </c>
      <c r="T57" s="1">
        <f>(C57*10^9)/GJperUnit!$B$2</f>
        <v>568.7986819</v>
      </c>
      <c r="U57" s="1">
        <f>(D57*10^9)/GJperUnit!$C$2</f>
        <v>1392.042256</v>
      </c>
      <c r="V57" s="1">
        <f>(E57*10^9)/GJperUnit!$D$2</f>
        <v>2635.99332</v>
      </c>
      <c r="W57" s="1">
        <f>(F57*10^9)/GJperUnit!$E$2</f>
        <v>3993.652327</v>
      </c>
      <c r="X57" s="1">
        <f>(G57*10^9)/GJperUnit!$F$2</f>
        <v>4499.883646</v>
      </c>
      <c r="Y57" s="1">
        <f>(H57*10^9)/GJperUnit!$G$2</f>
        <v>5884.669812</v>
      </c>
      <c r="Z57" s="1">
        <f>(I57*10^9)/GJperUnit!$H$2</f>
        <v>7967.010347</v>
      </c>
      <c r="AA57" s="1">
        <f>(J57*10^9)/GJperUnit!$I$2</f>
        <v>11122.90569</v>
      </c>
      <c r="AB57" s="1">
        <f>(K57*10^9)/GJperUnit!$J$2</f>
        <v>14219.6173</v>
      </c>
      <c r="AC57" s="1">
        <f>(L57*10^9)/GJperUnit!$K$2</f>
        <v>18401.37121</v>
      </c>
      <c r="AD57" s="1">
        <f>(M57*10^9)/GJperUnit!$L$2</f>
        <v>23453.49334</v>
      </c>
      <c r="AE57" s="1">
        <f>(N57*10^9)/GJperUnit!$M$2</f>
        <v>29090.39311</v>
      </c>
      <c r="AF57" s="1">
        <f>(O57*10^9)/GJperUnit!$N$2</f>
        <v>35280.80546</v>
      </c>
    </row>
    <row r="58" ht="14.25" customHeight="1">
      <c r="A58" s="1" t="s">
        <v>49</v>
      </c>
      <c r="B58" s="1" t="s">
        <v>26</v>
      </c>
      <c r="C58" s="3">
        <v>9.59819E-6</v>
      </c>
      <c r="D58" s="3">
        <v>8.2729E-6</v>
      </c>
      <c r="E58" s="3">
        <v>8.309281E-6</v>
      </c>
      <c r="F58" s="3">
        <v>1.6921066E-5</v>
      </c>
      <c r="G58" s="3">
        <v>1.300943E-5</v>
      </c>
      <c r="H58" s="3">
        <v>1.300574E-5</v>
      </c>
      <c r="I58" s="3">
        <v>1.323144E-5</v>
      </c>
      <c r="J58" s="3">
        <v>1.68117099999999E-5</v>
      </c>
      <c r="K58" s="3">
        <v>2.158916E-5</v>
      </c>
      <c r="L58" s="3">
        <v>2.81859599999999E-5</v>
      </c>
      <c r="M58" s="3">
        <v>3.587822E-5</v>
      </c>
      <c r="N58" s="3">
        <v>4.437513E-5</v>
      </c>
      <c r="O58" s="3">
        <v>5.348655E-5</v>
      </c>
      <c r="R58" s="1" t="s">
        <v>49</v>
      </c>
      <c r="S58" s="1" t="s">
        <v>26</v>
      </c>
      <c r="T58" s="1">
        <f>(C58*10^9)/GJperUnit!$B$2</f>
        <v>1431.113199</v>
      </c>
      <c r="U58" s="1">
        <f>(D58*10^9)/GJperUnit!$C$2</f>
        <v>1233.509274</v>
      </c>
      <c r="V58" s="1">
        <f>(E58*10^9)/GJperUnit!$D$2</f>
        <v>1238.933769</v>
      </c>
      <c r="W58" s="1">
        <f>(F58*10^9)/GJperUnit!$E$2</f>
        <v>2597.530793</v>
      </c>
      <c r="X58" s="1">
        <f>(G58*10^9)/GJperUnit!$F$2</f>
        <v>2056.078042</v>
      </c>
      <c r="Y58" s="1">
        <f>(H58*10^9)/GJperUnit!$G$2</f>
        <v>2116.239104</v>
      </c>
      <c r="Z58" s="1">
        <f>(I58*10^9)/GJperUnit!$H$2</f>
        <v>2216.588727</v>
      </c>
      <c r="AA58" s="1">
        <f>(J58*10^9)/GJperUnit!$I$2</f>
        <v>2899.600989</v>
      </c>
      <c r="AB58" s="1">
        <f>(K58*10^9)/GJperUnit!$J$2</f>
        <v>3833.632122</v>
      </c>
      <c r="AC58" s="1">
        <f>(L58*10^9)/GJperUnit!$K$2</f>
        <v>5152.949219</v>
      </c>
      <c r="AD58" s="1">
        <f>(M58*10^9)/GJperUnit!$L$2</f>
        <v>6753.085696</v>
      </c>
      <c r="AE58" s="1">
        <f>(N58*10^9)/GJperUnit!$M$2</f>
        <v>8599.225776</v>
      </c>
      <c r="AF58" s="1">
        <f>(O58*10^9)/GJperUnit!$N$2</f>
        <v>10671.18478</v>
      </c>
    </row>
    <row r="59" ht="14.25" customHeight="1">
      <c r="A59" s="1" t="s">
        <v>50</v>
      </c>
      <c r="B59" s="1" t="s">
        <v>26</v>
      </c>
      <c r="C59" s="3">
        <v>0.001639724</v>
      </c>
      <c r="D59" s="3">
        <v>0.002476564</v>
      </c>
      <c r="E59" s="3">
        <v>0.00201521829999999</v>
      </c>
      <c r="F59" s="3">
        <v>0.0024615519</v>
      </c>
      <c r="G59" s="3">
        <v>0.00244284</v>
      </c>
      <c r="H59" s="3">
        <v>0.002560462</v>
      </c>
      <c r="I59" s="3">
        <v>0.00259992</v>
      </c>
      <c r="J59" s="3">
        <v>0.003743636</v>
      </c>
      <c r="K59" s="3">
        <v>0.005329103</v>
      </c>
      <c r="L59" s="3">
        <v>0.007339036</v>
      </c>
      <c r="M59" s="3">
        <v>0.00977778</v>
      </c>
      <c r="N59" s="3">
        <v>0.01265028</v>
      </c>
      <c r="O59" s="3">
        <v>0.01580547</v>
      </c>
      <c r="R59" s="1" t="s">
        <v>50</v>
      </c>
      <c r="S59" s="1" t="s">
        <v>26</v>
      </c>
      <c r="T59" s="1">
        <f>(C59*10^9)/GJperUnit!$B$2</f>
        <v>244486.7895</v>
      </c>
      <c r="U59" s="1">
        <f>(D59*10^9)/GJperUnit!$C$2</f>
        <v>369261.6449</v>
      </c>
      <c r="V59" s="1">
        <f>(E59*10^9)/GJperUnit!$D$2</f>
        <v>300473.8922</v>
      </c>
      <c r="W59" s="1">
        <f>(F59*10^9)/GJperUnit!$E$2</f>
        <v>377869.6247</v>
      </c>
      <c r="X59" s="1">
        <f>(G59*10^9)/GJperUnit!$F$2</f>
        <v>386079.1505</v>
      </c>
      <c r="Y59" s="1">
        <f>(H59*10^9)/GJperUnit!$G$2</f>
        <v>416627.5667</v>
      </c>
      <c r="Z59" s="1">
        <f>(I59*10^9)/GJperUnit!$H$2</f>
        <v>435549.9751</v>
      </c>
      <c r="AA59" s="1">
        <f>(J59*10^9)/GJperUnit!$I$2</f>
        <v>645683.9101</v>
      </c>
      <c r="AB59" s="1">
        <f>(K59*10^9)/GJperUnit!$J$2</f>
        <v>946299.9228</v>
      </c>
      <c r="AC59" s="1">
        <f>(L59*10^9)/GJperUnit!$K$2</f>
        <v>1341720.481</v>
      </c>
      <c r="AD59" s="1">
        <f>(M59*10^9)/GJperUnit!$L$2</f>
        <v>1840397.496</v>
      </c>
      <c r="AE59" s="1">
        <f>(N59*10^9)/GJperUnit!$M$2</f>
        <v>2451432.004</v>
      </c>
      <c r="AF59" s="1">
        <f>(O59*10^9)/GJperUnit!$N$2</f>
        <v>3153373.903</v>
      </c>
    </row>
    <row r="60" ht="14.25" customHeight="1">
      <c r="A60" s="1" t="s">
        <v>51</v>
      </c>
      <c r="B60" s="1" t="s">
        <v>26</v>
      </c>
      <c r="C60" s="3">
        <v>8.20989E-5</v>
      </c>
      <c r="D60" s="3">
        <v>3.838655E-4</v>
      </c>
      <c r="E60" s="3">
        <v>5.18336799999999E-4</v>
      </c>
      <c r="F60" s="3">
        <v>0.00100045089999999</v>
      </c>
      <c r="G60" s="3">
        <v>0.001060822</v>
      </c>
      <c r="H60" s="3">
        <v>0.001054924</v>
      </c>
      <c r="I60" s="3">
        <v>9.19174999999999E-4</v>
      </c>
      <c r="J60" s="3">
        <v>0.001038715</v>
      </c>
      <c r="K60" s="3">
        <v>0.001215517</v>
      </c>
      <c r="L60" s="3">
        <v>0.001416078</v>
      </c>
      <c r="M60" s="3">
        <v>0.001624029</v>
      </c>
      <c r="N60" s="3">
        <v>0.00181992</v>
      </c>
      <c r="O60" s="3">
        <v>0.001984157</v>
      </c>
      <c r="R60" s="1" t="s">
        <v>51</v>
      </c>
      <c r="S60" s="1" t="s">
        <v>26</v>
      </c>
      <c r="T60" s="1">
        <f>(C60*10^9)/GJperUnit!$B$2</f>
        <v>12241.14332</v>
      </c>
      <c r="U60" s="1">
        <f>(D60*10^9)/GJperUnit!$C$2</f>
        <v>57235.26868</v>
      </c>
      <c r="V60" s="1">
        <f>(E60*10^9)/GJperUnit!$D$2</f>
        <v>77285.26272</v>
      </c>
      <c r="W60" s="1">
        <f>(F60*10^9)/GJperUnit!$E$2</f>
        <v>153577.9141</v>
      </c>
      <c r="X60" s="1">
        <f>(G60*10^9)/GJperUnit!$F$2</f>
        <v>167657.8313</v>
      </c>
      <c r="Y60" s="1">
        <f>(H60*10^9)/GJperUnit!$G$2</f>
        <v>171652.7795</v>
      </c>
      <c r="Z60" s="1">
        <f>(I60*10^9)/GJperUnit!$H$2</f>
        <v>153984.2181</v>
      </c>
      <c r="AA60" s="1">
        <f>(J60*10^9)/GJperUnit!$I$2</f>
        <v>179152.4504</v>
      </c>
      <c r="AB60" s="1">
        <f>(K60*10^9)/GJperUnit!$J$2</f>
        <v>215841.8862</v>
      </c>
      <c r="AC60" s="1">
        <f>(L60*10^9)/GJperUnit!$K$2</f>
        <v>258886.9786</v>
      </c>
      <c r="AD60" s="1">
        <f>(M60*10^9)/GJperUnit!$L$2</f>
        <v>305678.6822</v>
      </c>
      <c r="AE60" s="1">
        <f>(N60*10^9)/GJperUnit!$M$2</f>
        <v>352672.8367</v>
      </c>
      <c r="AF60" s="1">
        <f>(O60*10^9)/GJperUnit!$N$2</f>
        <v>395862.2492</v>
      </c>
    </row>
    <row r="61" ht="14.25" customHeight="1">
      <c r="A61" s="1" t="s">
        <v>52</v>
      </c>
      <c r="B61" s="1" t="s">
        <v>26</v>
      </c>
      <c r="C61" s="3">
        <v>2.340012E-5</v>
      </c>
      <c r="D61" s="3">
        <v>1.3113318E-4</v>
      </c>
      <c r="E61" s="3">
        <v>2.181407E-4</v>
      </c>
      <c r="F61" s="3">
        <v>3.953424E-4</v>
      </c>
      <c r="G61" s="3">
        <v>3.868225E-4</v>
      </c>
      <c r="H61" s="3">
        <v>3.484174E-4</v>
      </c>
      <c r="I61" s="3">
        <v>2.696606E-4</v>
      </c>
      <c r="J61" s="3">
        <v>2.685886E-4</v>
      </c>
      <c r="K61" s="3">
        <v>2.733725E-4</v>
      </c>
      <c r="L61" s="3">
        <v>2.911392E-4</v>
      </c>
      <c r="M61" s="3">
        <v>3.06019599999999E-4</v>
      </c>
      <c r="N61" s="3">
        <v>3.144609E-4</v>
      </c>
      <c r="O61" s="3">
        <v>3.146651E-4</v>
      </c>
      <c r="R61" s="1" t="s">
        <v>52</v>
      </c>
      <c r="S61" s="1" t="s">
        <v>26</v>
      </c>
      <c r="T61" s="1">
        <f>(C61*10^9)/GJperUnit!$B$2</f>
        <v>3489.014135</v>
      </c>
      <c r="U61" s="1">
        <f>(D61*10^9)/GJperUnit!$C$2</f>
        <v>19552.27232</v>
      </c>
      <c r="V61" s="1">
        <f>(E61*10^9)/GJperUnit!$D$2</f>
        <v>32525.30268</v>
      </c>
      <c r="W61" s="1">
        <f>(F61*10^9)/GJperUnit!$E$2</f>
        <v>60688.49669</v>
      </c>
      <c r="X61" s="1">
        <f>(G61*10^9)/GJperUnit!$F$2</f>
        <v>61135.44162</v>
      </c>
      <c r="Y61" s="1">
        <f>(H61*10^9)/GJperUnit!$G$2</f>
        <v>56693.00835</v>
      </c>
      <c r="Z61" s="1">
        <f>(I61*10^9)/GJperUnit!$H$2</f>
        <v>45174.72369</v>
      </c>
      <c r="AA61" s="1">
        <f>(J61*10^9)/GJperUnit!$I$2</f>
        <v>46324.83967</v>
      </c>
      <c r="AB61" s="1">
        <f>(K61*10^9)/GJperUnit!$J$2</f>
        <v>48543.32439</v>
      </c>
      <c r="AC61" s="1">
        <f>(L61*10^9)/GJperUnit!$K$2</f>
        <v>53225.98603</v>
      </c>
      <c r="AD61" s="1">
        <f>(M61*10^9)/GJperUnit!$L$2</f>
        <v>57599.75226</v>
      </c>
      <c r="AE61" s="1">
        <f>(N61*10^9)/GJperUnit!$M$2</f>
        <v>60937.74321</v>
      </c>
      <c r="AF61" s="1">
        <f>(O61*10^9)/GJperUnit!$N$2</f>
        <v>62779.32352</v>
      </c>
    </row>
    <row r="62" ht="14.25" customHeight="1">
      <c r="A62" s="1" t="s">
        <v>53</v>
      </c>
      <c r="B62" s="1" t="s">
        <v>26</v>
      </c>
      <c r="C62" s="3">
        <v>6.2438E-4</v>
      </c>
      <c r="D62" s="3">
        <v>0.0010097893</v>
      </c>
      <c r="E62" s="3">
        <v>0.0012724038</v>
      </c>
      <c r="F62" s="3">
        <v>0.0012863344</v>
      </c>
      <c r="G62" s="3">
        <v>0.001120482</v>
      </c>
      <c r="H62" s="3">
        <v>0.001102012</v>
      </c>
      <c r="I62" s="3">
        <v>0.001045605</v>
      </c>
      <c r="J62" s="3">
        <v>0.001401394</v>
      </c>
      <c r="K62" s="3">
        <v>0.001837513</v>
      </c>
      <c r="L62" s="3">
        <v>0.002363934</v>
      </c>
      <c r="M62" s="3">
        <v>0.00298863</v>
      </c>
      <c r="N62" s="3">
        <v>0.003699671</v>
      </c>
      <c r="O62" s="3">
        <v>0.004466962</v>
      </c>
      <c r="R62" s="1" t="s">
        <v>53</v>
      </c>
      <c r="S62" s="1" t="s">
        <v>26</v>
      </c>
      <c r="T62" s="1">
        <f>(C62*10^9)/GJperUnit!$B$2</f>
        <v>93096.55872</v>
      </c>
      <c r="U62" s="1">
        <f>(D62*10^9)/GJperUnit!$C$2</f>
        <v>150562.0117</v>
      </c>
      <c r="V62" s="1">
        <f>(E62*10^9)/GJperUnit!$D$2</f>
        <v>189718.4648</v>
      </c>
      <c r="W62" s="1">
        <f>(F62*10^9)/GJperUnit!$E$2</f>
        <v>197463.5176</v>
      </c>
      <c r="X62" s="1">
        <f>(G62*10^9)/GJperUnit!$F$2</f>
        <v>177086.8083</v>
      </c>
      <c r="Y62" s="1">
        <f>(H62*10^9)/GJperUnit!$G$2</f>
        <v>179314.7401</v>
      </c>
      <c r="Z62" s="1">
        <f>(I62*10^9)/GJperUnit!$H$2</f>
        <v>175164.3249</v>
      </c>
      <c r="AA62" s="1">
        <f>(J62*10^9)/GJperUnit!$I$2</f>
        <v>241705.5391</v>
      </c>
      <c r="AB62" s="1">
        <f>(K62*10^9)/GJperUnit!$J$2</f>
        <v>326291.0118</v>
      </c>
      <c r="AC62" s="1">
        <f>(L62*10^9)/GJperUnit!$K$2</f>
        <v>432173.7439</v>
      </c>
      <c r="AD62" s="1">
        <f>(M62*10^9)/GJperUnit!$L$2</f>
        <v>562527.1962</v>
      </c>
      <c r="AE62" s="1">
        <f>(N62*10^9)/GJperUnit!$M$2</f>
        <v>716940.0118</v>
      </c>
      <c r="AF62" s="1">
        <f>(O62*10^9)/GJperUnit!$N$2</f>
        <v>891210.5364</v>
      </c>
    </row>
    <row r="63" ht="14.25" customHeight="1">
      <c r="A63" s="1" t="s">
        <v>54</v>
      </c>
      <c r="B63" s="1" t="s">
        <v>26</v>
      </c>
      <c r="C63" s="3">
        <v>4.021497E-5</v>
      </c>
      <c r="D63" s="3">
        <v>3.0849495E-4</v>
      </c>
      <c r="E63" s="3">
        <v>5.579912E-4</v>
      </c>
      <c r="F63" s="3">
        <v>9.782502E-4</v>
      </c>
      <c r="G63" s="3">
        <v>9.7377E-4</v>
      </c>
      <c r="H63" s="3">
        <v>9.0258E-4</v>
      </c>
      <c r="I63" s="3">
        <v>7.71176E-4</v>
      </c>
      <c r="J63" s="3">
        <v>7.80235E-4</v>
      </c>
      <c r="K63" s="3">
        <v>8.18796E-4</v>
      </c>
      <c r="L63" s="3">
        <v>8.64681E-4</v>
      </c>
      <c r="M63" s="3">
        <v>9.08810999999999E-4</v>
      </c>
      <c r="N63" s="3">
        <v>9.37221E-4</v>
      </c>
      <c r="O63" s="3">
        <v>9.46998E-4</v>
      </c>
      <c r="R63" s="1" t="s">
        <v>54</v>
      </c>
      <c r="S63" s="1" t="s">
        <v>26</v>
      </c>
      <c r="T63" s="1">
        <f>(C63*10^9)/GJperUnit!$B$2</f>
        <v>5996.148685</v>
      </c>
      <c r="U63" s="1">
        <f>(D63*10^9)/GJperUnit!$C$2</f>
        <v>45997.33852</v>
      </c>
      <c r="V63" s="1">
        <f>(E63*10^9)/GJperUnit!$D$2</f>
        <v>83197.82907</v>
      </c>
      <c r="W63" s="1">
        <f>(F63*10^9)/GJperUnit!$E$2</f>
        <v>150169.9135</v>
      </c>
      <c r="X63" s="1">
        <f>(G63*10^9)/GJperUnit!$F$2</f>
        <v>153899.6801</v>
      </c>
      <c r="Y63" s="1">
        <f>(H63*10^9)/GJperUnit!$G$2</f>
        <v>146864.007</v>
      </c>
      <c r="Z63" s="1">
        <f>(I63*10^9)/GJperUnit!$H$2</f>
        <v>129190.778</v>
      </c>
      <c r="AA63" s="1">
        <f>(J63*10^9)/GJperUnit!$I$2</f>
        <v>134571.0923</v>
      </c>
      <c r="AB63" s="1">
        <f>(K63*10^9)/GJperUnit!$J$2</f>
        <v>145395.3117</v>
      </c>
      <c r="AC63" s="1">
        <f>(L63*10^9)/GJperUnit!$K$2</f>
        <v>158080.7353</v>
      </c>
      <c r="AD63" s="1">
        <f>(M63*10^9)/GJperUnit!$L$2</f>
        <v>171058.6134</v>
      </c>
      <c r="AE63" s="1">
        <f>(N63*10^9)/GJperUnit!$M$2</f>
        <v>181619.1858</v>
      </c>
      <c r="AF63" s="1">
        <f>(O63*10^9)/GJperUnit!$N$2</f>
        <v>188937.0439</v>
      </c>
    </row>
    <row r="64" ht="14.25" customHeight="1">
      <c r="A64" s="1" t="s">
        <v>55</v>
      </c>
      <c r="B64" s="1" t="s">
        <v>26</v>
      </c>
      <c r="C64" s="3">
        <v>2.002051E-4</v>
      </c>
      <c r="D64" s="3">
        <v>0.0010677344</v>
      </c>
      <c r="E64" s="3">
        <v>0.001829167</v>
      </c>
      <c r="F64" s="3">
        <v>0.0041921531</v>
      </c>
      <c r="G64" s="3">
        <v>0.004614721</v>
      </c>
      <c r="H64" s="3">
        <v>0.004774968</v>
      </c>
      <c r="I64" s="3">
        <v>0.004660928</v>
      </c>
      <c r="J64" s="3">
        <v>0.004899522</v>
      </c>
      <c r="K64" s="3">
        <v>0.005292869</v>
      </c>
      <c r="L64" s="3">
        <v>0.00594437</v>
      </c>
      <c r="M64" s="3">
        <v>0.00655307999999999</v>
      </c>
      <c r="N64" s="3">
        <v>0.00706699999999999</v>
      </c>
      <c r="O64" s="3">
        <v>0.0074283</v>
      </c>
      <c r="R64" s="1" t="s">
        <v>55</v>
      </c>
      <c r="S64" s="1" t="s">
        <v>26</v>
      </c>
      <c r="T64" s="1">
        <f>(C64*10^9)/GJperUnit!$B$2</f>
        <v>29851.06161</v>
      </c>
      <c r="U64" s="1">
        <f>(D64*10^9)/GJperUnit!$C$2</f>
        <v>159201.7654</v>
      </c>
      <c r="V64" s="1">
        <f>(E64*10^9)/GJperUnit!$D$2</f>
        <v>272733.1962</v>
      </c>
      <c r="W64" s="1">
        <f>(F64*10^9)/GJperUnit!$E$2</f>
        <v>643531.9599</v>
      </c>
      <c r="X64" s="1">
        <f>(G64*10^9)/GJperUnit!$F$2</f>
        <v>729334.5302</v>
      </c>
      <c r="Y64" s="1">
        <f>(H64*10^9)/GJperUnit!$G$2</f>
        <v>776962.6336</v>
      </c>
      <c r="Z64" s="1">
        <f>(I64*10^9)/GJperUnit!$H$2</f>
        <v>780819.0538</v>
      </c>
      <c r="AA64" s="1">
        <f>(J64*10^9)/GJperUnit!$I$2</f>
        <v>845045.4379</v>
      </c>
      <c r="AB64" s="1">
        <f>(K64*10^9)/GJperUnit!$J$2</f>
        <v>939865.7759</v>
      </c>
      <c r="AC64" s="1">
        <f>(L64*10^9)/GJperUnit!$K$2</f>
        <v>1086748.039</v>
      </c>
      <c r="AD64" s="1">
        <f>(M64*10^9)/GJperUnit!$L$2</f>
        <v>1233436.631</v>
      </c>
      <c r="AE64" s="1">
        <f>(N64*10^9)/GJperUnit!$M$2</f>
        <v>1369477.195</v>
      </c>
      <c r="AF64" s="1">
        <f>(O64*10^9)/GJperUnit!$N$2</f>
        <v>1482031.687</v>
      </c>
    </row>
    <row r="65" ht="14.25" customHeight="1">
      <c r="A65" s="1" t="s">
        <v>56</v>
      </c>
      <c r="B65" s="1" t="s">
        <v>26</v>
      </c>
      <c r="C65" s="3">
        <v>0.001621476</v>
      </c>
      <c r="D65" s="3">
        <v>0.002507166</v>
      </c>
      <c r="E65" s="3">
        <v>0.003530675</v>
      </c>
      <c r="F65" s="3">
        <v>0.00415592589999999</v>
      </c>
      <c r="G65" s="3">
        <v>0.004121363</v>
      </c>
      <c r="H65" s="3">
        <v>0.00475376</v>
      </c>
      <c r="I65" s="3">
        <v>0.004852565</v>
      </c>
      <c r="J65" s="3">
        <v>0.006950559</v>
      </c>
      <c r="K65" s="3">
        <v>0.00965097</v>
      </c>
      <c r="L65" s="3">
        <v>0.0127177199999999</v>
      </c>
      <c r="M65" s="3">
        <v>0.0163742599999999</v>
      </c>
      <c r="N65" s="3">
        <v>0.02055942</v>
      </c>
      <c r="O65" s="3">
        <v>0.02503889</v>
      </c>
      <c r="R65" s="1" t="s">
        <v>56</v>
      </c>
      <c r="S65" s="1" t="s">
        <v>26</v>
      </c>
      <c r="T65" s="1">
        <f>(C65*10^9)/GJperUnit!$B$2</f>
        <v>241765.9689</v>
      </c>
      <c r="U65" s="1">
        <f>(D65*10^9)/GJperUnit!$C$2</f>
        <v>373824.4767</v>
      </c>
      <c r="V65" s="1">
        <f>(E65*10^9)/GJperUnit!$D$2</f>
        <v>526432.1286</v>
      </c>
      <c r="W65" s="1">
        <f>(F65*10^9)/GJperUnit!$E$2</f>
        <v>637970.7697</v>
      </c>
      <c r="X65" s="1">
        <f>(G65*10^9)/GJperUnit!$F$2</f>
        <v>651361.6635</v>
      </c>
      <c r="Y65" s="1">
        <f>(H65*10^9)/GJperUnit!$G$2</f>
        <v>773511.7574</v>
      </c>
      <c r="Z65" s="1">
        <f>(I65*10^9)/GJperUnit!$H$2</f>
        <v>812922.9226</v>
      </c>
      <c r="AA65" s="1">
        <f>(J65*10^9)/GJperUnit!$I$2</f>
        <v>1198798.204</v>
      </c>
      <c r="AB65" s="1">
        <f>(K65*10^9)/GJperUnit!$J$2</f>
        <v>1713742.85</v>
      </c>
      <c r="AC65" s="1">
        <f>(L65*10^9)/GJperUnit!$K$2</f>
        <v>2325049.966</v>
      </c>
      <c r="AD65" s="1">
        <f>(M65*10^9)/GJperUnit!$L$2</f>
        <v>3082002.981</v>
      </c>
      <c r="AE65" s="1">
        <f>(N65*10^9)/GJperUnit!$M$2</f>
        <v>3984103.132</v>
      </c>
      <c r="AF65" s="1">
        <f>(O65*10^9)/GJperUnit!$N$2</f>
        <v>4995547.889</v>
      </c>
    </row>
    <row r="66" ht="14.25" customHeight="1">
      <c r="A66" s="1" t="s">
        <v>57</v>
      </c>
      <c r="B66" s="1" t="s">
        <v>26</v>
      </c>
      <c r="C66" s="3">
        <v>0.003417386</v>
      </c>
      <c r="D66" s="3">
        <v>0.004294828</v>
      </c>
      <c r="E66" s="3">
        <v>0.006076815</v>
      </c>
      <c r="F66" s="3">
        <v>0.010407776</v>
      </c>
      <c r="G66" s="3">
        <v>0.01232733</v>
      </c>
      <c r="H66" s="3">
        <v>0.01483166</v>
      </c>
      <c r="I66" s="3">
        <v>0.0164157</v>
      </c>
      <c r="J66" s="3">
        <v>0.02297793</v>
      </c>
      <c r="K66" s="3">
        <v>0.03147846</v>
      </c>
      <c r="L66" s="3">
        <v>0.04028847</v>
      </c>
      <c r="M66" s="3">
        <v>0.05066027</v>
      </c>
      <c r="N66" s="3">
        <v>0.06207055</v>
      </c>
      <c r="O66" s="3">
        <v>0.0734595</v>
      </c>
      <c r="R66" s="1" t="s">
        <v>57</v>
      </c>
      <c r="S66" s="1" t="s">
        <v>26</v>
      </c>
      <c r="T66" s="1">
        <f>(C66*10^9)/GJperUnit!$B$2</f>
        <v>509540.4664</v>
      </c>
      <c r="U66" s="1">
        <f>(D66*10^9)/GJperUnit!$C$2</f>
        <v>640369.1776</v>
      </c>
      <c r="V66" s="1">
        <f>(E66*10^9)/GJperUnit!$D$2</f>
        <v>906067.7223</v>
      </c>
      <c r="W66" s="1">
        <f>(F66*10^9)/GJperUnit!$E$2</f>
        <v>1597684.132</v>
      </c>
      <c r="X66" s="1">
        <f>(G66*10^9)/GJperUnit!$F$2</f>
        <v>1948275.407</v>
      </c>
      <c r="Y66" s="1">
        <f>(H66*10^9)/GJperUnit!$G$2</f>
        <v>2413345.098</v>
      </c>
      <c r="Z66" s="1">
        <f>(I66*10^9)/GJperUnit!$H$2</f>
        <v>2750029.896</v>
      </c>
      <c r="AA66" s="1">
        <f>(J66*10^9)/GJperUnit!$I$2</f>
        <v>3963120.263</v>
      </c>
      <c r="AB66" s="1">
        <f>(K66*10^9)/GJperUnit!$J$2</f>
        <v>5589695.727</v>
      </c>
      <c r="AC66" s="1">
        <f>(L66*10^9)/GJperUnit!$K$2</f>
        <v>7365526.667</v>
      </c>
      <c r="AD66" s="1">
        <f>(M66*10^9)/GJperUnit!$L$2</f>
        <v>9535399.044</v>
      </c>
      <c r="AE66" s="1">
        <f>(N66*10^9)/GJperUnit!$M$2</f>
        <v>12028329.24</v>
      </c>
      <c r="AF66" s="1">
        <f>(O66*10^9)/GJperUnit!$N$2</f>
        <v>14656019.1</v>
      </c>
    </row>
    <row r="67" ht="14.25" customHeight="1">
      <c r="A67" s="1" t="s">
        <v>58</v>
      </c>
      <c r="B67" s="1" t="s">
        <v>26</v>
      </c>
      <c r="C67" s="3">
        <v>4.036013E-4</v>
      </c>
      <c r="D67" s="3">
        <v>2.7434628E-4</v>
      </c>
      <c r="E67" s="3">
        <v>2.3500934E-4</v>
      </c>
      <c r="F67" s="3">
        <v>6.517135E-4</v>
      </c>
      <c r="G67" s="3">
        <v>4.443854E-4</v>
      </c>
      <c r="H67" s="3">
        <v>4.422651E-4</v>
      </c>
      <c r="I67" s="3">
        <v>4.843575E-4</v>
      </c>
      <c r="J67" s="3">
        <v>6.52753E-4</v>
      </c>
      <c r="K67" s="3">
        <v>8.51334E-4</v>
      </c>
      <c r="L67" s="3">
        <v>0.001080706</v>
      </c>
      <c r="M67" s="3">
        <v>0.001336019</v>
      </c>
      <c r="N67" s="3">
        <v>0.001611324</v>
      </c>
      <c r="O67" s="3">
        <v>0.001901206</v>
      </c>
      <c r="R67" s="1" t="s">
        <v>58</v>
      </c>
      <c r="S67" s="1" t="s">
        <v>26</v>
      </c>
      <c r="T67" s="1">
        <f>(C67*10^9)/GJperUnit!$B$2</f>
        <v>60177.9239</v>
      </c>
      <c r="U67" s="1">
        <f>(D67*10^9)/GJperUnit!$C$2</f>
        <v>40905.68975</v>
      </c>
      <c r="V67" s="1">
        <f>(E67*10^9)/GJperUnit!$D$2</f>
        <v>35040.45745</v>
      </c>
      <c r="W67" s="1">
        <f>(F67*10^9)/GJperUnit!$E$2</f>
        <v>100043.6902</v>
      </c>
      <c r="X67" s="1">
        <f>(G67*10^9)/GJperUnit!$F$2</f>
        <v>70232.982</v>
      </c>
      <c r="Y67" s="1">
        <f>(H67*10^9)/GJperUnit!$G$2</f>
        <v>71963.50988</v>
      </c>
      <c r="Z67" s="1">
        <f>(I67*10^9)/GJperUnit!$H$2</f>
        <v>81141.68785</v>
      </c>
      <c r="AA67" s="1">
        <f>(J67*10^9)/GJperUnit!$I$2</f>
        <v>112583.6244</v>
      </c>
      <c r="AB67" s="1">
        <f>(K67*10^9)/GJperUnit!$J$2</f>
        <v>151173.1521</v>
      </c>
      <c r="AC67" s="1">
        <f>(L67*10^9)/GJperUnit!$K$2</f>
        <v>197574.3646</v>
      </c>
      <c r="AD67" s="1">
        <f>(M67*10^9)/GJperUnit!$L$2</f>
        <v>251468.7406</v>
      </c>
      <c r="AE67" s="1">
        <f>(N67*10^9)/GJperUnit!$M$2</f>
        <v>312250.1021</v>
      </c>
      <c r="AF67" s="1">
        <f>(O67*10^9)/GJperUnit!$N$2</f>
        <v>379312.5662</v>
      </c>
    </row>
    <row r="68" ht="14.25" customHeight="1">
      <c r="A68" s="1" t="s">
        <v>59</v>
      </c>
      <c r="B68" s="1" t="s">
        <v>26</v>
      </c>
      <c r="C68" s="3">
        <v>0.001650812</v>
      </c>
      <c r="D68" s="3">
        <v>0.00253852699999999</v>
      </c>
      <c r="E68" s="3">
        <v>0.004326545</v>
      </c>
      <c r="F68" s="3">
        <v>0.007260528</v>
      </c>
      <c r="G68" s="3">
        <v>0.008002323</v>
      </c>
      <c r="H68" s="3">
        <v>0.00862343</v>
      </c>
      <c r="I68" s="3">
        <v>0.00788743</v>
      </c>
      <c r="J68" s="3">
        <v>0.00951035999999999</v>
      </c>
      <c r="K68" s="3">
        <v>0.01160564</v>
      </c>
      <c r="L68" s="3">
        <v>0.01459951</v>
      </c>
      <c r="M68" s="3">
        <v>0.01835538</v>
      </c>
      <c r="N68" s="3">
        <v>0.02255291</v>
      </c>
      <c r="O68" s="3">
        <v>0.02687614</v>
      </c>
      <c r="R68" s="1" t="s">
        <v>59</v>
      </c>
      <c r="S68" s="1" t="s">
        <v>26</v>
      </c>
      <c r="T68" s="1">
        <f>(C68*10^9)/GJperUnit!$B$2</f>
        <v>246140.037</v>
      </c>
      <c r="U68" s="1">
        <f>(D68*10^9)/GJperUnit!$C$2</f>
        <v>378500.4771</v>
      </c>
      <c r="V68" s="1">
        <f>(E68*10^9)/GJperUnit!$D$2</f>
        <v>645098.2585</v>
      </c>
      <c r="W68" s="1">
        <f>(F68*10^9)/GJperUnit!$E$2</f>
        <v>1114554.193</v>
      </c>
      <c r="X68" s="1">
        <f>(G68*10^9)/GJperUnit!$F$2</f>
        <v>1264728.785</v>
      </c>
      <c r="Y68" s="1">
        <f>(H68*10^9)/GJperUnit!$G$2</f>
        <v>1403168.122</v>
      </c>
      <c r="Z68" s="1">
        <f>(I68*10^9)/GJperUnit!$H$2</f>
        <v>1321336.787</v>
      </c>
      <c r="AA68" s="1">
        <f>(J68*10^9)/GJperUnit!$I$2</f>
        <v>1640300.08</v>
      </c>
      <c r="AB68" s="1">
        <f>(K68*10^9)/GJperUnit!$J$2</f>
        <v>2060837.675</v>
      </c>
      <c r="AC68" s="1">
        <f>(L68*10^9)/GJperUnit!$K$2</f>
        <v>2669078.28</v>
      </c>
      <c r="AD68" s="1">
        <f>(M68*10^9)/GJperUnit!$L$2</f>
        <v>3454894.198</v>
      </c>
      <c r="AE68" s="1">
        <f>(N68*10^9)/GJperUnit!$M$2</f>
        <v>4370411.197</v>
      </c>
      <c r="AF68" s="1">
        <f>(O68*10^9)/GJperUnit!$N$2</f>
        <v>5362100.494</v>
      </c>
    </row>
    <row r="69" ht="14.25" customHeight="1">
      <c r="A69" s="1" t="s">
        <v>60</v>
      </c>
      <c r="B69" s="1" t="s">
        <v>26</v>
      </c>
      <c r="C69" s="3">
        <v>5.44951E-5</v>
      </c>
      <c r="D69" s="3">
        <v>1.5920137E-4</v>
      </c>
      <c r="E69" s="3">
        <v>4.1684509E-4</v>
      </c>
      <c r="F69" s="3">
        <v>3.9374778E-4</v>
      </c>
      <c r="G69" s="3">
        <v>3.798157E-4</v>
      </c>
      <c r="H69" s="3">
        <v>4.515473E-4</v>
      </c>
      <c r="I69" s="3">
        <v>5.051201E-4</v>
      </c>
      <c r="J69" s="3">
        <v>6.083906E-4</v>
      </c>
      <c r="K69" s="3">
        <v>7.059136E-4</v>
      </c>
      <c r="L69" s="3">
        <v>8.51855E-4</v>
      </c>
      <c r="M69" s="3">
        <v>0.001008849</v>
      </c>
      <c r="N69" s="3">
        <v>0.001166919</v>
      </c>
      <c r="O69" s="3">
        <v>0.001318684</v>
      </c>
      <c r="R69" s="1" t="s">
        <v>60</v>
      </c>
      <c r="S69" s="1" t="s">
        <v>26</v>
      </c>
      <c r="T69" s="1">
        <f>(C69*10^9)/GJperUnit!$B$2</f>
        <v>8125.350391</v>
      </c>
      <c r="U69" s="1">
        <f>(D69*10^9)/GJperUnit!$C$2</f>
        <v>23737.30691</v>
      </c>
      <c r="V69" s="1">
        <f>(E69*10^9)/GJperUnit!$D$2</f>
        <v>62152.60482</v>
      </c>
      <c r="W69" s="1">
        <f>(F69*10^9)/GJperUnit!$E$2</f>
        <v>60443.70865</v>
      </c>
      <c r="X69" s="1">
        <f>(G69*10^9)/GJperUnit!$F$2</f>
        <v>60028.05047</v>
      </c>
      <c r="Y69" s="1">
        <f>(H69*10^9)/GJperUnit!$G$2</f>
        <v>73473.87028</v>
      </c>
      <c r="Z69" s="1">
        <f>(I69*10^9)/GJperUnit!$H$2</f>
        <v>84619.92945</v>
      </c>
      <c r="AA69" s="1">
        <f>(J69*10^9)/GJperUnit!$I$2</f>
        <v>104932.216</v>
      </c>
      <c r="AB69" s="1">
        <f>(K69*10^9)/GJperUnit!$J$2</f>
        <v>125350.5487</v>
      </c>
      <c r="AC69" s="1">
        <f>(L69*10^9)/GJperUnit!$K$2</f>
        <v>155735.8897</v>
      </c>
      <c r="AD69" s="1">
        <f>(M69*10^9)/GJperUnit!$L$2</f>
        <v>189888.0087</v>
      </c>
      <c r="AE69" s="1">
        <f>(N69*10^9)/GJperUnit!$M$2</f>
        <v>226131.1672</v>
      </c>
      <c r="AF69" s="1">
        <f>(O69*10^9)/GJperUnit!$N$2</f>
        <v>263092.6959</v>
      </c>
    </row>
    <row r="70" ht="14.25" customHeight="1">
      <c r="A70" s="1" t="s">
        <v>61</v>
      </c>
      <c r="B70" s="1" t="s">
        <v>26</v>
      </c>
      <c r="C70" s="3">
        <v>0.003944901</v>
      </c>
      <c r="D70" s="3">
        <v>0.00370015399999999</v>
      </c>
      <c r="E70" s="3">
        <v>0.00855628</v>
      </c>
      <c r="F70" s="3">
        <v>0.012441507</v>
      </c>
      <c r="G70" s="3">
        <v>0.013109559</v>
      </c>
      <c r="H70" s="3">
        <v>0.01487347</v>
      </c>
      <c r="I70" s="3">
        <v>0.0148215599999999</v>
      </c>
      <c r="J70" s="3">
        <v>0.01842565</v>
      </c>
      <c r="K70" s="3">
        <v>0.02294139</v>
      </c>
      <c r="L70" s="3">
        <v>0.02994665</v>
      </c>
      <c r="M70" s="3">
        <v>0.03834127</v>
      </c>
      <c r="N70" s="3">
        <v>0.04724865</v>
      </c>
      <c r="O70" s="3">
        <v>0.0557023399999999</v>
      </c>
      <c r="R70" s="1" t="s">
        <v>61</v>
      </c>
      <c r="S70" s="1" t="s">
        <v>26</v>
      </c>
      <c r="T70" s="1">
        <f>(C70*10^9)/GJperUnit!$B$2</f>
        <v>588194.2208</v>
      </c>
      <c r="U70" s="1">
        <f>(D70*10^9)/GJperUnit!$C$2</f>
        <v>551701.8548</v>
      </c>
      <c r="V70" s="1">
        <f>(E70*10^9)/GJperUnit!$D$2</f>
        <v>1275761.913</v>
      </c>
      <c r="W70" s="1">
        <f>(F70*10^9)/GJperUnit!$E$2</f>
        <v>1909879.528</v>
      </c>
      <c r="X70" s="1">
        <f>(G70*10^9)/GJperUnit!$F$2</f>
        <v>2071902.95</v>
      </c>
      <c r="Y70" s="1">
        <f>(H70*10^9)/GJperUnit!$G$2</f>
        <v>2420148.244</v>
      </c>
      <c r="Z70" s="1">
        <f>(I70*10^9)/GJperUnit!$H$2</f>
        <v>2482972.587</v>
      </c>
      <c r="AA70" s="1">
        <f>(J70*10^9)/GJperUnit!$I$2</f>
        <v>3177965.416</v>
      </c>
      <c r="AB70" s="1">
        <f>(K70*10^9)/GJperUnit!$J$2</f>
        <v>4073750.42</v>
      </c>
      <c r="AC70" s="1">
        <f>(L70*10^9)/GJperUnit!$K$2</f>
        <v>5474838.065</v>
      </c>
      <c r="AD70" s="1">
        <f>(M70*10^9)/GJperUnit!$L$2</f>
        <v>7216686.948</v>
      </c>
      <c r="AE70" s="1">
        <f>(N70*10^9)/GJperUnit!$M$2</f>
        <v>9156070.28</v>
      </c>
      <c r="AF70" s="1">
        <f>(O70*10^9)/GJperUnit!$N$2</f>
        <v>11113260.49</v>
      </c>
    </row>
    <row r="71" ht="14.25" customHeight="1">
      <c r="A71" s="1" t="s">
        <v>62</v>
      </c>
      <c r="B71" s="1" t="s">
        <v>26</v>
      </c>
      <c r="C71" s="3">
        <v>3.419304E-5</v>
      </c>
      <c r="D71" s="3">
        <v>1.7542588E-4</v>
      </c>
      <c r="E71" s="3">
        <v>2.662435E-4</v>
      </c>
      <c r="F71" s="3">
        <v>5.19373E-4</v>
      </c>
      <c r="G71" s="3">
        <v>6.194516E-4</v>
      </c>
      <c r="H71" s="3">
        <v>7.094045E-4</v>
      </c>
      <c r="I71" s="3">
        <v>7.81071E-4</v>
      </c>
      <c r="J71" s="3">
        <v>9.18835999999999E-4</v>
      </c>
      <c r="K71" s="3">
        <v>0.001048413</v>
      </c>
      <c r="L71" s="3">
        <v>0.001199185</v>
      </c>
      <c r="M71" s="3">
        <v>0.001333041</v>
      </c>
      <c r="N71" s="3">
        <v>0.001457758</v>
      </c>
      <c r="O71" s="3">
        <v>0.001549357</v>
      </c>
      <c r="R71" s="1" t="s">
        <v>62</v>
      </c>
      <c r="S71" s="1" t="s">
        <v>26</v>
      </c>
      <c r="T71" s="1">
        <f>(C71*10^9)/GJperUnit!$B$2</f>
        <v>5098.264448</v>
      </c>
      <c r="U71" s="1">
        <f>(D71*10^9)/GJperUnit!$C$2</f>
        <v>26156.42035</v>
      </c>
      <c r="V71" s="1">
        <f>(E71*10^9)/GJperUnit!$D$2</f>
        <v>39697.54577</v>
      </c>
      <c r="W71" s="1">
        <f>(F71*10^9)/GJperUnit!$E$2</f>
        <v>79728.27248</v>
      </c>
      <c r="X71" s="1">
        <f>(G71*10^9)/GJperUnit!$F$2</f>
        <v>97901.35561</v>
      </c>
      <c r="Y71" s="1">
        <f>(H71*10^9)/GJperUnit!$G$2</f>
        <v>115431.3052</v>
      </c>
      <c r="Z71" s="1">
        <f>(I71*10^9)/GJperUnit!$H$2</f>
        <v>130848.4317</v>
      </c>
      <c r="AA71" s="1">
        <f>(J71*10^9)/GJperUnit!$I$2</f>
        <v>158476.3105</v>
      </c>
      <c r="AB71" s="1">
        <f>(K71*10^9)/GJperUnit!$J$2</f>
        <v>186168.8808</v>
      </c>
      <c r="AC71" s="1">
        <f>(L71*10^9)/GJperUnit!$K$2</f>
        <v>219234.6618</v>
      </c>
      <c r="AD71" s="1">
        <f>(M71*10^9)/GJperUnit!$L$2</f>
        <v>250908.2142</v>
      </c>
      <c r="AE71" s="1">
        <f>(N71*10^9)/GJperUnit!$M$2</f>
        <v>282491.3452</v>
      </c>
      <c r="AF71" s="1">
        <f>(O71*10^9)/GJperUnit!$N$2</f>
        <v>309114.6249</v>
      </c>
    </row>
    <row r="72" ht="14.25" customHeight="1">
      <c r="A72" s="1" t="s">
        <v>63</v>
      </c>
      <c r="B72" s="1" t="s">
        <v>26</v>
      </c>
      <c r="C72" s="3">
        <v>6.54219E-4</v>
      </c>
      <c r="D72" s="3">
        <v>7.982899E-4</v>
      </c>
      <c r="E72" s="3">
        <v>0.0010376209</v>
      </c>
      <c r="F72" s="3">
        <v>0.0025111605</v>
      </c>
      <c r="G72" s="3">
        <v>0.002311784</v>
      </c>
      <c r="H72" s="3">
        <v>0.002815015</v>
      </c>
      <c r="I72" s="3">
        <v>0.00337057399999999</v>
      </c>
      <c r="J72" s="3">
        <v>0.004664371</v>
      </c>
      <c r="K72" s="3">
        <v>0.0062854</v>
      </c>
      <c r="L72" s="3">
        <v>0.00825474</v>
      </c>
      <c r="M72" s="3">
        <v>0.01059939</v>
      </c>
      <c r="N72" s="3">
        <v>0.01306478</v>
      </c>
      <c r="O72" s="3">
        <v>0.01540589</v>
      </c>
      <c r="R72" s="1" t="s">
        <v>63</v>
      </c>
      <c r="S72" s="1" t="s">
        <v>26</v>
      </c>
      <c r="T72" s="1">
        <f>(C72*10^9)/GJperUnit!$B$2</f>
        <v>97545.62534</v>
      </c>
      <c r="U72" s="1">
        <f>(D72*10^9)/GJperUnit!$C$2</f>
        <v>119026.9428</v>
      </c>
      <c r="V72" s="1">
        <f>(E72*10^9)/GJperUnit!$D$2</f>
        <v>154711.7701</v>
      </c>
      <c r="W72" s="1">
        <f>(F72*10^9)/GJperUnit!$E$2</f>
        <v>385484.9763</v>
      </c>
      <c r="X72" s="1">
        <f>(G72*10^9)/GJperUnit!$F$2</f>
        <v>365366.3781</v>
      </c>
      <c r="Y72" s="1">
        <f>(H72*10^9)/GJperUnit!$G$2</f>
        <v>458047.3561</v>
      </c>
      <c r="Z72" s="1">
        <f>(I72*10^9)/GJperUnit!$H$2</f>
        <v>564653.3054</v>
      </c>
      <c r="AA72" s="1">
        <f>(J72*10^9)/GJperUnit!$I$2</f>
        <v>804487.7508</v>
      </c>
      <c r="AB72" s="1">
        <f>(K72*10^9)/GJperUnit!$J$2</f>
        <v>1116111.573</v>
      </c>
      <c r="AC72" s="1">
        <f>(L72*10^9)/GJperUnit!$K$2</f>
        <v>1509129.227</v>
      </c>
      <c r="AD72" s="1">
        <f>(M72*10^9)/GJperUnit!$L$2</f>
        <v>1995042.926</v>
      </c>
      <c r="AE72" s="1">
        <f>(N72*10^9)/GJperUnit!$M$2</f>
        <v>2531755.804</v>
      </c>
      <c r="AF72" s="1">
        <f>(O72*10^9)/GJperUnit!$N$2</f>
        <v>3073653.076</v>
      </c>
    </row>
    <row r="73" ht="14.25" customHeight="1">
      <c r="A73" s="1" t="s">
        <v>64</v>
      </c>
      <c r="B73" s="1" t="s">
        <v>26</v>
      </c>
      <c r="C73" s="3">
        <v>1.881038E-4</v>
      </c>
      <c r="D73" s="3">
        <v>3.238914E-4</v>
      </c>
      <c r="E73" s="3">
        <v>4.877576E-4</v>
      </c>
      <c r="F73" s="3">
        <v>9.023909E-4</v>
      </c>
      <c r="G73" s="3">
        <v>0.001131818</v>
      </c>
      <c r="H73" s="3">
        <v>0.001388437</v>
      </c>
      <c r="I73" s="3">
        <v>0.00166496899999999</v>
      </c>
      <c r="J73" s="3">
        <v>0.002192343</v>
      </c>
      <c r="K73" s="3">
        <v>0.002797972</v>
      </c>
      <c r="L73" s="3">
        <v>0.003415276</v>
      </c>
      <c r="M73" s="3">
        <v>0.004118135</v>
      </c>
      <c r="N73" s="3">
        <v>0.004884533</v>
      </c>
      <c r="O73" s="3">
        <v>0.005670039</v>
      </c>
      <c r="R73" s="1" t="s">
        <v>64</v>
      </c>
      <c r="S73" s="1" t="s">
        <v>26</v>
      </c>
      <c r="T73" s="1">
        <f>(C73*10^9)/GJperUnit!$B$2</f>
        <v>28046.72869</v>
      </c>
      <c r="U73" s="1">
        <f>(D73*10^9)/GJperUnit!$C$2</f>
        <v>48292.98622</v>
      </c>
      <c r="V73" s="1">
        <f>(E73*10^9)/GJperUnit!$D$2</f>
        <v>72725.8305</v>
      </c>
      <c r="W73" s="1">
        <f>(F73*10^9)/GJperUnit!$E$2</f>
        <v>138524.8512</v>
      </c>
      <c r="X73" s="1">
        <f>(G73*10^9)/GJperUnit!$F$2</f>
        <v>178878.4087</v>
      </c>
      <c r="Y73" s="1">
        <f>(H73*10^9)/GJperUnit!$G$2</f>
        <v>225920.6068</v>
      </c>
      <c r="Z73" s="1">
        <f>(I73*10^9)/GJperUnit!$H$2</f>
        <v>278922.8924</v>
      </c>
      <c r="AA73" s="1">
        <f>(J73*10^9)/GJperUnit!$I$2</f>
        <v>378124.5294</v>
      </c>
      <c r="AB73" s="1">
        <f>(K73*10^9)/GJperUnit!$J$2</f>
        <v>496841.7175</v>
      </c>
      <c r="AC73" s="1">
        <f>(L73*10^9)/GJperUnit!$K$2</f>
        <v>624379.7903</v>
      </c>
      <c r="AD73" s="1">
        <f>(M73*10^9)/GJperUnit!$L$2</f>
        <v>775125.3703</v>
      </c>
      <c r="AE73" s="1">
        <f>(N73*10^9)/GJperUnit!$M$2</f>
        <v>946548.2598</v>
      </c>
      <c r="AF73" s="1">
        <f>(O73*10^9)/GJperUnit!$N$2</f>
        <v>1131238.3</v>
      </c>
    </row>
    <row r="74" ht="14.25" customHeight="1">
      <c r="A74" s="1" t="s">
        <v>65</v>
      </c>
      <c r="B74" s="1" t="s">
        <v>26</v>
      </c>
      <c r="C74" s="3">
        <v>0.004430187</v>
      </c>
      <c r="D74" s="3">
        <v>0.00569452399999999</v>
      </c>
      <c r="E74" s="3">
        <v>0.009233772</v>
      </c>
      <c r="F74" s="3">
        <v>0.015405495</v>
      </c>
      <c r="G74" s="3">
        <v>0.01771491</v>
      </c>
      <c r="H74" s="3">
        <v>0.0206607</v>
      </c>
      <c r="I74" s="3">
        <v>0.02199295</v>
      </c>
      <c r="J74" s="3">
        <v>0.03099939</v>
      </c>
      <c r="K74" s="3">
        <v>0.04308721</v>
      </c>
      <c r="L74" s="3">
        <v>0.05732101</v>
      </c>
      <c r="M74" s="3">
        <v>0.0743133</v>
      </c>
      <c r="N74" s="3">
        <v>0.0933859</v>
      </c>
      <c r="O74" s="3">
        <v>0.1127527</v>
      </c>
      <c r="R74" s="1" t="s">
        <v>65</v>
      </c>
      <c r="S74" s="1" t="s">
        <v>26</v>
      </c>
      <c r="T74" s="1">
        <f>(C74*10^9)/GJperUnit!$B$2</f>
        <v>660551.5298</v>
      </c>
      <c r="U74" s="1">
        <f>(D74*10^9)/GJperUnit!$C$2</f>
        <v>849067.2154</v>
      </c>
      <c r="V74" s="1">
        <f>(E74*10^9)/GJperUnit!$D$2</f>
        <v>1376777.599</v>
      </c>
      <c r="W74" s="1">
        <f>(F74*10^9)/GJperUnit!$E$2</f>
        <v>2364877.464</v>
      </c>
      <c r="X74" s="1">
        <f>(G74*10^9)/GJperUnit!$F$2</f>
        <v>2799756.597</v>
      </c>
      <c r="Y74" s="1">
        <f>(H74*10^9)/GJperUnit!$G$2</f>
        <v>3361821.877</v>
      </c>
      <c r="Z74" s="1">
        <f>(I74*10^9)/GJperUnit!$H$2</f>
        <v>3684355.221</v>
      </c>
      <c r="AA74" s="1">
        <f>(J74*10^9)/GJperUnit!$I$2</f>
        <v>5346622.2</v>
      </c>
      <c r="AB74" s="1">
        <f>(K74*10^9)/GJperUnit!$J$2</f>
        <v>7651085.651</v>
      </c>
      <c r="AC74" s="1">
        <f>(L74*10^9)/GJperUnit!$K$2</f>
        <v>10479410.8</v>
      </c>
      <c r="AD74" s="1">
        <f>(M74*10^9)/GJperUnit!$L$2</f>
        <v>13987429.79</v>
      </c>
      <c r="AE74" s="1">
        <f>(N74*10^9)/GJperUnit!$M$2</f>
        <v>18096768.13</v>
      </c>
      <c r="AF74" s="1">
        <f>(O74*10^9)/GJperUnit!$N$2</f>
        <v>22495466.55</v>
      </c>
    </row>
    <row r="75" ht="14.25" customHeight="1">
      <c r="A75" s="1" t="s">
        <v>66</v>
      </c>
      <c r="B75" s="1" t="s">
        <v>26</v>
      </c>
      <c r="C75" s="3">
        <v>0.002425799</v>
      </c>
      <c r="D75" s="3">
        <v>0.00346875299999999</v>
      </c>
      <c r="E75" s="3">
        <v>0.003501758</v>
      </c>
      <c r="F75" s="3">
        <v>0.00489124</v>
      </c>
      <c r="G75" s="3">
        <v>0.005262183</v>
      </c>
      <c r="H75" s="3">
        <v>0.006066028</v>
      </c>
      <c r="I75" s="3">
        <v>0.00611774</v>
      </c>
      <c r="J75" s="3">
        <v>0.00856679</v>
      </c>
      <c r="K75" s="3">
        <v>0.0116746099999999</v>
      </c>
      <c r="L75" s="3">
        <v>0.0153576</v>
      </c>
      <c r="M75" s="3">
        <v>0.01974716</v>
      </c>
      <c r="N75" s="3">
        <v>0.02478154</v>
      </c>
      <c r="O75" s="3">
        <v>0.0301674799999999</v>
      </c>
      <c r="R75" s="1" t="s">
        <v>66</v>
      </c>
      <c r="S75" s="1" t="s">
        <v>26</v>
      </c>
      <c r="T75" s="1">
        <f>(C75*10^9)/GJperUnit!$B$2</f>
        <v>361692.4614</v>
      </c>
      <c r="U75" s="1">
        <f>(D75*10^9)/GJperUnit!$C$2</f>
        <v>517199.4096</v>
      </c>
      <c r="V75" s="1">
        <f>(E75*10^9)/GJperUnit!$D$2</f>
        <v>522120.5344</v>
      </c>
      <c r="W75" s="1">
        <f>(F75*10^9)/GJperUnit!$E$2</f>
        <v>750847.879</v>
      </c>
      <c r="X75" s="1">
        <f>(G75*10^9)/GJperUnit!$F$2</f>
        <v>831662.7952</v>
      </c>
      <c r="Y75" s="1">
        <f>(H75*10^9)/GJperUnit!$G$2</f>
        <v>987038.4661</v>
      </c>
      <c r="Z75" s="1">
        <f>(I75*10^9)/GJperUnit!$H$2</f>
        <v>1024870.575</v>
      </c>
      <c r="AA75" s="1">
        <f>(J75*10^9)/GJperUnit!$I$2</f>
        <v>1477557.771</v>
      </c>
      <c r="AB75" s="1">
        <f>(K75*10^9)/GJperUnit!$J$2</f>
        <v>2073084.821</v>
      </c>
      <c r="AC75" s="1">
        <f>(L75*10^9)/GJperUnit!$K$2</f>
        <v>2807672.079</v>
      </c>
      <c r="AD75" s="1">
        <f>(M75*10^9)/GJperUnit!$L$2</f>
        <v>3716858.41</v>
      </c>
      <c r="AE75" s="1">
        <f>(N75*10^9)/GJperUnit!$M$2</f>
        <v>4802285.82</v>
      </c>
      <c r="AF75" s="1">
        <f>(O75*10^9)/GJperUnit!$N$2</f>
        <v>6018760.857</v>
      </c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86"/>
    <col customWidth="1" hidden="1" min="3" max="4" width="8.71"/>
    <col customWidth="1" min="5" max="15" width="8.71"/>
    <col customWidth="1" min="16" max="18" width="19.71"/>
    <col customWidth="1" min="19" max="27" width="8.71"/>
  </cols>
  <sheetData>
    <row r="1" ht="14.25" customHeight="1">
      <c r="A1" s="1" t="s">
        <v>2</v>
      </c>
      <c r="B1" s="1" t="s">
        <v>4</v>
      </c>
      <c r="C1" s="1">
        <v>2010.0</v>
      </c>
      <c r="D1" s="1">
        <v>2015.0</v>
      </c>
      <c r="E1" s="1">
        <v>2020.0</v>
      </c>
      <c r="F1" s="1">
        <v>2025.0</v>
      </c>
      <c r="G1" s="1">
        <v>2030.0</v>
      </c>
      <c r="H1" s="1">
        <v>2035.0</v>
      </c>
      <c r="I1" s="1">
        <v>2040.0</v>
      </c>
      <c r="J1" s="1">
        <v>2045.0</v>
      </c>
      <c r="K1" s="1">
        <v>2050.0</v>
      </c>
      <c r="L1" s="1">
        <v>2055.0</v>
      </c>
      <c r="M1" s="1">
        <v>2060.0</v>
      </c>
      <c r="N1" s="1">
        <v>2065.0</v>
      </c>
      <c r="O1" s="1">
        <v>2070.0</v>
      </c>
      <c r="P1" s="5" t="s">
        <v>77</v>
      </c>
      <c r="Q1" s="5" t="s">
        <v>78</v>
      </c>
      <c r="R1" s="5" t="s">
        <v>79</v>
      </c>
      <c r="S1" s="5" t="s">
        <v>80</v>
      </c>
    </row>
    <row r="2" ht="14.25" hidden="1" customHeight="1">
      <c r="A2" s="1" t="s">
        <v>6</v>
      </c>
      <c r="B2" s="1" t="s">
        <v>23</v>
      </c>
      <c r="C2" s="6">
        <f>'Final AC Units'!T2/FinalHHSize!T2</f>
        <v>0.06473376325</v>
      </c>
      <c r="D2" s="6">
        <f>'Final AC Units'!U2/FinalHHSize!U2</f>
        <v>0.0366904281</v>
      </c>
      <c r="E2" s="6">
        <f>'Final AC Units'!V2/FinalHHSize!V2</f>
        <v>0.042126626</v>
      </c>
      <c r="F2" s="6">
        <f>'Final AC Units'!W2/FinalHHSize!W2</f>
        <v>0.08624371965</v>
      </c>
      <c r="G2" s="6">
        <f>'Final AC Units'!X2/FinalHHSize!X2</f>
        <v>0.05902047942</v>
      </c>
      <c r="H2" s="6">
        <f>'Final AC Units'!Y2/FinalHHSize!Y2</f>
        <v>0.06717896595</v>
      </c>
      <c r="I2" s="6">
        <f>'Final AC Units'!Z2/FinalHHSize!Z2</f>
        <v>0.06903182064</v>
      </c>
      <c r="J2" s="6">
        <f>'Final AC Units'!AA2/FinalHHSize!AA2</f>
        <v>0.06890775555</v>
      </c>
      <c r="K2" s="6">
        <f>'Final AC Units'!AB2/FinalHHSize!AB2</f>
        <v>0.07025096978</v>
      </c>
      <c r="L2" s="6">
        <f>'Final AC Units'!AC2/FinalHHSize!AC2</f>
        <v>0.07991206077</v>
      </c>
      <c r="M2" s="6">
        <f>'Final AC Units'!AD2/FinalHHSize!AD2</f>
        <v>0.0900106033</v>
      </c>
      <c r="N2" s="6">
        <f>'Final AC Units'!AE2/FinalHHSize!AE2</f>
        <v>0.1008186368</v>
      </c>
      <c r="O2" s="6">
        <f>'Final AC Units'!AF2/FinalHHSize!AF2</f>
        <v>0.1095439332</v>
      </c>
    </row>
    <row r="3" ht="14.25" hidden="1" customHeight="1">
      <c r="A3" s="1" t="s">
        <v>30</v>
      </c>
      <c r="B3" s="1" t="s">
        <v>23</v>
      </c>
      <c r="C3" s="6">
        <f>'Final AC Units'!T3/FinalHHSize!T3</f>
        <v>0.008940141057</v>
      </c>
      <c r="D3" s="6">
        <f>'Final AC Units'!U3/FinalHHSize!U3</f>
        <v>0.008363226302</v>
      </c>
      <c r="E3" s="6">
        <f>'Final AC Units'!V3/FinalHHSize!V3</f>
        <v>0.01285792608</v>
      </c>
      <c r="F3" s="6">
        <f>'Final AC Units'!W3/FinalHHSize!W3</f>
        <v>0.04245565484</v>
      </c>
      <c r="G3" s="6">
        <f>'Final AC Units'!X3/FinalHHSize!X3</f>
        <v>0.02768612127</v>
      </c>
      <c r="H3" s="6">
        <f>'Final AC Units'!Y3/FinalHHSize!Y3</f>
        <v>0.03336131131</v>
      </c>
      <c r="I3" s="6">
        <f>'Final AC Units'!Z3/FinalHHSize!Z3</f>
        <v>0.03872319926</v>
      </c>
      <c r="J3" s="6">
        <f>'Final AC Units'!AA3/FinalHHSize!AA3</f>
        <v>0.04269731009</v>
      </c>
      <c r="K3" s="6">
        <f>'Final AC Units'!AB3/FinalHHSize!AB3</f>
        <v>0.04513748341</v>
      </c>
      <c r="L3" s="6">
        <f>'Final AC Units'!AC3/FinalHHSize!AC3</f>
        <v>0.05218500813</v>
      </c>
      <c r="M3" s="6">
        <f>'Final AC Units'!AD3/FinalHHSize!AD3</f>
        <v>0.05857125972</v>
      </c>
      <c r="N3" s="6">
        <f>'Final AC Units'!AE3/FinalHHSize!AE3</f>
        <v>0.0651611673</v>
      </c>
      <c r="O3" s="6">
        <f>'Final AC Units'!AF3/FinalHHSize!AF3</f>
        <v>0.06973178923</v>
      </c>
    </row>
    <row r="4" ht="14.25" hidden="1" customHeight="1">
      <c r="A4" s="1" t="s">
        <v>32</v>
      </c>
      <c r="B4" s="1" t="s">
        <v>23</v>
      </c>
      <c r="C4" s="6">
        <f>'Final AC Units'!T4/FinalHHSize!T4</f>
        <v>0.01688964253</v>
      </c>
      <c r="D4" s="6">
        <f>'Final AC Units'!U4/FinalHHSize!U4</f>
        <v>0.06522169051</v>
      </c>
      <c r="E4" s="6">
        <f>'Final AC Units'!V4/FinalHHSize!V4</f>
        <v>0.1236003067</v>
      </c>
      <c r="F4" s="6">
        <f>'Final AC Units'!W4/FinalHHSize!W4</f>
        <v>0.2056100695</v>
      </c>
      <c r="G4" s="6">
        <f>'Final AC Units'!X4/FinalHHSize!X4</f>
        <v>0.1669228621</v>
      </c>
      <c r="H4" s="6">
        <f>'Final AC Units'!Y4/FinalHHSize!Y4</f>
        <v>0.1702878888</v>
      </c>
      <c r="I4" s="6">
        <f>'Final AC Units'!Z4/FinalHHSize!Z4</f>
        <v>0.1633494591</v>
      </c>
      <c r="J4" s="6">
        <f>'Final AC Units'!AA4/FinalHHSize!AA4</f>
        <v>0.1586268817</v>
      </c>
      <c r="K4" s="6">
        <f>'Final AC Units'!AB4/FinalHHSize!AB4</f>
        <v>0.157169975</v>
      </c>
      <c r="L4" s="6">
        <f>'Final AC Units'!AC4/FinalHHSize!AC4</f>
        <v>0.1580107113</v>
      </c>
      <c r="M4" s="6">
        <f>'Final AC Units'!AD4/FinalHHSize!AD4</f>
        <v>0.1598991498</v>
      </c>
      <c r="N4" s="6">
        <f>'Final AC Units'!AE4/FinalHHSize!AE4</f>
        <v>0.1621026893</v>
      </c>
      <c r="O4" s="6">
        <f>'Final AC Units'!AF4/FinalHHSize!AF4</f>
        <v>0.1600241051</v>
      </c>
    </row>
    <row r="5" ht="14.25" hidden="1" customHeight="1">
      <c r="A5" s="1" t="s">
        <v>33</v>
      </c>
      <c r="B5" s="1" t="s">
        <v>23</v>
      </c>
      <c r="C5" s="6">
        <f>'Final AC Units'!T5/FinalHHSize!T5</f>
        <v>0.0009965123954</v>
      </c>
      <c r="D5" s="6">
        <f>'Final AC Units'!U5/FinalHHSize!U5</f>
        <v>0.00425288718</v>
      </c>
      <c r="E5" s="6">
        <f>'Final AC Units'!V5/FinalHHSize!V5</f>
        <v>0.007466675198</v>
      </c>
      <c r="F5" s="6">
        <f>'Final AC Units'!W5/FinalHHSize!W5</f>
        <v>0.01378514743</v>
      </c>
      <c r="G5" s="6">
        <f>'Final AC Units'!X5/FinalHHSize!X5</f>
        <v>0.01303825055</v>
      </c>
      <c r="H5" s="6">
        <f>'Final AC Units'!Y5/FinalHHSize!Y5</f>
        <v>0.0129981905</v>
      </c>
      <c r="I5" s="6">
        <f>'Final AC Units'!Z5/FinalHHSize!Z5</f>
        <v>0.01184985468</v>
      </c>
      <c r="J5" s="6">
        <f>'Final AC Units'!AA5/FinalHHSize!AA5</f>
        <v>0.01132455441</v>
      </c>
      <c r="K5" s="6">
        <f>'Final AC Units'!AB5/FinalHHSize!AB5</f>
        <v>0.01095942126</v>
      </c>
      <c r="L5" s="6">
        <f>'Final AC Units'!AC5/FinalHHSize!AC5</f>
        <v>0.01074057274</v>
      </c>
      <c r="M5" s="6">
        <f>'Final AC Units'!AD5/FinalHHSize!AD5</f>
        <v>0.01066076505</v>
      </c>
      <c r="N5" s="6">
        <f>'Final AC Units'!AE5/FinalHHSize!AE5</f>
        <v>0.01064760222</v>
      </c>
      <c r="O5" s="6">
        <f>'Final AC Units'!AF5/FinalHHSize!AF5</f>
        <v>0.01039497845</v>
      </c>
    </row>
    <row r="6" ht="14.25" hidden="1" customHeight="1">
      <c r="A6" s="1" t="s">
        <v>34</v>
      </c>
      <c r="B6" s="1" t="s">
        <v>23</v>
      </c>
      <c r="C6" s="6">
        <f>'Final AC Units'!T6/FinalHHSize!T6</f>
        <v>0.0001137830247</v>
      </c>
      <c r="D6" s="6">
        <f>'Final AC Units'!U6/FinalHHSize!U6</f>
        <v>0.000194266245</v>
      </c>
      <c r="E6" s="6">
        <f>'Final AC Units'!V6/FinalHHSize!V6</f>
        <v>0.0003060286357</v>
      </c>
      <c r="F6" s="6">
        <f>'Final AC Units'!W6/FinalHHSize!W6</f>
        <v>0.000937902732</v>
      </c>
      <c r="G6" s="6">
        <f>'Final AC Units'!X6/FinalHHSize!X6</f>
        <v>0.001107219409</v>
      </c>
      <c r="H6" s="6">
        <f>'Final AC Units'!Y6/FinalHHSize!Y6</f>
        <v>0.001375070708</v>
      </c>
      <c r="I6" s="6">
        <f>'Final AC Units'!Z6/FinalHHSize!Z6</f>
        <v>0.001782695311</v>
      </c>
      <c r="J6" s="6">
        <f>'Final AC Units'!AA6/FinalHHSize!AA6</f>
        <v>0.002234585539</v>
      </c>
      <c r="K6" s="6">
        <f>'Final AC Units'!AB6/FinalHHSize!AB6</f>
        <v>0.002743329032</v>
      </c>
      <c r="L6" s="6">
        <f>'Final AC Units'!AC6/FinalHHSize!AC6</f>
        <v>0.003128527099</v>
      </c>
      <c r="M6" s="6">
        <f>'Final AC Units'!AD6/FinalHHSize!AD6</f>
        <v>0.003500134324</v>
      </c>
      <c r="N6" s="6">
        <f>'Final AC Units'!AE6/FinalHHSize!AE6</f>
        <v>0.003856390865</v>
      </c>
      <c r="O6" s="6">
        <f>'Final AC Units'!AF6/FinalHHSize!AF6</f>
        <v>0.004096290826</v>
      </c>
    </row>
    <row r="7" ht="14.25" hidden="1" customHeight="1">
      <c r="A7" s="1" t="s">
        <v>35</v>
      </c>
      <c r="B7" s="1" t="s">
        <v>23</v>
      </c>
      <c r="C7" s="6">
        <f>'Final AC Units'!T7/FinalHHSize!T7</f>
        <v>0.001148563091</v>
      </c>
      <c r="D7" s="6">
        <f>'Final AC Units'!U7/FinalHHSize!U7</f>
        <v>0.00549531853</v>
      </c>
      <c r="E7" s="6">
        <f>'Final AC Units'!V7/FinalHHSize!V7</f>
        <v>0.003990659257</v>
      </c>
      <c r="F7" s="6">
        <f>'Final AC Units'!W7/FinalHHSize!W7</f>
        <v>0.006897962675</v>
      </c>
      <c r="G7" s="6">
        <f>'Final AC Units'!X7/FinalHHSize!X7</f>
        <v>0.00666271499</v>
      </c>
      <c r="H7" s="6">
        <f>'Final AC Units'!Y7/FinalHHSize!Y7</f>
        <v>0.006985283518</v>
      </c>
      <c r="I7" s="6">
        <f>'Final AC Units'!Z7/FinalHHSize!Z7</f>
        <v>0.009517171047</v>
      </c>
      <c r="J7" s="6">
        <f>'Final AC Units'!AA7/FinalHHSize!AA7</f>
        <v>0.01206861498</v>
      </c>
      <c r="K7" s="6">
        <f>'Final AC Units'!AB7/FinalHHSize!AB7</f>
        <v>0.01483367126</v>
      </c>
      <c r="L7" s="6">
        <f>'Final AC Units'!AC7/FinalHHSize!AC7</f>
        <v>0.01818271487</v>
      </c>
      <c r="M7" s="6">
        <f>'Final AC Units'!AD7/FinalHHSize!AD7</f>
        <v>0.02180691837</v>
      </c>
      <c r="N7" s="6">
        <f>'Final AC Units'!AE7/FinalHHSize!AE7</f>
        <v>0.02574854629</v>
      </c>
      <c r="O7" s="6">
        <f>'Final AC Units'!AF7/FinalHHSize!AF7</f>
        <v>0.02928736132</v>
      </c>
    </row>
    <row r="8" ht="14.25" hidden="1" customHeight="1">
      <c r="A8" s="1" t="s">
        <v>36</v>
      </c>
      <c r="B8" s="1" t="s">
        <v>23</v>
      </c>
      <c r="C8" s="6">
        <f>'Final AC Units'!T8/FinalHHSize!T8</f>
        <v>2.83663626</v>
      </c>
      <c r="D8" s="6">
        <f>'Final AC Units'!U8/FinalHHSize!U8</f>
        <v>4.55704658</v>
      </c>
      <c r="E8" s="6">
        <f>'Final AC Units'!V8/FinalHHSize!V8</f>
        <v>2.145068097</v>
      </c>
      <c r="F8" s="6">
        <f>'Final AC Units'!W8/FinalHHSize!W8</f>
        <v>4.203927348</v>
      </c>
      <c r="G8" s="6">
        <f>'Final AC Units'!X8/FinalHHSize!X8</f>
        <v>4.981484384</v>
      </c>
      <c r="H8" s="6">
        <f>'Final AC Units'!Y8/FinalHHSize!Y8</f>
        <v>6.240738478</v>
      </c>
      <c r="I8" s="6">
        <f>'Final AC Units'!Z8/FinalHHSize!Z8</f>
        <v>7.05451595</v>
      </c>
      <c r="J8" s="6">
        <f>'Final AC Units'!AA8/FinalHHSize!AA8</f>
        <v>8.300643597</v>
      </c>
      <c r="K8" s="6">
        <f>'Final AC Units'!AB8/FinalHHSize!AB8</f>
        <v>9.739512512</v>
      </c>
      <c r="L8" s="6">
        <f>'Final AC Units'!AC8/FinalHHSize!AC8</f>
        <v>11.48741545</v>
      </c>
      <c r="M8" s="6">
        <f>'Final AC Units'!AD8/FinalHHSize!AD8</f>
        <v>13.52779942</v>
      </c>
      <c r="N8" s="6">
        <f>'Final AC Units'!AE8/FinalHHSize!AE8</f>
        <v>15.90047375</v>
      </c>
      <c r="O8" s="6">
        <f>'Final AC Units'!AF8/FinalHHSize!AF8</f>
        <v>17.98544505</v>
      </c>
    </row>
    <row r="9" ht="14.25" hidden="1" customHeight="1">
      <c r="A9" s="1" t="s">
        <v>37</v>
      </c>
      <c r="B9" s="1" t="s">
        <v>23</v>
      </c>
      <c r="C9" s="6">
        <f>'Final AC Units'!T9/FinalHHSize!T9</f>
        <v>0.234375328</v>
      </c>
      <c r="D9" s="6">
        <f>'Final AC Units'!U9/FinalHHSize!U9</f>
        <v>1.092024995</v>
      </c>
      <c r="E9" s="6">
        <f>'Final AC Units'!V9/FinalHHSize!V9</f>
        <v>3.282579017</v>
      </c>
      <c r="F9" s="6">
        <f>'Final AC Units'!W9/FinalHHSize!W9</f>
        <v>0.9128740222</v>
      </c>
      <c r="G9" s="6">
        <f>'Final AC Units'!X9/FinalHHSize!X9</f>
        <v>0.7522878866</v>
      </c>
      <c r="H9" s="6">
        <f>'Final AC Units'!Y9/FinalHHSize!Y9</f>
        <v>0.7259727389</v>
      </c>
      <c r="I9" s="6">
        <f>'Final AC Units'!Z9/FinalHHSize!Z9</f>
        <v>0.4741793977</v>
      </c>
      <c r="J9" s="6">
        <f>'Final AC Units'!AA9/FinalHHSize!AA9</f>
        <v>0.5811273645</v>
      </c>
      <c r="K9" s="6">
        <f>'Final AC Units'!AB9/FinalHHSize!AB9</f>
        <v>0.6779217987</v>
      </c>
      <c r="L9" s="6">
        <f>'Final AC Units'!AC9/FinalHHSize!AC9</f>
        <v>0.8352097243</v>
      </c>
      <c r="M9" s="6">
        <f>'Final AC Units'!AD9/FinalHHSize!AD9</f>
        <v>1.002660295</v>
      </c>
      <c r="N9" s="6">
        <f>'Final AC Units'!AE9/FinalHHSize!AE9</f>
        <v>1.186328418</v>
      </c>
      <c r="O9" s="6">
        <f>'Final AC Units'!AF9/FinalHHSize!AF9</f>
        <v>1.356233362</v>
      </c>
    </row>
    <row r="10" ht="14.25" hidden="1" customHeight="1">
      <c r="A10" s="1" t="s">
        <v>38</v>
      </c>
      <c r="B10" s="1" t="s">
        <v>23</v>
      </c>
      <c r="C10" s="6">
        <f>'Final AC Units'!T10/FinalHHSize!T10</f>
        <v>3.311477305</v>
      </c>
      <c r="D10" s="6">
        <f>'Final AC Units'!U10/FinalHHSize!U10</f>
        <v>6.185095724</v>
      </c>
      <c r="E10" s="6">
        <f>'Final AC Units'!V10/FinalHHSize!V10</f>
        <v>9.793992832</v>
      </c>
      <c r="F10" s="6">
        <f>'Final AC Units'!W10/FinalHHSize!W10</f>
        <v>3.047332179</v>
      </c>
      <c r="G10" s="6">
        <f>'Final AC Units'!X10/FinalHHSize!X10</f>
        <v>2.678761184</v>
      </c>
      <c r="H10" s="6">
        <f>'Final AC Units'!Y10/FinalHHSize!Y10</f>
        <v>3.177848019</v>
      </c>
      <c r="I10" s="6">
        <f>'Final AC Units'!Z10/FinalHHSize!Z10</f>
        <v>3.457866623</v>
      </c>
      <c r="J10" s="6">
        <f>'Final AC Units'!AA10/FinalHHSize!AA10</f>
        <v>4.086724501</v>
      </c>
      <c r="K10" s="6">
        <f>'Final AC Units'!AB10/FinalHHSize!AB10</f>
        <v>4.777082873</v>
      </c>
      <c r="L10" s="6">
        <f>'Final AC Units'!AC10/FinalHHSize!AC10</f>
        <v>5.553873186</v>
      </c>
      <c r="M10" s="6">
        <f>'Final AC Units'!AD10/FinalHHSize!AD10</f>
        <v>6.412543496</v>
      </c>
      <c r="N10" s="6">
        <f>'Final AC Units'!AE10/FinalHHSize!AE10</f>
        <v>7.376597261</v>
      </c>
      <c r="O10" s="6">
        <f>'Final AC Units'!AF10/FinalHHSize!AF10</f>
        <v>8.152961025</v>
      </c>
    </row>
    <row r="11" ht="14.25" hidden="1" customHeight="1">
      <c r="A11" s="1" t="s">
        <v>39</v>
      </c>
      <c r="B11" s="1" t="s">
        <v>23</v>
      </c>
      <c r="C11" s="6">
        <f>'Final AC Units'!T11/FinalHHSize!T11</f>
        <v>0.05960028008</v>
      </c>
      <c r="D11" s="6">
        <f>'Final AC Units'!U11/FinalHHSize!U11</f>
        <v>0.3192202674</v>
      </c>
      <c r="E11" s="6">
        <f>'Final AC Units'!V11/FinalHHSize!V11</f>
        <v>0.4716384841</v>
      </c>
      <c r="F11" s="6">
        <f>'Final AC Units'!W11/FinalHHSize!W11</f>
        <v>0.2244442921</v>
      </c>
      <c r="G11" s="6">
        <f>'Final AC Units'!X11/FinalHHSize!X11</f>
        <v>0.1906467612</v>
      </c>
      <c r="H11" s="6">
        <f>'Final AC Units'!Y11/FinalHHSize!Y11</f>
        <v>0.1919223854</v>
      </c>
      <c r="I11" s="6">
        <f>'Final AC Units'!Z11/FinalHHSize!Z11</f>
        <v>0.2018920228</v>
      </c>
      <c r="J11" s="6">
        <f>'Final AC Units'!AA11/FinalHHSize!AA11</f>
        <v>0.07921421529</v>
      </c>
      <c r="K11" s="6">
        <f>'Final AC Units'!AB11/FinalHHSize!AB11</f>
        <v>0.1234904295</v>
      </c>
      <c r="L11" s="6">
        <f>'Final AC Units'!AC11/FinalHHSize!AC11</f>
        <v>0.213401448</v>
      </c>
      <c r="M11" s="6">
        <f>'Final AC Units'!AD11/FinalHHSize!AD11</f>
        <v>0.3052199838</v>
      </c>
      <c r="N11" s="6">
        <f>'Final AC Units'!AE11/FinalHHSize!AE11</f>
        <v>0.3725439682</v>
      </c>
      <c r="O11" s="6">
        <f>'Final AC Units'!AF11/FinalHHSize!AF11</f>
        <v>0.4347487896</v>
      </c>
    </row>
    <row r="12" ht="14.25" hidden="1" customHeight="1">
      <c r="A12" s="1" t="s">
        <v>40</v>
      </c>
      <c r="B12" s="1" t="s">
        <v>23</v>
      </c>
      <c r="C12" s="6">
        <f>'Final AC Units'!T12/FinalHHSize!T12</f>
        <v>0.1400221374</v>
      </c>
      <c r="D12" s="6">
        <f>'Final AC Units'!U12/FinalHHSize!U12</f>
        <v>4.64008569</v>
      </c>
      <c r="E12" s="6">
        <f>'Final AC Units'!V12/FinalHHSize!V12</f>
        <v>0.4811881742</v>
      </c>
      <c r="F12" s="6">
        <f>'Final AC Units'!W12/FinalHHSize!W12</f>
        <v>0.1724996628</v>
      </c>
      <c r="G12" s="6">
        <f>'Final AC Units'!X12/FinalHHSize!X12</f>
        <v>0.08376402804</v>
      </c>
      <c r="H12" s="6">
        <f>'Final AC Units'!Y12/FinalHHSize!Y12</f>
        <v>0.06451230842</v>
      </c>
      <c r="I12" s="6">
        <f>'Final AC Units'!Z12/FinalHHSize!Z12</f>
        <v>0.02749377148</v>
      </c>
      <c r="J12" s="6">
        <f>'Final AC Units'!AA12/FinalHHSize!AA12</f>
        <v>0.03265392461</v>
      </c>
      <c r="K12" s="6">
        <f>'Final AC Units'!AB12/FinalHHSize!AB12</f>
        <v>0.04326247427</v>
      </c>
      <c r="L12" s="6">
        <f>'Final AC Units'!AC12/FinalHHSize!AC12</f>
        <v>0.05874808156</v>
      </c>
      <c r="M12" s="6">
        <f>'Final AC Units'!AD12/FinalHHSize!AD12</f>
        <v>0.06890858409</v>
      </c>
      <c r="N12" s="6">
        <f>'Final AC Units'!AE12/FinalHHSize!AE12</f>
        <v>0.07977772184</v>
      </c>
      <c r="O12" s="6">
        <f>'Final AC Units'!AF12/FinalHHSize!AF12</f>
        <v>0.08966583192</v>
      </c>
    </row>
    <row r="13" ht="14.25" hidden="1" customHeight="1">
      <c r="A13" s="1" t="s">
        <v>41</v>
      </c>
      <c r="B13" s="1" t="s">
        <v>23</v>
      </c>
      <c r="C13" s="6">
        <f>'Final AC Units'!T13/FinalHHSize!T13</f>
        <v>0.00479904997</v>
      </c>
      <c r="D13" s="6">
        <f>'Final AC Units'!U13/FinalHHSize!U13</f>
        <v>0.009678100235</v>
      </c>
      <c r="E13" s="6">
        <f>'Final AC Units'!V13/FinalHHSize!V13</f>
        <v>0.009337846892</v>
      </c>
      <c r="F13" s="6">
        <f>'Final AC Units'!W13/FinalHHSize!W13</f>
        <v>0.01913089987</v>
      </c>
      <c r="G13" s="6">
        <f>'Final AC Units'!X13/FinalHHSize!X13</f>
        <v>0.01919788455</v>
      </c>
      <c r="H13" s="6">
        <f>'Final AC Units'!Y13/FinalHHSize!Y13</f>
        <v>0.02279573494</v>
      </c>
      <c r="I13" s="6">
        <f>'Final AC Units'!Z13/FinalHHSize!Z13</f>
        <v>0.02866045165</v>
      </c>
      <c r="J13" s="6">
        <f>'Final AC Units'!AA13/FinalHHSize!AA13</f>
        <v>0.03197076123</v>
      </c>
      <c r="K13" s="6">
        <f>'Final AC Units'!AB13/FinalHHSize!AB13</f>
        <v>0.03430325691</v>
      </c>
      <c r="L13" s="6">
        <f>'Final AC Units'!AC13/FinalHHSize!AC13</f>
        <v>0.04071288448</v>
      </c>
      <c r="M13" s="6">
        <f>'Final AC Units'!AD13/FinalHHSize!AD13</f>
        <v>0.0487274625</v>
      </c>
      <c r="N13" s="6">
        <f>'Final AC Units'!AE13/FinalHHSize!AE13</f>
        <v>0.05741164963</v>
      </c>
      <c r="O13" s="6">
        <f>'Final AC Units'!AF13/FinalHHSize!AF13</f>
        <v>0.06488232437</v>
      </c>
    </row>
    <row r="14" ht="14.25" hidden="1" customHeight="1">
      <c r="A14" s="1" t="s">
        <v>42</v>
      </c>
      <c r="B14" s="1" t="s">
        <v>23</v>
      </c>
      <c r="C14" s="6">
        <f>'Final AC Units'!T14/FinalHHSize!T14</f>
        <v>0.007304512022</v>
      </c>
      <c r="D14" s="6">
        <f>'Final AC Units'!U14/FinalHHSize!U14</f>
        <v>0.01954696644</v>
      </c>
      <c r="E14" s="6">
        <f>'Final AC Units'!V14/FinalHHSize!V14</f>
        <v>0.04571145173</v>
      </c>
      <c r="F14" s="6">
        <f>'Final AC Units'!W14/FinalHHSize!W14</f>
        <v>0.08172429237</v>
      </c>
      <c r="G14" s="6">
        <f>'Final AC Units'!X14/FinalHHSize!X14</f>
        <v>0.0940181775</v>
      </c>
      <c r="H14" s="6">
        <f>'Final AC Units'!Y14/FinalHHSize!Y14</f>
        <v>0.1107351977</v>
      </c>
      <c r="I14" s="6">
        <f>'Final AC Units'!Z14/FinalHHSize!Z14</f>
        <v>0.1246872602</v>
      </c>
      <c r="J14" s="6">
        <f>'Final AC Units'!AA14/FinalHHSize!AA14</f>
        <v>0.1340122448</v>
      </c>
      <c r="K14" s="6">
        <f>'Final AC Units'!AB14/FinalHHSize!AB14</f>
        <v>0.143406913</v>
      </c>
      <c r="L14" s="6">
        <f>'Final AC Units'!AC14/FinalHHSize!AC14</f>
        <v>0.1533998364</v>
      </c>
      <c r="M14" s="6">
        <f>'Final AC Units'!AD14/FinalHHSize!AD14</f>
        <v>0.1635196217</v>
      </c>
      <c r="N14" s="6">
        <f>'Final AC Units'!AE14/FinalHHSize!AE14</f>
        <v>0.1739370081</v>
      </c>
      <c r="O14" s="6">
        <f>'Final AC Units'!AF14/FinalHHSize!AF14</f>
        <v>0.1783989514</v>
      </c>
    </row>
    <row r="15" ht="14.25" hidden="1" customHeight="1">
      <c r="A15" s="1" t="s">
        <v>43</v>
      </c>
      <c r="B15" s="1" t="s">
        <v>23</v>
      </c>
      <c r="C15" s="6">
        <f>'Final AC Units'!T15/FinalHHSize!T15</f>
        <v>0.01478175154</v>
      </c>
      <c r="D15" s="6">
        <f>'Final AC Units'!U15/FinalHHSize!U15</f>
        <v>0.0178627826</v>
      </c>
      <c r="E15" s="6">
        <f>'Final AC Units'!V15/FinalHHSize!V15</f>
        <v>0.03721626319</v>
      </c>
      <c r="F15" s="6">
        <f>'Final AC Units'!W15/FinalHHSize!W15</f>
        <v>0.1105356934</v>
      </c>
      <c r="G15" s="6">
        <f>'Final AC Units'!X15/FinalHHSize!X15</f>
        <v>0.1745445021</v>
      </c>
      <c r="H15" s="6">
        <f>'Final AC Units'!Y15/FinalHHSize!Y15</f>
        <v>0.2359684539</v>
      </c>
      <c r="I15" s="6">
        <f>'Final AC Units'!Z15/FinalHHSize!Z15</f>
        <v>0.2912739802</v>
      </c>
      <c r="J15" s="6">
        <f>'Final AC Units'!AA15/FinalHHSize!AA15</f>
        <v>0.3050403982</v>
      </c>
      <c r="K15" s="6">
        <f>'Final AC Units'!AB15/FinalHHSize!AB15</f>
        <v>0.3052906158</v>
      </c>
      <c r="L15" s="6">
        <f>'Final AC Units'!AC15/FinalHHSize!AC15</f>
        <v>0.3347681466</v>
      </c>
      <c r="M15" s="6">
        <f>'Final AC Units'!AD15/FinalHHSize!AD15</f>
        <v>0.3638970692</v>
      </c>
      <c r="N15" s="6">
        <f>'Final AC Units'!AE15/FinalHHSize!AE15</f>
        <v>0.3912734732</v>
      </c>
      <c r="O15" s="6">
        <f>'Final AC Units'!AF15/FinalHHSize!AF15</f>
        <v>0.4052387479</v>
      </c>
    </row>
    <row r="16" ht="14.25" hidden="1" customHeight="1">
      <c r="A16" s="1" t="s">
        <v>44</v>
      </c>
      <c r="B16" s="1" t="s">
        <v>23</v>
      </c>
      <c r="C16" s="6">
        <f>'Final AC Units'!T16/FinalHHSize!T16</f>
        <v>0.001116143512</v>
      </c>
      <c r="D16" s="6">
        <f>'Final AC Units'!U16/FinalHHSize!U16</f>
        <v>0.006965961225</v>
      </c>
      <c r="E16" s="6">
        <f>'Final AC Units'!V16/FinalHHSize!V16</f>
        <v>0.003032841025</v>
      </c>
      <c r="F16" s="6">
        <f>'Final AC Units'!W16/FinalHHSize!W16</f>
        <v>0.009094639011</v>
      </c>
      <c r="G16" s="6">
        <f>'Final AC Units'!X16/FinalHHSize!X16</f>
        <v>0.006103868386</v>
      </c>
      <c r="H16" s="6">
        <f>'Final AC Units'!Y16/FinalHHSize!Y16</f>
        <v>0.006495931203</v>
      </c>
      <c r="I16" s="6">
        <f>'Final AC Units'!Z16/FinalHHSize!Z16</f>
        <v>0.007429112795</v>
      </c>
      <c r="J16" s="6">
        <f>'Final AC Units'!AA16/FinalHHSize!AA16</f>
        <v>0.007615319419</v>
      </c>
      <c r="K16" s="6">
        <f>'Final AC Units'!AB16/FinalHHSize!AB16</f>
        <v>0.007613008285</v>
      </c>
      <c r="L16" s="6">
        <f>'Final AC Units'!AC16/FinalHHSize!AC16</f>
        <v>0.008644197272</v>
      </c>
      <c r="M16" s="6">
        <f>'Final AC Units'!AD16/FinalHHSize!AD16</f>
        <v>0.009751565288</v>
      </c>
      <c r="N16" s="6">
        <f>'Final AC Units'!AE16/FinalHHSize!AE16</f>
        <v>0.01086641407</v>
      </c>
      <c r="O16" s="6">
        <f>'Final AC Units'!AF16/FinalHHSize!AF16</f>
        <v>0.01173505301</v>
      </c>
    </row>
    <row r="17" ht="14.25" hidden="1" customHeight="1">
      <c r="A17" s="1" t="s">
        <v>45</v>
      </c>
      <c r="B17" s="1" t="s">
        <v>23</v>
      </c>
      <c r="C17" s="6">
        <f>'Final AC Units'!T17/FinalHHSize!T17</f>
        <v>0.04783766753</v>
      </c>
      <c r="D17" s="6">
        <f>'Final AC Units'!U17/FinalHHSize!U17</f>
        <v>0.08248277203</v>
      </c>
      <c r="E17" s="6">
        <f>'Final AC Units'!V17/FinalHHSize!V17</f>
        <v>0.2077524185</v>
      </c>
      <c r="F17" s="6">
        <f>'Final AC Units'!W17/FinalHHSize!W17</f>
        <v>0.6542801241</v>
      </c>
      <c r="G17" s="6">
        <f>'Final AC Units'!X17/FinalHHSize!X17</f>
        <v>0.6553089858</v>
      </c>
      <c r="H17" s="6">
        <f>'Final AC Units'!Y17/FinalHHSize!Y17</f>
        <v>0.7136973485</v>
      </c>
      <c r="I17" s="6">
        <f>'Final AC Units'!Z17/FinalHHSize!Z17</f>
        <v>0.7950228505</v>
      </c>
      <c r="J17" s="6">
        <f>'Final AC Units'!AA17/FinalHHSize!AA17</f>
        <v>0.8301616999</v>
      </c>
      <c r="K17" s="6">
        <f>'Final AC Units'!AB17/FinalHHSize!AB17</f>
        <v>0.8763929862</v>
      </c>
      <c r="L17" s="6">
        <f>'Final AC Units'!AC17/FinalHHSize!AC17</f>
        <v>0.9498147222</v>
      </c>
      <c r="M17" s="6">
        <f>'Final AC Units'!AD17/FinalHHSize!AD17</f>
        <v>1.021505094</v>
      </c>
      <c r="N17" s="6">
        <f>'Final AC Units'!AE17/FinalHHSize!AE17</f>
        <v>1.090000486</v>
      </c>
      <c r="O17" s="6">
        <f>'Final AC Units'!AF17/FinalHHSize!AF17</f>
        <v>1.116395536</v>
      </c>
    </row>
    <row r="18" ht="14.25" hidden="1" customHeight="1">
      <c r="A18" s="1" t="s">
        <v>46</v>
      </c>
      <c r="B18" s="1" t="s">
        <v>23</v>
      </c>
      <c r="C18" s="6">
        <f>'Final AC Units'!T18/FinalHHSize!T18</f>
        <v>0.001761065086</v>
      </c>
      <c r="D18" s="6">
        <f>'Final AC Units'!U18/FinalHHSize!U18</f>
        <v>0.002519152695</v>
      </c>
      <c r="E18" s="6">
        <f>'Final AC Units'!V18/FinalHHSize!V18</f>
        <v>0.003191087936</v>
      </c>
      <c r="F18" s="6">
        <f>'Final AC Units'!W18/FinalHHSize!W18</f>
        <v>0.00798874182</v>
      </c>
      <c r="G18" s="6">
        <f>'Final AC Units'!X18/FinalHHSize!X18</f>
        <v>0.005840526607</v>
      </c>
      <c r="H18" s="6">
        <f>'Final AC Units'!Y18/FinalHHSize!Y18</f>
        <v>0.006699978855</v>
      </c>
      <c r="I18" s="6">
        <f>'Final AC Units'!Z18/FinalHHSize!Z18</f>
        <v>0.007129298384</v>
      </c>
      <c r="J18" s="6">
        <f>'Final AC Units'!AA18/FinalHHSize!AA18</f>
        <v>0.007080099347</v>
      </c>
      <c r="K18" s="6">
        <f>'Final AC Units'!AB18/FinalHHSize!AB18</f>
        <v>0.006988008277</v>
      </c>
      <c r="L18" s="6">
        <f>'Final AC Units'!AC18/FinalHHSize!AC18</f>
        <v>0.00767125632</v>
      </c>
      <c r="M18" s="6">
        <f>'Final AC Units'!AD18/FinalHHSize!AD18</f>
        <v>0.008581228948</v>
      </c>
      <c r="N18" s="6">
        <f>'Final AC Units'!AE18/FinalHHSize!AE18</f>
        <v>0.009543069975</v>
      </c>
      <c r="O18" s="6">
        <f>'Final AC Units'!AF18/FinalHHSize!AF18</f>
        <v>0.01023203959</v>
      </c>
    </row>
    <row r="19" ht="14.25" hidden="1" customHeight="1">
      <c r="A19" s="1" t="s">
        <v>47</v>
      </c>
      <c r="B19" s="1" t="s">
        <v>23</v>
      </c>
      <c r="C19" s="6">
        <f>'Final AC Units'!T19/FinalHHSize!T19</f>
        <v>0.01107282915</v>
      </c>
      <c r="D19" s="6">
        <f>'Final AC Units'!U19/FinalHHSize!U19</f>
        <v>0.01213884658</v>
      </c>
      <c r="E19" s="6">
        <f>'Final AC Units'!V19/FinalHHSize!V19</f>
        <v>0.0126005124</v>
      </c>
      <c r="F19" s="6">
        <f>'Final AC Units'!W19/FinalHHSize!W19</f>
        <v>0.034083811</v>
      </c>
      <c r="G19" s="6">
        <f>'Final AC Units'!X19/FinalHHSize!X19</f>
        <v>0.02842769352</v>
      </c>
      <c r="H19" s="6">
        <f>'Final AC Units'!Y19/FinalHHSize!Y19</f>
        <v>0.03371676445</v>
      </c>
      <c r="I19" s="6">
        <f>'Final AC Units'!Z19/FinalHHSize!Z19</f>
        <v>0.03209182266</v>
      </c>
      <c r="J19" s="6">
        <f>'Final AC Units'!AA19/FinalHHSize!AA19</f>
        <v>0.03574738577</v>
      </c>
      <c r="K19" s="6">
        <f>'Final AC Units'!AB19/FinalHHSize!AB19</f>
        <v>0.04251082364</v>
      </c>
      <c r="L19" s="6">
        <f>'Final AC Units'!AC19/FinalHHSize!AC19</f>
        <v>0.0492022359</v>
      </c>
      <c r="M19" s="6">
        <f>'Final AC Units'!AD19/FinalHHSize!AD19</f>
        <v>0.05656670025</v>
      </c>
      <c r="N19" s="6">
        <f>'Final AC Units'!AE19/FinalHHSize!AE19</f>
        <v>0.06435699743</v>
      </c>
      <c r="O19" s="6">
        <f>'Final AC Units'!AF19/FinalHHSize!AF19</f>
        <v>0.06992644324</v>
      </c>
    </row>
    <row r="20" ht="14.25" hidden="1" customHeight="1">
      <c r="A20" s="1" t="s">
        <v>48</v>
      </c>
      <c r="B20" s="1" t="s">
        <v>23</v>
      </c>
      <c r="C20" s="6">
        <f>'Final AC Units'!T20/FinalHHSize!T20</f>
        <v>0.01677178386</v>
      </c>
      <c r="D20" s="6">
        <f>'Final AC Units'!U20/FinalHHSize!U20</f>
        <v>0.02980394216</v>
      </c>
      <c r="E20" s="6">
        <f>'Final AC Units'!V20/FinalHHSize!V20</f>
        <v>0.05174115701</v>
      </c>
      <c r="F20" s="6">
        <f>'Final AC Units'!W20/FinalHHSize!W20</f>
        <v>0.1860727706</v>
      </c>
      <c r="G20" s="6">
        <f>'Final AC Units'!X20/FinalHHSize!X20</f>
        <v>0.2430219508</v>
      </c>
      <c r="H20" s="6">
        <f>'Final AC Units'!Y20/FinalHHSize!Y20</f>
        <v>0.3048459124</v>
      </c>
      <c r="I20" s="6">
        <f>'Final AC Units'!Z20/FinalHHSize!Z20</f>
        <v>0.3908193869</v>
      </c>
      <c r="J20" s="6">
        <f>'Final AC Units'!AA20/FinalHHSize!AA20</f>
        <v>0.4464234364</v>
      </c>
      <c r="K20" s="6">
        <f>'Final AC Units'!AB20/FinalHHSize!AB20</f>
        <v>0.565453742</v>
      </c>
      <c r="L20" s="6">
        <f>'Final AC Units'!AC20/FinalHHSize!AC20</f>
        <v>0.6824746444</v>
      </c>
      <c r="M20" s="6">
        <f>'Final AC Units'!AD20/FinalHHSize!AD20</f>
        <v>0.7886317386</v>
      </c>
      <c r="N20" s="6">
        <f>'Final AC Units'!AE20/FinalHHSize!AE20</f>
        <v>0.9051824565</v>
      </c>
      <c r="O20" s="6">
        <f>'Final AC Units'!AF20/FinalHHSize!AF20</f>
        <v>0.9771333272</v>
      </c>
    </row>
    <row r="21" ht="14.25" hidden="1" customHeight="1">
      <c r="A21" s="1" t="s">
        <v>49</v>
      </c>
      <c r="B21" s="1" t="s">
        <v>23</v>
      </c>
      <c r="C21" s="6">
        <f>'Final AC Units'!T21/FinalHHSize!T21</f>
        <v>0.2592357437</v>
      </c>
      <c r="D21" s="6">
        <f>'Final AC Units'!U21/FinalHHSize!U21</f>
        <v>0.2529702818</v>
      </c>
      <c r="E21" s="6">
        <f>'Final AC Units'!V21/FinalHHSize!V21</f>
        <v>0.3077336107</v>
      </c>
      <c r="F21" s="6">
        <f>'Final AC Units'!W21/FinalHHSize!W21</f>
        <v>2.065097652</v>
      </c>
      <c r="G21" s="6">
        <f>'Final AC Units'!X21/FinalHHSize!X21</f>
        <v>2.135296331</v>
      </c>
      <c r="H21" s="6">
        <f>'Final AC Units'!Y21/FinalHHSize!Y21</f>
        <v>2.630309937</v>
      </c>
      <c r="I21" s="6">
        <f>'Final AC Units'!Z21/FinalHHSize!Z21</f>
        <v>1.48853391</v>
      </c>
      <c r="J21" s="6">
        <f>'Final AC Units'!AA21/FinalHHSize!AA21</f>
        <v>1.692418378</v>
      </c>
      <c r="K21" s="6">
        <f>'Final AC Units'!AB21/FinalHHSize!AB21</f>
        <v>1.988054341</v>
      </c>
      <c r="L21" s="6">
        <f>'Final AC Units'!AC21/FinalHHSize!AC21</f>
        <v>2.270116966</v>
      </c>
      <c r="M21" s="6">
        <f>'Final AC Units'!AD21/FinalHHSize!AD21</f>
        <v>2.591537059</v>
      </c>
      <c r="N21" s="6">
        <f>'Final AC Units'!AE21/FinalHHSize!AE21</f>
        <v>2.89695083</v>
      </c>
      <c r="O21" s="6" t="str">
        <f>'Final AC Units'!AF21/FinalHHSize!AF21</f>
        <v>#DIV/0!</v>
      </c>
    </row>
    <row r="22" ht="14.25" hidden="1" customHeight="1">
      <c r="A22" s="1" t="s">
        <v>50</v>
      </c>
      <c r="B22" s="1" t="s">
        <v>23</v>
      </c>
      <c r="C22" s="6">
        <f>'Final AC Units'!T22/FinalHHSize!T22</f>
        <v>0.0007355730282</v>
      </c>
      <c r="D22" s="6">
        <f>'Final AC Units'!U22/FinalHHSize!U22</f>
        <v>0.001485526914</v>
      </c>
      <c r="E22" s="6">
        <f>'Final AC Units'!V22/FinalHHSize!V22</f>
        <v>0.001326455812</v>
      </c>
      <c r="F22" s="6">
        <f>'Final AC Units'!W22/FinalHHSize!W22</f>
        <v>0.002462370896</v>
      </c>
      <c r="G22" s="6">
        <f>'Final AC Units'!X22/FinalHHSize!X22</f>
        <v>0.002343276537</v>
      </c>
      <c r="H22" s="6">
        <f>'Final AC Units'!Y22/FinalHHSize!Y22</f>
        <v>0.002662775794</v>
      </c>
      <c r="I22" s="6">
        <f>'Final AC Units'!Z22/FinalHHSize!Z22</f>
        <v>0.002914536745</v>
      </c>
      <c r="J22" s="6">
        <f>'Final AC Units'!AA22/FinalHHSize!AA22</f>
        <v>0.003156610804</v>
      </c>
      <c r="K22" s="6">
        <f>'Final AC Units'!AB22/FinalHHSize!AB22</f>
        <v>0.003150830318</v>
      </c>
      <c r="L22" s="6">
        <f>'Final AC Units'!AC22/FinalHHSize!AC22</f>
        <v>0.003492580637</v>
      </c>
      <c r="M22" s="6">
        <f>'Final AC Units'!AD22/FinalHHSize!AD22</f>
        <v>0.003946571811</v>
      </c>
      <c r="N22" s="6">
        <f>'Final AC Units'!AE22/FinalHHSize!AE22</f>
        <v>0.004435358257</v>
      </c>
      <c r="O22" s="6">
        <f>'Final AC Units'!AF22/FinalHHSize!AF22</f>
        <v>0.004809702163</v>
      </c>
    </row>
    <row r="23" ht="14.25" hidden="1" customHeight="1">
      <c r="A23" s="1" t="s">
        <v>51</v>
      </c>
      <c r="B23" s="1" t="s">
        <v>23</v>
      </c>
      <c r="C23" s="6">
        <f>'Final AC Units'!T23/FinalHHSize!T23</f>
        <v>0.01280141265</v>
      </c>
      <c r="D23" s="6">
        <f>'Final AC Units'!U23/FinalHHSize!U23</f>
        <v>0.05305489569</v>
      </c>
      <c r="E23" s="6">
        <f>'Final AC Units'!V23/FinalHHSize!V23</f>
        <v>0.05995914948</v>
      </c>
      <c r="F23" s="6">
        <f>'Final AC Units'!W23/FinalHHSize!W23</f>
        <v>0.1303023102</v>
      </c>
      <c r="G23" s="6">
        <f>'Final AC Units'!X23/FinalHHSize!X23</f>
        <v>0.1142272631</v>
      </c>
      <c r="H23" s="6">
        <f>'Final AC Units'!Y23/FinalHHSize!Y23</f>
        <v>0.119226653</v>
      </c>
      <c r="I23" s="6">
        <f>'Final AC Units'!Z23/FinalHHSize!Z23</f>
        <v>0.1186510876</v>
      </c>
      <c r="J23" s="6">
        <f>'Final AC Units'!AA23/FinalHHSize!AA23</f>
        <v>0.1198879821</v>
      </c>
      <c r="K23" s="6">
        <f>'Final AC Units'!AB23/FinalHHSize!AB23</f>
        <v>0.1230287664</v>
      </c>
      <c r="L23" s="6">
        <f>'Final AC Units'!AC23/FinalHHSize!AC23</f>
        <v>0.1265249303</v>
      </c>
      <c r="M23" s="6">
        <f>'Final AC Units'!AD23/FinalHHSize!AD23</f>
        <v>0.1295793818</v>
      </c>
      <c r="N23" s="6">
        <f>'Final AC Units'!AE23/FinalHHSize!AE23</f>
        <v>0.13224485</v>
      </c>
      <c r="O23" s="6">
        <f>'Final AC Units'!AF23/FinalHHSize!AF23</f>
        <v>0.1304829158</v>
      </c>
    </row>
    <row r="24" ht="14.25" hidden="1" customHeight="1">
      <c r="A24" s="1" t="s">
        <v>52</v>
      </c>
      <c r="B24" s="1" t="s">
        <v>23</v>
      </c>
      <c r="C24" s="6">
        <f>'Final AC Units'!T24/FinalHHSize!T24</f>
        <v>0.006174402574</v>
      </c>
      <c r="D24" s="6">
        <f>'Final AC Units'!U24/FinalHHSize!U24</f>
        <v>0.02655452284</v>
      </c>
      <c r="E24" s="6">
        <f>'Final AC Units'!V24/FinalHHSize!V24</f>
        <v>0.03966610094</v>
      </c>
      <c r="F24" s="6">
        <f>'Final AC Units'!W24/FinalHHSize!W24</f>
        <v>0.1625273334</v>
      </c>
      <c r="G24" s="6">
        <f>'Final AC Units'!X24/FinalHHSize!X24</f>
        <v>0.1701527756</v>
      </c>
      <c r="H24" s="6">
        <f>'Final AC Units'!Y24/FinalHHSize!Y24</f>
        <v>0.1751572381</v>
      </c>
      <c r="I24" s="6">
        <f>'Final AC Units'!Z24/FinalHHSize!Z24</f>
        <v>0.1785944262</v>
      </c>
      <c r="J24" s="6">
        <f>'Final AC Units'!AA24/FinalHHSize!AA24</f>
        <v>0.1757076999</v>
      </c>
      <c r="K24" s="6">
        <f>'Final AC Units'!AB24/FinalHHSize!AB24</f>
        <v>0.177730821</v>
      </c>
      <c r="L24" s="6">
        <f>'Final AC Units'!AC24/FinalHHSize!AC24</f>
        <v>0.1774402681</v>
      </c>
      <c r="M24" s="6">
        <f>'Final AC Units'!AD24/FinalHHSize!AD24</f>
        <v>0.1768727696</v>
      </c>
      <c r="N24" s="6">
        <f>'Final AC Units'!AE24/FinalHHSize!AE24</f>
        <v>0.1757198864</v>
      </c>
      <c r="O24" s="6">
        <f>'Final AC Units'!AF24/FinalHHSize!AF24</f>
        <v>0.1702712996</v>
      </c>
    </row>
    <row r="25" ht="14.25" hidden="1" customHeight="1">
      <c r="A25" s="1" t="s">
        <v>53</v>
      </c>
      <c r="B25" s="1" t="s">
        <v>23</v>
      </c>
      <c r="C25" s="6">
        <f>'Final AC Units'!T25/FinalHHSize!T25</f>
        <v>0.0007337523663</v>
      </c>
      <c r="D25" s="6">
        <f>'Final AC Units'!U25/FinalHHSize!U25</f>
        <v>0.001691613324</v>
      </c>
      <c r="E25" s="6">
        <f>'Final AC Units'!V25/FinalHHSize!V25</f>
        <v>0.002102816268</v>
      </c>
      <c r="F25" s="6">
        <f>'Final AC Units'!W25/FinalHHSize!W25</f>
        <v>0.004755926597</v>
      </c>
      <c r="G25" s="6">
        <f>'Final AC Units'!X25/FinalHHSize!X25</f>
        <v>0.00558256412</v>
      </c>
      <c r="H25" s="6">
        <f>'Final AC Units'!Y25/FinalHHSize!Y25</f>
        <v>0.006392158428</v>
      </c>
      <c r="I25" s="6">
        <f>'Final AC Units'!Z25/FinalHHSize!Z25</f>
        <v>0.008494340916</v>
      </c>
      <c r="J25" s="6">
        <f>'Final AC Units'!AA25/FinalHHSize!AA25</f>
        <v>0.01070895513</v>
      </c>
      <c r="K25" s="6">
        <f>'Final AC Units'!AB25/FinalHHSize!AB25</f>
        <v>0.01295121561</v>
      </c>
      <c r="L25" s="6">
        <f>'Final AC Units'!AC25/FinalHHSize!AC25</f>
        <v>0.01525992588</v>
      </c>
      <c r="M25" s="6">
        <f>'Final AC Units'!AD25/FinalHHSize!AD25</f>
        <v>0.0177031788</v>
      </c>
      <c r="N25" s="6">
        <f>'Final AC Units'!AE25/FinalHHSize!AE25</f>
        <v>0.02035694238</v>
      </c>
      <c r="O25" s="6">
        <f>'Final AC Units'!AF25/FinalHHSize!AF25</f>
        <v>0.02265589159</v>
      </c>
    </row>
    <row r="26" ht="14.25" hidden="1" customHeight="1">
      <c r="A26" s="1" t="s">
        <v>54</v>
      </c>
      <c r="B26" s="1" t="s">
        <v>23</v>
      </c>
      <c r="C26" s="6">
        <f>'Final AC Units'!T26/FinalHHSize!T26</f>
        <v>0.05043780726</v>
      </c>
      <c r="D26" s="6">
        <f>'Final AC Units'!U26/FinalHHSize!U26</f>
        <v>0.2612620834</v>
      </c>
      <c r="E26" s="6">
        <f>'Final AC Units'!V26/FinalHHSize!V26</f>
        <v>0.4100059307</v>
      </c>
      <c r="F26" s="6">
        <f>'Final AC Units'!W26/FinalHHSize!W26</f>
        <v>1.586062794</v>
      </c>
      <c r="G26" s="6">
        <f>'Final AC Units'!X26/FinalHHSize!X26</f>
        <v>1.712677668</v>
      </c>
      <c r="H26" s="6">
        <f>'Final AC Units'!Y26/FinalHHSize!Y26</f>
        <v>1.768366212</v>
      </c>
      <c r="I26" s="6">
        <f>'Final AC Units'!Z26/FinalHHSize!Z26</f>
        <v>1.798635469</v>
      </c>
      <c r="J26" s="6">
        <f>'Final AC Units'!AA26/FinalHHSize!AA26</f>
        <v>1.747775833</v>
      </c>
      <c r="K26" s="6">
        <f>'Final AC Units'!AB26/FinalHHSize!AB26</f>
        <v>1.728876299</v>
      </c>
      <c r="L26" s="6">
        <f>'Final AC Units'!AC26/FinalHHSize!AC26</f>
        <v>1.746130936</v>
      </c>
      <c r="M26" s="6">
        <f>'Final AC Units'!AD26/FinalHHSize!AD26</f>
        <v>1.765683237</v>
      </c>
      <c r="N26" s="6">
        <f>'Final AC Units'!AE26/FinalHHSize!AE26</f>
        <v>1.781177541</v>
      </c>
      <c r="O26" s="6">
        <f>'Final AC Units'!AF26/FinalHHSize!AF26</f>
        <v>1.75020925</v>
      </c>
    </row>
    <row r="27" ht="14.25" hidden="1" customHeight="1">
      <c r="A27" s="1" t="s">
        <v>55</v>
      </c>
      <c r="B27" s="1" t="s">
        <v>23</v>
      </c>
      <c r="C27" s="6">
        <f>'Final AC Units'!T27/FinalHHSize!T27</f>
        <v>0.07082432683</v>
      </c>
      <c r="D27" s="6">
        <f>'Final AC Units'!U27/FinalHHSize!U27</f>
        <v>0.2876755138</v>
      </c>
      <c r="E27" s="6">
        <f>'Final AC Units'!V27/FinalHHSize!V27</f>
        <v>0.3767292947</v>
      </c>
      <c r="F27" s="6">
        <f>'Final AC Units'!W27/FinalHHSize!W27</f>
        <v>0.7117875763</v>
      </c>
      <c r="G27" s="6">
        <f>'Final AC Units'!X27/FinalHHSize!X27</f>
        <v>0.6813170436</v>
      </c>
      <c r="H27" s="6">
        <f>'Final AC Units'!Y27/FinalHHSize!Y27</f>
        <v>0.6508809203</v>
      </c>
      <c r="I27" s="6">
        <f>'Final AC Units'!Z27/FinalHHSize!Z27</f>
        <v>0.5257608342</v>
      </c>
      <c r="J27" s="6">
        <f>'Final AC Units'!AA27/FinalHHSize!AA27</f>
        <v>0.5225151399</v>
      </c>
      <c r="K27" s="6">
        <f>'Final AC Units'!AB27/FinalHHSize!AB27</f>
        <v>0.5399021033</v>
      </c>
      <c r="L27" s="6">
        <f>'Final AC Units'!AC27/FinalHHSize!AC27</f>
        <v>0.5495142231</v>
      </c>
      <c r="M27" s="6">
        <f>'Final AC Units'!AD27/FinalHHSize!AD27</f>
        <v>0.5557886278</v>
      </c>
      <c r="N27" s="6">
        <f>'Final AC Units'!AE27/FinalHHSize!AE27</f>
        <v>0.5634761888</v>
      </c>
      <c r="O27" s="6">
        <f>'Final AC Units'!AF27/FinalHHSize!AF27</f>
        <v>0.5532273036</v>
      </c>
    </row>
    <row r="28" ht="14.25" hidden="1" customHeight="1">
      <c r="A28" s="1" t="s">
        <v>56</v>
      </c>
      <c r="B28" s="1" t="s">
        <v>23</v>
      </c>
      <c r="C28" s="6">
        <f>'Final AC Units'!T28/FinalHHSize!T28</f>
        <v>0.0005423343039</v>
      </c>
      <c r="D28" s="6">
        <f>'Final AC Units'!U28/FinalHHSize!U28</f>
        <v>0.00091873193</v>
      </c>
      <c r="E28" s="6">
        <f>'Final AC Units'!V28/FinalHHSize!V28</f>
        <v>0.003182174634</v>
      </c>
      <c r="F28" s="6">
        <f>'Final AC Units'!W28/FinalHHSize!W28</f>
        <v>0.003799204046</v>
      </c>
      <c r="G28" s="6">
        <f>'Final AC Units'!X28/FinalHHSize!X28</f>
        <v>0.00398275614</v>
      </c>
      <c r="H28" s="6">
        <f>'Final AC Units'!Y28/FinalHHSize!Y28</f>
        <v>0.005329109318</v>
      </c>
      <c r="I28" s="6">
        <f>'Final AC Units'!Z28/FinalHHSize!Z28</f>
        <v>0.006441147055</v>
      </c>
      <c r="J28" s="6">
        <f>'Final AC Units'!AA28/FinalHHSize!AA28</f>
        <v>0.007563434028</v>
      </c>
      <c r="K28" s="6">
        <f>'Final AC Units'!AB28/FinalHHSize!AB28</f>
        <v>0.008669933861</v>
      </c>
      <c r="L28" s="6">
        <f>'Final AC Units'!AC28/FinalHHSize!AC28</f>
        <v>0.0100721504</v>
      </c>
      <c r="M28" s="6">
        <f>'Final AC Units'!AD28/FinalHHSize!AD28</f>
        <v>0.01145776544</v>
      </c>
      <c r="N28" s="6">
        <f>'Final AC Units'!AE28/FinalHHSize!AE28</f>
        <v>0.01286039855</v>
      </c>
      <c r="O28" s="6">
        <f>'Final AC Units'!AF28/FinalHHSize!AF28</f>
        <v>0.01388429688</v>
      </c>
    </row>
    <row r="29" ht="14.25" hidden="1" customHeight="1">
      <c r="A29" s="1" t="s">
        <v>57</v>
      </c>
      <c r="B29" s="1" t="s">
        <v>23</v>
      </c>
      <c r="C29" s="6">
        <f>'Final AC Units'!T29/FinalHHSize!T29</f>
        <v>0.04318423237</v>
      </c>
      <c r="D29" s="6">
        <f>'Final AC Units'!U29/FinalHHSize!U29</f>
        <v>0.0519286063</v>
      </c>
      <c r="E29" s="6">
        <f>'Final AC Units'!V29/FinalHHSize!V29</f>
        <v>0.1021717729</v>
      </c>
      <c r="F29" s="6">
        <f>'Final AC Units'!W29/FinalHHSize!W29</f>
        <v>0.3530153506</v>
      </c>
      <c r="G29" s="6">
        <f>'Final AC Units'!X29/FinalHHSize!X29</f>
        <v>0.6070908726</v>
      </c>
      <c r="H29" s="6">
        <f>'Final AC Units'!Y29/FinalHHSize!Y29</f>
        <v>0.878348153</v>
      </c>
      <c r="I29" s="6">
        <f>'Final AC Units'!Z29/FinalHHSize!Z29</f>
        <v>1.113199189</v>
      </c>
      <c r="J29" s="6">
        <f>'Final AC Units'!AA29/FinalHHSize!AA29</f>
        <v>1.254279658</v>
      </c>
      <c r="K29" s="6">
        <f>'Final AC Units'!AB29/FinalHHSize!AB29</f>
        <v>1.375795362</v>
      </c>
      <c r="L29" s="6">
        <f>'Final AC Units'!AC29/FinalHHSize!AC29</f>
        <v>1.531339305</v>
      </c>
      <c r="M29" s="6">
        <f>'Final AC Units'!AD29/FinalHHSize!AD29</f>
        <v>1.685210304</v>
      </c>
      <c r="N29" s="6">
        <f>'Final AC Units'!AE29/FinalHHSize!AE29</f>
        <v>1.835301166</v>
      </c>
      <c r="O29" s="6">
        <f>'Final AC Units'!AF29/FinalHHSize!AF29</f>
        <v>1.924331905</v>
      </c>
    </row>
    <row r="30" ht="14.25" hidden="1" customHeight="1">
      <c r="A30" s="1" t="s">
        <v>58</v>
      </c>
      <c r="B30" s="1" t="s">
        <v>23</v>
      </c>
      <c r="C30" s="6">
        <f>'Final AC Units'!T30/FinalHHSize!T30</f>
        <v>0.1972325839</v>
      </c>
      <c r="D30" s="6">
        <f>'Final AC Units'!U30/FinalHHSize!U30</f>
        <v>0.122225156</v>
      </c>
      <c r="E30" s="6">
        <f>'Final AC Units'!V30/FinalHHSize!V30</f>
        <v>0.0992475801</v>
      </c>
      <c r="F30" s="6">
        <f>'Final AC Units'!W30/FinalHHSize!W30</f>
        <v>0.2634971548</v>
      </c>
      <c r="G30" s="6">
        <f>'Final AC Units'!X30/FinalHHSize!X30</f>
        <v>0.1987168953</v>
      </c>
      <c r="H30" s="6">
        <f>'Final AC Units'!Y30/FinalHHSize!Y30</f>
        <v>0.2202965027</v>
      </c>
      <c r="I30" s="6">
        <f>'Final AC Units'!Z30/FinalHHSize!Z30</f>
        <v>0.2396352827</v>
      </c>
      <c r="J30" s="6">
        <f>'Final AC Units'!AA30/FinalHHSize!AA30</f>
        <v>0.2330266208</v>
      </c>
      <c r="K30" s="6">
        <f>'Final AC Units'!AB30/FinalHHSize!AB30</f>
        <v>0.2481431337</v>
      </c>
      <c r="L30" s="6">
        <f>'Final AC Units'!AC30/FinalHHSize!AC30</f>
        <v>0.30106373</v>
      </c>
      <c r="M30" s="6">
        <f>'Final AC Units'!AD30/FinalHHSize!AD30</f>
        <v>0.3598503619</v>
      </c>
      <c r="N30" s="6">
        <f>'Final AC Units'!AE30/FinalHHSize!AE30</f>
        <v>0.4284752541</v>
      </c>
      <c r="O30" s="6">
        <f>'Final AC Units'!AF30/FinalHHSize!AF30</f>
        <v>0.4944753114</v>
      </c>
    </row>
    <row r="31" ht="14.25" hidden="1" customHeight="1">
      <c r="A31" s="1" t="s">
        <v>59</v>
      </c>
      <c r="B31" s="1" t="s">
        <v>23</v>
      </c>
      <c r="C31" s="6">
        <f>'Final AC Units'!T31/FinalHHSize!T31</f>
        <v>0.002754186216</v>
      </c>
      <c r="D31" s="6">
        <f>'Final AC Units'!U31/FinalHHSize!U31</f>
        <v>0.003898057946</v>
      </c>
      <c r="E31" s="6">
        <f>'Final AC Units'!V31/FinalHHSize!V31</f>
        <v>0.007406380256</v>
      </c>
      <c r="F31" s="6">
        <f>'Final AC Units'!W31/FinalHHSize!W31</f>
        <v>0.02960231623</v>
      </c>
      <c r="G31" s="6">
        <f>'Final AC Units'!X31/FinalHHSize!X31</f>
        <v>0.04351062026</v>
      </c>
      <c r="H31" s="6">
        <f>'Final AC Units'!Y31/FinalHHSize!Y31</f>
        <v>0.05733962017</v>
      </c>
      <c r="I31" s="6">
        <f>'Final AC Units'!Z31/FinalHHSize!Z31</f>
        <v>0.07247916748</v>
      </c>
      <c r="J31" s="6">
        <f>'Final AC Units'!AA31/FinalHHSize!AA31</f>
        <v>0.08704692179</v>
      </c>
      <c r="K31" s="6">
        <f>'Final AC Units'!AB31/FinalHHSize!AB31</f>
        <v>0.1030013212</v>
      </c>
      <c r="L31" s="6">
        <f>'Final AC Units'!AC31/FinalHHSize!AC31</f>
        <v>0.1150891987</v>
      </c>
      <c r="M31" s="6">
        <f>'Final AC Units'!AD31/FinalHHSize!AD31</f>
        <v>0.1264444445</v>
      </c>
      <c r="N31" s="6">
        <f>'Final AC Units'!AE31/FinalHHSize!AE31</f>
        <v>0.1376042581</v>
      </c>
      <c r="O31" s="6">
        <f>'Final AC Units'!AF31/FinalHHSize!AF31</f>
        <v>0.1442208274</v>
      </c>
    </row>
    <row r="32" ht="14.25" hidden="1" customHeight="1">
      <c r="A32" s="1" t="s">
        <v>60</v>
      </c>
      <c r="B32" s="1" t="s">
        <v>23</v>
      </c>
      <c r="C32" s="6">
        <f>'Final AC Units'!T32/FinalHHSize!T32</f>
        <v>0.05134616893</v>
      </c>
      <c r="D32" s="6">
        <f>'Final AC Units'!U32/FinalHHSize!U32</f>
        <v>0.1243070288</v>
      </c>
      <c r="E32" s="6">
        <f>'Final AC Units'!V32/FinalHHSize!V32</f>
        <v>0.2261401405</v>
      </c>
      <c r="F32" s="6">
        <f>'Final AC Units'!W32/FinalHHSize!W32</f>
        <v>0.1769186454</v>
      </c>
      <c r="G32" s="6">
        <f>'Final AC Units'!X32/FinalHHSize!X32</f>
        <v>0.175461501</v>
      </c>
      <c r="H32" s="6">
        <f>'Final AC Units'!Y32/FinalHHSize!Y32</f>
        <v>0.1954699938</v>
      </c>
      <c r="I32" s="6">
        <f>'Final AC Units'!Z32/FinalHHSize!Z32</f>
        <v>0.1611908805</v>
      </c>
      <c r="J32" s="6">
        <f>'Final AC Units'!AA32/FinalHHSize!AA32</f>
        <v>0.177673021</v>
      </c>
      <c r="K32" s="6">
        <f>'Final AC Units'!AB32/FinalHHSize!AB32</f>
        <v>0.2090625453</v>
      </c>
      <c r="L32" s="6">
        <f>'Final AC Units'!AC32/FinalHHSize!AC32</f>
        <v>0.2517778932</v>
      </c>
      <c r="M32" s="6">
        <f>'Final AC Units'!AD32/FinalHHSize!AD32</f>
        <v>0.2852218488</v>
      </c>
      <c r="N32" s="6">
        <f>'Final AC Units'!AE32/FinalHHSize!AE32</f>
        <v>0.3214693143</v>
      </c>
      <c r="O32" s="6">
        <f>'Final AC Units'!AF32/FinalHHSize!AF32</f>
        <v>0.3478829464</v>
      </c>
    </row>
    <row r="33" ht="14.25" hidden="1" customHeight="1">
      <c r="A33" s="1" t="s">
        <v>61</v>
      </c>
      <c r="B33" s="1" t="s">
        <v>23</v>
      </c>
      <c r="C33" s="6">
        <f>'Final AC Units'!T33/FinalHHSize!T33</f>
        <v>0.001195217202</v>
      </c>
      <c r="D33" s="6">
        <f>'Final AC Units'!U33/FinalHHSize!U33</f>
        <v>0.001096905536</v>
      </c>
      <c r="E33" s="6">
        <f>'Final AC Units'!V33/FinalHHSize!V33</f>
        <v>0.002450539577</v>
      </c>
      <c r="F33" s="6">
        <f>'Final AC Units'!W33/FinalHHSize!W33</f>
        <v>0.00426277478</v>
      </c>
      <c r="G33" s="6">
        <f>'Final AC Units'!X33/FinalHHSize!X33</f>
        <v>0.002698792449</v>
      </c>
      <c r="H33" s="6">
        <f>'Final AC Units'!Y33/FinalHHSize!Y33</f>
        <v>0.003455008035</v>
      </c>
      <c r="I33" s="6">
        <f>'Final AC Units'!Z33/FinalHHSize!Z33</f>
        <v>0.003885299393</v>
      </c>
      <c r="J33" s="6">
        <f>'Final AC Units'!AA33/FinalHHSize!AA33</f>
        <v>0.003817868421</v>
      </c>
      <c r="K33" s="6">
        <f>'Final AC Units'!AB33/FinalHHSize!AB33</f>
        <v>0.003526444629</v>
      </c>
      <c r="L33" s="6">
        <f>'Final AC Units'!AC33/FinalHHSize!AC33</f>
        <v>0.004227642697</v>
      </c>
      <c r="M33" s="6">
        <f>'Final AC Units'!AD33/FinalHHSize!AD33</f>
        <v>0.004991844614</v>
      </c>
      <c r="N33" s="6">
        <f>'Final AC Units'!AE33/FinalHHSize!AE33</f>
        <v>0.006031167581</v>
      </c>
      <c r="O33" s="6">
        <f>'Final AC Units'!AF33/FinalHHSize!AF33</f>
        <v>0.007391575583</v>
      </c>
    </row>
    <row r="34" ht="14.25" hidden="1" customHeight="1">
      <c r="A34" s="1" t="s">
        <v>62</v>
      </c>
      <c r="B34" s="1" t="s">
        <v>23</v>
      </c>
      <c r="C34" s="6">
        <f>'Final AC Units'!T34/FinalHHSize!T34</f>
        <v>0.00541810287</v>
      </c>
      <c r="D34" s="6">
        <f>'Final AC Units'!U34/FinalHHSize!U34</f>
        <v>0.02389176577</v>
      </c>
      <c r="E34" s="6">
        <f>'Final AC Units'!V34/FinalHHSize!V34</f>
        <v>0.0326212851</v>
      </c>
      <c r="F34" s="6">
        <f>'Final AC Units'!W34/FinalHHSize!W34</f>
        <v>0.06040395343</v>
      </c>
      <c r="G34" s="6">
        <f>'Final AC Units'!X34/FinalHHSize!X34</f>
        <v>0.05598636361</v>
      </c>
      <c r="H34" s="6">
        <f>'Final AC Units'!Y34/FinalHHSize!Y34</f>
        <v>0.05779168329</v>
      </c>
      <c r="I34" s="6">
        <f>'Final AC Units'!Z34/FinalHHSize!Z34</f>
        <v>0.05213759535</v>
      </c>
      <c r="J34" s="6">
        <f>'Final AC Units'!AA34/FinalHHSize!AA34</f>
        <v>0.04913057516</v>
      </c>
      <c r="K34" s="6">
        <f>'Final AC Units'!AB34/FinalHHSize!AB34</f>
        <v>0.04912388258</v>
      </c>
      <c r="L34" s="6">
        <f>'Final AC Units'!AC34/FinalHHSize!AC34</f>
        <v>0.05009754789</v>
      </c>
      <c r="M34" s="6">
        <f>'Final AC Units'!AD34/FinalHHSize!AD34</f>
        <v>0.05290345442</v>
      </c>
      <c r="N34" s="6">
        <f>'Final AC Units'!AE34/FinalHHSize!AE34</f>
        <v>0.05521531736</v>
      </c>
      <c r="O34" s="6">
        <f>'Final AC Units'!AF34/FinalHHSize!AF34</f>
        <v>0.05597899956</v>
      </c>
    </row>
    <row r="35" ht="14.25" hidden="1" customHeight="1">
      <c r="A35" s="1" t="s">
        <v>63</v>
      </c>
      <c r="B35" s="1" t="s">
        <v>23</v>
      </c>
      <c r="C35" s="6">
        <f>'Final AC Units'!T35/FinalHHSize!T35</f>
        <v>0.007919039833</v>
      </c>
      <c r="D35" s="6">
        <f>'Final AC Units'!U35/FinalHHSize!U35</f>
        <v>0.008325687705</v>
      </c>
      <c r="E35" s="6">
        <f>'Final AC Units'!V35/FinalHHSize!V35</f>
        <v>0.0101070619</v>
      </c>
      <c r="F35" s="6">
        <f>'Final AC Units'!W35/FinalHHSize!W35</f>
        <v>0.03661845797</v>
      </c>
      <c r="G35" s="6">
        <f>'Final AC Units'!X35/FinalHHSize!X35</f>
        <v>0.01887573646</v>
      </c>
      <c r="H35" s="6">
        <f>'Final AC Units'!Y35/FinalHHSize!Y35</f>
        <v>0.0214096946</v>
      </c>
      <c r="I35" s="6">
        <f>'Final AC Units'!Z35/FinalHHSize!Z35</f>
        <v>0.0220927575</v>
      </c>
      <c r="J35" s="6">
        <f>'Final AC Units'!AA35/FinalHHSize!AA35</f>
        <v>0.02255390501</v>
      </c>
      <c r="K35" s="6">
        <f>'Final AC Units'!AB35/FinalHHSize!AB35</f>
        <v>0.02231306461</v>
      </c>
      <c r="L35" s="6">
        <f>'Final AC Units'!AC35/FinalHHSize!AC35</f>
        <v>0.02509375047</v>
      </c>
      <c r="M35" s="6">
        <f>'Final AC Units'!AD35/FinalHHSize!AD35</f>
        <v>0.02761413144</v>
      </c>
      <c r="N35" s="6">
        <f>'Final AC Units'!AE35/FinalHHSize!AE35</f>
        <v>0.0320532563</v>
      </c>
      <c r="O35" s="6">
        <f>'Final AC Units'!AF35/FinalHHSize!AF35</f>
        <v>0.03924817614</v>
      </c>
    </row>
    <row r="36" ht="14.25" hidden="1" customHeight="1">
      <c r="A36" s="1" t="s">
        <v>64</v>
      </c>
      <c r="B36" s="1" t="s">
        <v>23</v>
      </c>
      <c r="C36" s="6">
        <f>'Final AC Units'!T36/FinalHHSize!T36</f>
        <v>0.006735502651</v>
      </c>
      <c r="D36" s="6">
        <f>'Final AC Units'!U36/FinalHHSize!U36</f>
        <v>0.0103453549</v>
      </c>
      <c r="E36" s="6">
        <f>'Final AC Units'!V36/FinalHHSize!V36</f>
        <v>0.01757201067</v>
      </c>
      <c r="F36" s="6">
        <f>'Final AC Units'!W36/FinalHHSize!W36</f>
        <v>0.05784953363</v>
      </c>
      <c r="G36" s="6">
        <f>'Final AC Units'!X36/FinalHHSize!X36</f>
        <v>0.07168381569</v>
      </c>
      <c r="H36" s="6">
        <f>'Final AC Units'!Y36/FinalHHSize!Y36</f>
        <v>0.08861277064</v>
      </c>
      <c r="I36" s="6">
        <f>'Final AC Units'!Z36/FinalHHSize!Z36</f>
        <v>0.1060177831</v>
      </c>
      <c r="J36" s="6">
        <f>'Final AC Units'!AA36/FinalHHSize!AA36</f>
        <v>0.1145316043</v>
      </c>
      <c r="K36" s="6">
        <f>'Final AC Units'!AB36/FinalHHSize!AB36</f>
        <v>0.1221556901</v>
      </c>
      <c r="L36" s="6">
        <f>'Final AC Units'!AC36/FinalHHSize!AC36</f>
        <v>0.1357204492</v>
      </c>
      <c r="M36" s="6">
        <f>'Final AC Units'!AD36/FinalHHSize!AD36</f>
        <v>0.1491623034</v>
      </c>
      <c r="N36" s="6">
        <f>'Final AC Units'!AE36/FinalHHSize!AE36</f>
        <v>0.1625448959</v>
      </c>
      <c r="O36" s="6">
        <f>'Final AC Units'!AF36/FinalHHSize!AF36</f>
        <v>0.1710916827</v>
      </c>
    </row>
    <row r="37" ht="14.25" hidden="1" customHeight="1">
      <c r="A37" s="1" t="s">
        <v>65</v>
      </c>
      <c r="B37" s="1" t="s">
        <v>23</v>
      </c>
      <c r="C37" s="6">
        <f>'Final AC Units'!T37/FinalHHSize!T37</f>
        <v>0.001677054476</v>
      </c>
      <c r="D37" s="6">
        <f>'Final AC Units'!U37/FinalHHSize!U37</f>
        <v>0.002049265341</v>
      </c>
      <c r="E37" s="6">
        <f>'Final AC Units'!V37/FinalHHSize!V37</f>
        <v>0.004518329891</v>
      </c>
      <c r="F37" s="6">
        <f>'Final AC Units'!W37/FinalHHSize!W37</f>
        <v>0.01144533602</v>
      </c>
      <c r="G37" s="6">
        <f>'Final AC Units'!X37/FinalHHSize!X37</f>
        <v>0.01968243973</v>
      </c>
      <c r="H37" s="6">
        <f>'Final AC Units'!Y37/FinalHHSize!Y37</f>
        <v>0.03100182194</v>
      </c>
      <c r="I37" s="6">
        <f>'Final AC Units'!Z37/FinalHHSize!Z37</f>
        <v>0.04273084442</v>
      </c>
      <c r="J37" s="6">
        <f>'Final AC Units'!AA37/FinalHHSize!AA37</f>
        <v>0.05490113398</v>
      </c>
      <c r="K37" s="6">
        <f>'Final AC Units'!AB37/FinalHHSize!AB37</f>
        <v>0.06816225835</v>
      </c>
      <c r="L37" s="6">
        <f>'Final AC Units'!AC37/FinalHHSize!AC37</f>
        <v>0.07604409024</v>
      </c>
      <c r="M37" s="6">
        <f>'Final AC Units'!AD37/FinalHHSize!AD37</f>
        <v>0.08323742646</v>
      </c>
      <c r="N37" s="6">
        <f>'Final AC Units'!AE37/FinalHHSize!AE37</f>
        <v>0.08994192506</v>
      </c>
      <c r="O37" s="6">
        <f>'Final AC Units'!AF37/FinalHHSize!AF37</f>
        <v>0.09337560983</v>
      </c>
    </row>
    <row r="38" ht="14.25" hidden="1" customHeight="1">
      <c r="A38" s="1" t="s">
        <v>66</v>
      </c>
      <c r="B38" s="1" t="s">
        <v>23</v>
      </c>
      <c r="C38" s="6">
        <f>'Final AC Units'!T38/FinalHHSize!T38</f>
        <v>0.002790897725</v>
      </c>
      <c r="D38" s="6">
        <f>'Final AC Units'!U38/FinalHHSize!U38</f>
        <v>0.002728471636</v>
      </c>
      <c r="E38" s="6">
        <f>'Final AC Units'!V38/FinalHHSize!V38</f>
        <v>0.004510665841</v>
      </c>
      <c r="F38" s="6">
        <f>'Final AC Units'!W38/FinalHHSize!W38</f>
        <v>0.01065065729</v>
      </c>
      <c r="G38" s="6">
        <f>'Final AC Units'!X38/FinalHHSize!X38</f>
        <v>0.01214638931</v>
      </c>
      <c r="H38" s="6">
        <f>'Final AC Units'!Y38/FinalHHSize!Y38</f>
        <v>0.01721331573</v>
      </c>
      <c r="I38" s="6">
        <f>'Final AC Units'!Z38/FinalHHSize!Z38</f>
        <v>0.02275433812</v>
      </c>
      <c r="J38" s="6">
        <f>'Final AC Units'!AA38/FinalHHSize!AA38</f>
        <v>0.02709294375</v>
      </c>
      <c r="K38" s="6">
        <f>'Final AC Units'!AB38/FinalHHSize!AB38</f>
        <v>0.03062910416</v>
      </c>
      <c r="L38" s="6">
        <f>'Final AC Units'!AC38/FinalHHSize!AC38</f>
        <v>0.03573656731</v>
      </c>
      <c r="M38" s="6">
        <f>'Final AC Units'!AD38/FinalHHSize!AD38</f>
        <v>0.04080410546</v>
      </c>
      <c r="N38" s="6">
        <f>'Final AC Units'!AE38/FinalHHSize!AE38</f>
        <v>0.0459334019</v>
      </c>
      <c r="O38" s="6">
        <f>'Final AC Units'!AF38/FinalHHSize!AF38</f>
        <v>0.04978056622</v>
      </c>
    </row>
    <row r="39" ht="14.25" customHeight="1">
      <c r="A39" s="1" t="s">
        <v>6</v>
      </c>
      <c r="B39" s="1" t="s">
        <v>26</v>
      </c>
      <c r="C39" s="6">
        <f>'Final AC Units'!T39/FinalHHSize!T39</f>
        <v>0.1939050691</v>
      </c>
      <c r="D39" s="6">
        <f>'Final AC Units'!U39/FinalHHSize!U39</f>
        <v>0.09777624673</v>
      </c>
      <c r="E39" s="6">
        <f>'Final AC Units'!V39/FinalHHSize!V39</f>
        <v>0.09490011266</v>
      </c>
      <c r="F39" s="6">
        <f>'Final AC Units'!W39/FinalHHSize!W39</f>
        <v>0.1351332933</v>
      </c>
      <c r="G39" s="6">
        <f>'Final AC Units'!X39/FinalHHSize!X39</f>
        <v>0.1006878409</v>
      </c>
      <c r="H39" s="6">
        <f>'Final AC Units'!Y39/FinalHHSize!Y39</f>
        <v>0.09800316041</v>
      </c>
      <c r="I39" s="6">
        <f>'Final AC Units'!Z39/FinalHHSize!Z39</f>
        <v>0.07707238547</v>
      </c>
      <c r="J39" s="6">
        <f>'Final AC Units'!AA39/FinalHHSize!AA39</f>
        <v>0.09904774511</v>
      </c>
      <c r="K39" s="6">
        <f>'Final AC Units'!AB39/FinalHHSize!AB39</f>
        <v>0.1229788288</v>
      </c>
      <c r="L39" s="6">
        <f>'Final AC Units'!AC39/FinalHHSize!AC39</f>
        <v>0.1543363993</v>
      </c>
      <c r="M39" s="6">
        <f>'Final AC Units'!AD39/FinalHHSize!AD39</f>
        <v>0.1843037467</v>
      </c>
      <c r="N39" s="6">
        <f>'Final AC Units'!AE39/FinalHHSize!AE39</f>
        <v>0.2157212578</v>
      </c>
      <c r="O39" s="6">
        <f>'Final AC Units'!AF39/FinalHHSize!AF39</f>
        <v>0.2541827487</v>
      </c>
      <c r="P39" s="7">
        <f t="shared" ref="P39:P75" si="1">O39/E39</f>
        <v>2.678424098</v>
      </c>
      <c r="Q39" s="7">
        <v>1.5970925</v>
      </c>
      <c r="R39" s="7">
        <v>9.149462809917356</v>
      </c>
      <c r="S39" s="8">
        <f t="shared" ref="S39:S75" si="2">R39/Q39</f>
        <v>5.728824605</v>
      </c>
    </row>
    <row r="40" ht="14.25" customHeight="1">
      <c r="A40" s="1" t="s">
        <v>30</v>
      </c>
      <c r="B40" s="1" t="s">
        <v>26</v>
      </c>
      <c r="C40" s="6">
        <f>'Final AC Units'!T40/FinalHHSize!T40</f>
        <v>0.06223238364</v>
      </c>
      <c r="D40" s="6">
        <f>'Final AC Units'!U40/FinalHHSize!U40</f>
        <v>0.04558351607</v>
      </c>
      <c r="E40" s="6">
        <f>'Final AC Units'!V40/FinalHHSize!V40</f>
        <v>0.06536158049</v>
      </c>
      <c r="F40" s="6">
        <f>'Final AC Units'!W40/FinalHHSize!W40</f>
        <v>0.1115561247</v>
      </c>
      <c r="G40" s="6">
        <f>'Final AC Units'!X40/FinalHHSize!X40</f>
        <v>0.09296002481</v>
      </c>
      <c r="H40" s="6">
        <f>'Final AC Units'!Y40/FinalHHSize!Y40</f>
        <v>0.1029745759</v>
      </c>
      <c r="I40" s="6">
        <f>'Final AC Units'!Z40/FinalHHSize!Z40</f>
        <v>0.1064876974</v>
      </c>
      <c r="J40" s="6">
        <f>'Final AC Units'!AA40/FinalHHSize!AA40</f>
        <v>0.1382460356</v>
      </c>
      <c r="K40" s="6">
        <f>'Final AC Units'!AB40/FinalHHSize!AB40</f>
        <v>0.1784427637</v>
      </c>
      <c r="L40" s="6">
        <f>'Final AC Units'!AC40/FinalHHSize!AC40</f>
        <v>0.23065108</v>
      </c>
      <c r="M40" s="6">
        <f>'Final AC Units'!AD40/FinalHHSize!AD40</f>
        <v>0.294239878</v>
      </c>
      <c r="N40" s="6">
        <f>'Final AC Units'!AE40/FinalHHSize!AE40</f>
        <v>0.3667952985</v>
      </c>
      <c r="O40" s="6">
        <f>'Final AC Units'!AF40/FinalHHSize!AF40</f>
        <v>0.4571090708</v>
      </c>
      <c r="P40" s="7">
        <f t="shared" si="1"/>
        <v>6.993543721</v>
      </c>
      <c r="Q40" s="7">
        <v>1.1809006005266447</v>
      </c>
      <c r="R40" s="7">
        <v>11.991351309796084</v>
      </c>
      <c r="S40" s="8">
        <f t="shared" si="2"/>
        <v>10.15441207</v>
      </c>
    </row>
    <row r="41" ht="14.25" customHeight="1">
      <c r="A41" s="1" t="s">
        <v>32</v>
      </c>
      <c r="B41" s="1" t="s">
        <v>26</v>
      </c>
      <c r="C41" s="6">
        <f>'Final AC Units'!T41/FinalHHSize!T41</f>
        <v>0.1090620471</v>
      </c>
      <c r="D41" s="6">
        <f>'Final AC Units'!U41/FinalHHSize!U41</f>
        <v>0.6025127884</v>
      </c>
      <c r="E41" s="6">
        <f>'Final AC Units'!V41/FinalHHSize!V41</f>
        <v>0.9006050506</v>
      </c>
      <c r="F41" s="6">
        <f>'Final AC Units'!W41/FinalHHSize!W41</f>
        <v>1.551146544</v>
      </c>
      <c r="G41" s="6">
        <f>'Final AC Units'!X41/FinalHHSize!X41</f>
        <v>1.570127358</v>
      </c>
      <c r="H41" s="6">
        <f>'Final AC Units'!Y41/FinalHHSize!Y41</f>
        <v>1.491971003</v>
      </c>
      <c r="I41" s="6">
        <f>'Final AC Units'!Z41/FinalHHSize!Z41</f>
        <v>1.286522146</v>
      </c>
      <c r="J41" s="6">
        <f>'Final AC Units'!AA41/FinalHHSize!AA41</f>
        <v>1.442403227</v>
      </c>
      <c r="K41" s="6">
        <f>'Final AC Units'!AB41/FinalHHSize!AB41</f>
        <v>1.627592227</v>
      </c>
      <c r="L41" s="6">
        <f>'Final AC Units'!AC41/FinalHHSize!AC41</f>
        <v>1.872188259</v>
      </c>
      <c r="M41" s="6">
        <f>'Final AC Units'!AD41/FinalHHSize!AD41</f>
        <v>2.063268073</v>
      </c>
      <c r="N41" s="6">
        <f>'Final AC Units'!AE41/FinalHHSize!AE41</f>
        <v>2.217505961</v>
      </c>
      <c r="O41" s="6">
        <f>'Final AC Units'!AF41/FinalHHSize!AF41</f>
        <v>2.381124824</v>
      </c>
      <c r="P41" s="7">
        <f t="shared" si="1"/>
        <v>2.6439168</v>
      </c>
      <c r="Q41" s="7">
        <v>1.317801696020874</v>
      </c>
      <c r="R41" s="7">
        <v>11.244602128737961</v>
      </c>
      <c r="S41" s="8">
        <f t="shared" si="2"/>
        <v>8.532848427</v>
      </c>
    </row>
    <row r="42" ht="14.25" customHeight="1">
      <c r="A42" s="1" t="s">
        <v>33</v>
      </c>
      <c r="B42" s="1" t="s">
        <v>26</v>
      </c>
      <c r="C42" s="6">
        <f>'Final AC Units'!T42/FinalHHSize!T42</f>
        <v>0.01932290684</v>
      </c>
      <c r="D42" s="6">
        <f>'Final AC Units'!U42/FinalHHSize!U42</f>
        <v>0.07420642347</v>
      </c>
      <c r="E42" s="6">
        <f>'Final AC Units'!V42/FinalHHSize!V42</f>
        <v>0.1237161222</v>
      </c>
      <c r="F42" s="6">
        <f>'Final AC Units'!W42/FinalHHSize!W42</f>
        <v>0.2030420176</v>
      </c>
      <c r="G42" s="6">
        <f>'Final AC Units'!X42/FinalHHSize!X42</f>
        <v>0.1899150291</v>
      </c>
      <c r="H42" s="6">
        <f>'Final AC Units'!Y42/FinalHHSize!Y42</f>
        <v>0.156445662</v>
      </c>
      <c r="I42" s="6">
        <f>'Final AC Units'!Z42/FinalHHSize!Z42</f>
        <v>0.08855148925</v>
      </c>
      <c r="J42" s="6">
        <f>'Final AC Units'!AA42/FinalHHSize!AA42</f>
        <v>0.08305005525</v>
      </c>
      <c r="K42" s="6">
        <f>'Final AC Units'!AB42/FinalHHSize!AB42</f>
        <v>0.08295452255</v>
      </c>
      <c r="L42" s="6">
        <f>'Final AC Units'!AC42/FinalHHSize!AC42</f>
        <v>0.09142758886</v>
      </c>
      <c r="M42" s="6">
        <f>'Final AC Units'!AD42/FinalHHSize!AD42</f>
        <v>0.09789179066</v>
      </c>
      <c r="N42" s="6">
        <f>'Final AC Units'!AE42/FinalHHSize!AE42</f>
        <v>0.1027998308</v>
      </c>
      <c r="O42" s="6">
        <f>'Final AC Units'!AF42/FinalHHSize!AF42</f>
        <v>0.1084001033</v>
      </c>
      <c r="P42" s="7">
        <f t="shared" si="1"/>
        <v>0.8762002995</v>
      </c>
      <c r="Q42" s="7">
        <v>0.6641126615871928</v>
      </c>
      <c r="R42" s="7">
        <v>7.930769230769231</v>
      </c>
      <c r="S42" s="8">
        <f t="shared" si="2"/>
        <v>11.94190337</v>
      </c>
    </row>
    <row r="43" ht="14.25" customHeight="1">
      <c r="A43" s="1" t="s">
        <v>34</v>
      </c>
      <c r="B43" s="1" t="s">
        <v>26</v>
      </c>
      <c r="C43" s="6">
        <f>'Final AC Units'!T43/FinalHHSize!T43</f>
        <v>0.01031803647</v>
      </c>
      <c r="D43" s="6">
        <f>'Final AC Units'!U43/FinalHHSize!U43</f>
        <v>0.01493563893</v>
      </c>
      <c r="E43" s="6">
        <f>'Final AC Units'!V43/FinalHHSize!V43</f>
        <v>0.02169349817</v>
      </c>
      <c r="F43" s="6">
        <f>'Final AC Units'!W43/FinalHHSize!W43</f>
        <v>0.01746911418</v>
      </c>
      <c r="G43" s="6">
        <f>'Final AC Units'!X43/FinalHHSize!X43</f>
        <v>0.01269291712</v>
      </c>
      <c r="H43" s="6">
        <f>'Final AC Units'!Y43/FinalHHSize!Y43</f>
        <v>0.0118646968</v>
      </c>
      <c r="I43" s="6">
        <f>'Final AC Units'!Z43/FinalHHSize!Z43</f>
        <v>0.008184280315</v>
      </c>
      <c r="J43" s="6">
        <f>'Final AC Units'!AA43/FinalHHSize!AA43</f>
        <v>0.009984790657</v>
      </c>
      <c r="K43" s="6">
        <f>'Final AC Units'!AB43/FinalHHSize!AB43</f>
        <v>0.0119787073</v>
      </c>
      <c r="L43" s="6">
        <f>'Final AC Units'!AC43/FinalHHSize!AC43</f>
        <v>0.01507252294</v>
      </c>
      <c r="M43" s="6">
        <f>'Final AC Units'!AD43/FinalHHSize!AD43</f>
        <v>0.01816873011</v>
      </c>
      <c r="N43" s="6">
        <f>'Final AC Units'!AE43/FinalHHSize!AE43</f>
        <v>0.02138301602</v>
      </c>
      <c r="O43" s="6">
        <f>'Final AC Units'!AF43/FinalHHSize!AF43</f>
        <v>0.02521721282</v>
      </c>
      <c r="P43" s="7">
        <f t="shared" si="1"/>
        <v>1.162431832</v>
      </c>
      <c r="Q43" s="7">
        <v>0.3166391784405645</v>
      </c>
      <c r="R43" s="7">
        <v>3.2591061123975447</v>
      </c>
      <c r="S43" s="8">
        <f t="shared" si="2"/>
        <v>10.29280751</v>
      </c>
    </row>
    <row r="44" ht="14.25" customHeight="1">
      <c r="A44" s="1" t="s">
        <v>35</v>
      </c>
      <c r="B44" s="1" t="s">
        <v>26</v>
      </c>
      <c r="C44" s="6">
        <f>'Final AC Units'!T44/FinalHHSize!T44</f>
        <v>0.0688573936</v>
      </c>
      <c r="D44" s="6">
        <f>'Final AC Units'!U44/FinalHHSize!U44</f>
        <v>0.1069995478</v>
      </c>
      <c r="E44" s="6">
        <f>'Final AC Units'!V44/FinalHHSize!V44</f>
        <v>0.1566273857</v>
      </c>
      <c r="F44" s="6">
        <f>'Final AC Units'!W44/FinalHHSize!W44</f>
        <v>0.0941299443</v>
      </c>
      <c r="G44" s="6">
        <f>'Final AC Units'!X44/FinalHHSize!X44</f>
        <v>0.06768788173</v>
      </c>
      <c r="H44" s="6">
        <f>'Final AC Units'!Y44/FinalHHSize!Y44</f>
        <v>0.06446438895</v>
      </c>
      <c r="I44" s="6">
        <f>'Final AC Units'!Z44/FinalHHSize!Z44</f>
        <v>0.06753580852</v>
      </c>
      <c r="J44" s="6">
        <f>'Final AC Units'!AA44/FinalHHSize!AA44</f>
        <v>0.1008768855</v>
      </c>
      <c r="K44" s="6">
        <f>'Final AC Units'!AB44/FinalHHSize!AB44</f>
        <v>0.1408567986</v>
      </c>
      <c r="L44" s="6">
        <f>'Final AC Units'!AC44/FinalHHSize!AC44</f>
        <v>0.1947771917</v>
      </c>
      <c r="M44" s="6">
        <f>'Final AC Units'!AD44/FinalHHSize!AD44</f>
        <v>0.2554743545</v>
      </c>
      <c r="N44" s="6">
        <f>'Final AC Units'!AE44/FinalHHSize!AE44</f>
        <v>0.3243507026</v>
      </c>
      <c r="O44" s="6">
        <f>'Final AC Units'!AF44/FinalHHSize!AF44</f>
        <v>0.4084615583</v>
      </c>
      <c r="P44" s="7">
        <f t="shared" si="1"/>
        <v>2.607855302</v>
      </c>
      <c r="Q44" s="7">
        <v>0.7820330247855424</v>
      </c>
      <c r="R44" s="7">
        <v>10.32137134648323</v>
      </c>
      <c r="S44" s="8">
        <f t="shared" si="2"/>
        <v>13.19812721</v>
      </c>
    </row>
    <row r="45" ht="14.25" customHeight="1">
      <c r="A45" s="1" t="s">
        <v>36</v>
      </c>
      <c r="B45" s="1" t="s">
        <v>26</v>
      </c>
      <c r="C45" s="6">
        <f>'Final AC Units'!T45/FinalHHSize!T45</f>
        <v>0.2336481981</v>
      </c>
      <c r="D45" s="6">
        <f>'Final AC Units'!U45/FinalHHSize!U45</f>
        <v>0.224990787</v>
      </c>
      <c r="E45" s="6">
        <f>'Final AC Units'!V45/FinalHHSize!V45</f>
        <v>0.3342159437</v>
      </c>
      <c r="F45" s="6">
        <f>'Final AC Units'!W45/FinalHHSize!W45</f>
        <v>0.6044470829</v>
      </c>
      <c r="G45" s="6">
        <f>'Final AC Units'!X45/FinalHHSize!X45</f>
        <v>0.730323239</v>
      </c>
      <c r="H45" s="6">
        <f>'Final AC Units'!Y45/FinalHHSize!Y45</f>
        <v>0.8895502191</v>
      </c>
      <c r="I45" s="6">
        <f>'Final AC Units'!Z45/FinalHHSize!Z45</f>
        <v>0.9605359761</v>
      </c>
      <c r="J45" s="6">
        <f>'Final AC Units'!AA45/FinalHHSize!AA45</f>
        <v>1.179118039</v>
      </c>
      <c r="K45" s="6">
        <f>'Final AC Units'!AB45/FinalHHSize!AB45</f>
        <v>1.400949004</v>
      </c>
      <c r="L45" s="6">
        <f>'Final AC Units'!AC45/FinalHHSize!AC45</f>
        <v>1.725895363</v>
      </c>
      <c r="M45" s="6">
        <f>'Final AC Units'!AD45/FinalHHSize!AD45</f>
        <v>2.054236699</v>
      </c>
      <c r="N45" s="6">
        <f>'Final AC Units'!AE45/FinalHHSize!AE45</f>
        <v>2.392610872</v>
      </c>
      <c r="O45" s="6">
        <f>'Final AC Units'!AF45/FinalHHSize!AF45</f>
        <v>2.779309675</v>
      </c>
      <c r="P45" s="7">
        <f t="shared" si="1"/>
        <v>8.315909899</v>
      </c>
      <c r="Q45" s="7">
        <v>2.345720198675497</v>
      </c>
      <c r="R45" s="7">
        <v>17.575511332227748</v>
      </c>
      <c r="S45" s="8">
        <f t="shared" si="2"/>
        <v>7.492586431</v>
      </c>
    </row>
    <row r="46" ht="14.25" customHeight="1">
      <c r="A46" s="1" t="s">
        <v>37</v>
      </c>
      <c r="B46" s="1" t="s">
        <v>26</v>
      </c>
      <c r="C46" s="6">
        <f>'Final AC Units'!T46/FinalHHSize!T46</f>
        <v>0.1732905743</v>
      </c>
      <c r="D46" s="6">
        <f>'Final AC Units'!U46/FinalHHSize!U46</f>
        <v>0.2287407912</v>
      </c>
      <c r="E46" s="6">
        <f>'Final AC Units'!V46/FinalHHSize!V46</f>
        <v>0.3674069473</v>
      </c>
      <c r="F46" s="6">
        <f>'Final AC Units'!W46/FinalHHSize!W46</f>
        <v>0.1337067265</v>
      </c>
      <c r="G46" s="6">
        <f>'Final AC Units'!X46/FinalHHSize!X46</f>
        <v>0.09115342894</v>
      </c>
      <c r="H46" s="6">
        <f>'Final AC Units'!Y46/FinalHHSize!Y46</f>
        <v>0.07098049124</v>
      </c>
      <c r="I46" s="6">
        <f>'Final AC Units'!Z46/FinalHHSize!Z46</f>
        <v>0.06693640813</v>
      </c>
      <c r="J46" s="6">
        <f>'Final AC Units'!AA46/FinalHHSize!AA46</f>
        <v>0.07458757352</v>
      </c>
      <c r="K46" s="6">
        <f>'Final AC Units'!AB46/FinalHHSize!AB46</f>
        <v>0.08008188303</v>
      </c>
      <c r="L46" s="6">
        <f>'Final AC Units'!AC46/FinalHHSize!AC46</f>
        <v>0.09600015061</v>
      </c>
      <c r="M46" s="6">
        <f>'Final AC Units'!AD46/FinalHHSize!AD46</f>
        <v>0.1106150403</v>
      </c>
      <c r="N46" s="6">
        <f>'Final AC Units'!AE46/FinalHHSize!AE46</f>
        <v>0.1263322123</v>
      </c>
      <c r="O46" s="6">
        <f>'Final AC Units'!AF46/FinalHHSize!AF46</f>
        <v>0.1462491185</v>
      </c>
      <c r="P46" s="7">
        <f t="shared" si="1"/>
        <v>0.3980575752</v>
      </c>
      <c r="Q46" s="7">
        <v>1.3419722814498933</v>
      </c>
      <c r="R46" s="7">
        <v>4.971782518926359</v>
      </c>
      <c r="S46" s="8">
        <f t="shared" si="2"/>
        <v>3.704832497</v>
      </c>
    </row>
    <row r="47" ht="14.25" customHeight="1">
      <c r="A47" s="1" t="s">
        <v>38</v>
      </c>
      <c r="B47" s="1" t="s">
        <v>26</v>
      </c>
      <c r="C47" s="6">
        <f>'Final AC Units'!T47/FinalHHSize!T47</f>
        <v>0.1807614756</v>
      </c>
      <c r="D47" s="6">
        <f>'Final AC Units'!U47/FinalHHSize!U47</f>
        <v>0.3094588447</v>
      </c>
      <c r="E47" s="6">
        <f>'Final AC Units'!V47/FinalHHSize!V47</f>
        <v>0.4266390553</v>
      </c>
      <c r="F47" s="6">
        <f>'Final AC Units'!W47/FinalHHSize!W47</f>
        <v>0.623565393</v>
      </c>
      <c r="G47" s="6">
        <f>'Final AC Units'!X47/FinalHHSize!X47</f>
        <v>0.7512841559</v>
      </c>
      <c r="H47" s="6">
        <f>'Final AC Units'!Y47/FinalHHSize!Y47</f>
        <v>0.8949333059</v>
      </c>
      <c r="I47" s="6">
        <f>'Final AC Units'!Z47/FinalHHSize!Z47</f>
        <v>1.025207107</v>
      </c>
      <c r="J47" s="6">
        <f>'Final AC Units'!AA47/FinalHHSize!AA47</f>
        <v>1.299404395</v>
      </c>
      <c r="K47" s="6">
        <f>'Final AC Units'!AB47/FinalHHSize!AB47</f>
        <v>1.590167943</v>
      </c>
      <c r="L47" s="6">
        <f>'Final AC Units'!AC47/FinalHHSize!AC47</f>
        <v>1.995070547</v>
      </c>
      <c r="M47" s="6">
        <f>'Final AC Units'!AD47/FinalHHSize!AD47</f>
        <v>2.400455472</v>
      </c>
      <c r="N47" s="6">
        <f>'Final AC Units'!AE47/FinalHHSize!AE47</f>
        <v>2.81709712</v>
      </c>
      <c r="O47" s="6">
        <f>'Final AC Units'!AF47/FinalHHSize!AF47</f>
        <v>3.285017073</v>
      </c>
      <c r="P47" s="7">
        <f t="shared" si="1"/>
        <v>7.699757047</v>
      </c>
      <c r="Q47" s="7">
        <v>2.5497933984735797</v>
      </c>
      <c r="R47" s="7">
        <v>18.80897718090886</v>
      </c>
      <c r="S47" s="8">
        <f t="shared" si="2"/>
        <v>7.376667142</v>
      </c>
    </row>
    <row r="48" ht="14.25" customHeight="1">
      <c r="A48" s="1" t="s">
        <v>39</v>
      </c>
      <c r="B48" s="1" t="s">
        <v>26</v>
      </c>
      <c r="C48" s="6">
        <f>'Final AC Units'!T48/FinalHHSize!T48</f>
        <v>0.0964680104</v>
      </c>
      <c r="D48" s="6">
        <f>'Final AC Units'!U48/FinalHHSize!U48</f>
        <v>0.1140034097</v>
      </c>
      <c r="E48" s="6">
        <f>'Final AC Units'!V48/FinalHHSize!V48</f>
        <v>0.09228360183</v>
      </c>
      <c r="F48" s="6">
        <f>'Final AC Units'!W48/FinalHHSize!W48</f>
        <v>0.05372167932</v>
      </c>
      <c r="G48" s="6">
        <f>'Final AC Units'!X48/FinalHHSize!X48</f>
        <v>0.04397414608</v>
      </c>
      <c r="H48" s="6">
        <f>'Final AC Units'!Y48/FinalHHSize!Y48</f>
        <v>0.03840370708</v>
      </c>
      <c r="I48" s="6">
        <f>'Final AC Units'!Z48/FinalHHSize!Z48</f>
        <v>0.0401872176</v>
      </c>
      <c r="J48" s="6">
        <f>'Final AC Units'!AA48/FinalHHSize!AA48</f>
        <v>0.04873900162</v>
      </c>
      <c r="K48" s="6">
        <f>'Final AC Units'!AB48/FinalHHSize!AB48</f>
        <v>0.0540730591</v>
      </c>
      <c r="L48" s="6">
        <f>'Final AC Units'!AC48/FinalHHSize!AC48</f>
        <v>0.064513863</v>
      </c>
      <c r="M48" s="6">
        <f>'Final AC Units'!AD48/FinalHHSize!AD48</f>
        <v>0.07562924428</v>
      </c>
      <c r="N48" s="6">
        <f>'Final AC Units'!AE48/FinalHHSize!AE48</f>
        <v>0.08865401033</v>
      </c>
      <c r="O48" s="6">
        <f>'Final AC Units'!AF48/FinalHHSize!AF48</f>
        <v>0.1051141849</v>
      </c>
      <c r="P48" s="7">
        <f t="shared" si="1"/>
        <v>1.139034268</v>
      </c>
      <c r="Q48" s="7">
        <v>1.343171052631579</v>
      </c>
      <c r="R48" s="7">
        <v>7.302930251754024</v>
      </c>
      <c r="S48" s="8">
        <f t="shared" si="2"/>
        <v>5.437081329</v>
      </c>
    </row>
    <row r="49" ht="14.25" customHeight="1">
      <c r="A49" s="1" t="s">
        <v>40</v>
      </c>
      <c r="B49" s="1" t="s">
        <v>26</v>
      </c>
      <c r="C49" s="6">
        <f>'Final AC Units'!T49/FinalHHSize!T49</f>
        <v>0.1242887914</v>
      </c>
      <c r="D49" s="6">
        <f>'Final AC Units'!U49/FinalHHSize!U49</f>
        <v>6.478248898</v>
      </c>
      <c r="E49" s="6">
        <f>'Final AC Units'!V49/FinalHHSize!V49</f>
        <v>0.3102611391</v>
      </c>
      <c r="F49" s="6">
        <f>'Final AC Units'!W49/FinalHHSize!W49</f>
        <v>0.1031573674</v>
      </c>
      <c r="G49" s="6">
        <f>'Final AC Units'!X49/FinalHHSize!X49</f>
        <v>0.05502608211</v>
      </c>
      <c r="H49" s="6">
        <f>'Final AC Units'!Y49/FinalHHSize!Y49</f>
        <v>0.03729962109</v>
      </c>
      <c r="I49" s="6">
        <f>'Final AC Units'!Z49/FinalHHSize!Z49</f>
        <v>0.03718593149</v>
      </c>
      <c r="J49" s="6">
        <f>'Final AC Units'!AA49/FinalHHSize!AA49</f>
        <v>0.04209016125</v>
      </c>
      <c r="K49" s="6">
        <f>'Final AC Units'!AB49/FinalHHSize!AB49</f>
        <v>0.0467770829</v>
      </c>
      <c r="L49" s="6">
        <f>'Final AC Units'!AC49/FinalHHSize!AC49</f>
        <v>0.05628048663</v>
      </c>
      <c r="M49" s="6">
        <f>'Final AC Units'!AD49/FinalHHSize!AD49</f>
        <v>0.06705135657</v>
      </c>
      <c r="N49" s="6">
        <f>'Final AC Units'!AE49/FinalHHSize!AE49</f>
        <v>0.07825887485</v>
      </c>
      <c r="O49" s="6">
        <f>'Final AC Units'!AF49/FinalHHSize!AF49</f>
        <v>0.09212405936</v>
      </c>
      <c r="P49" s="7">
        <f t="shared" si="1"/>
        <v>0.2969242607</v>
      </c>
      <c r="Q49" s="7">
        <v>3.2208082103912763</v>
      </c>
      <c r="R49" s="7">
        <v>18.95034666666667</v>
      </c>
      <c r="S49" s="8">
        <f t="shared" si="2"/>
        <v>5.883724031</v>
      </c>
    </row>
    <row r="50" ht="14.25" customHeight="1">
      <c r="A50" s="1" t="s">
        <v>41</v>
      </c>
      <c r="B50" s="1" t="s">
        <v>26</v>
      </c>
      <c r="C50" s="6">
        <f>'Final AC Units'!T50/FinalHHSize!T50</f>
        <v>0.1431791537</v>
      </c>
      <c r="D50" s="6">
        <f>'Final AC Units'!U50/FinalHHSize!U50</f>
        <v>0.1954063394</v>
      </c>
      <c r="E50" s="6">
        <f>'Final AC Units'!V50/FinalHHSize!V50</f>
        <v>0.1617059377</v>
      </c>
      <c r="F50" s="6">
        <f>'Final AC Units'!W50/FinalHHSize!W50</f>
        <v>0.1757713602</v>
      </c>
      <c r="G50" s="6">
        <f>'Final AC Units'!X50/FinalHHSize!X50</f>
        <v>0.1654353861</v>
      </c>
      <c r="H50" s="6">
        <f>'Final AC Units'!Y50/FinalHHSize!Y50</f>
        <v>0.1663181512</v>
      </c>
      <c r="I50" s="6">
        <f>'Final AC Units'!Z50/FinalHHSize!Z50</f>
        <v>0.1734964981</v>
      </c>
      <c r="J50" s="6">
        <f>'Final AC Units'!AA50/FinalHHSize!AA50</f>
        <v>0.2553030756</v>
      </c>
      <c r="K50" s="6">
        <f>'Final AC Units'!AB50/FinalHHSize!AB50</f>
        <v>0.3514425217</v>
      </c>
      <c r="L50" s="6">
        <f>'Final AC Units'!AC50/FinalHHSize!AC50</f>
        <v>0.4763165318</v>
      </c>
      <c r="M50" s="6">
        <f>'Final AC Units'!AD50/FinalHHSize!AD50</f>
        <v>0.609478391</v>
      </c>
      <c r="N50" s="6">
        <f>'Final AC Units'!AE50/FinalHHSize!AE50</f>
        <v>0.7574035465</v>
      </c>
      <c r="O50" s="6">
        <f>'Final AC Units'!AF50/FinalHHSize!AF50</f>
        <v>0.9355318315</v>
      </c>
      <c r="P50" s="7">
        <f t="shared" si="1"/>
        <v>5.785389483</v>
      </c>
      <c r="Q50" s="7">
        <v>1.5519430274545767</v>
      </c>
      <c r="R50" s="7">
        <v>19.509369755733733</v>
      </c>
      <c r="S50" s="8">
        <f t="shared" si="2"/>
        <v>12.57093167</v>
      </c>
    </row>
    <row r="51" ht="14.25" customHeight="1">
      <c r="A51" s="1" t="s">
        <v>42</v>
      </c>
      <c r="B51" s="1" t="s">
        <v>26</v>
      </c>
      <c r="C51" s="6">
        <f>'Final AC Units'!T51/FinalHHSize!T51</f>
        <v>0.2757142957</v>
      </c>
      <c r="D51" s="6">
        <f>'Final AC Units'!U51/FinalHHSize!U51</f>
        <v>0.4494468178</v>
      </c>
      <c r="E51" s="6">
        <f>'Final AC Units'!V51/FinalHHSize!V51</f>
        <v>0.7394532444</v>
      </c>
      <c r="F51" s="6">
        <f>'Final AC Units'!W51/FinalHHSize!W51</f>
        <v>1.225377291</v>
      </c>
      <c r="G51" s="6">
        <f>'Final AC Units'!X51/FinalHHSize!X51</f>
        <v>1.268639111</v>
      </c>
      <c r="H51" s="6">
        <f>'Final AC Units'!Y51/FinalHHSize!Y51</f>
        <v>1.315677898</v>
      </c>
      <c r="I51" s="6">
        <f>'Final AC Units'!Z51/FinalHHSize!Z51</f>
        <v>1.259857634</v>
      </c>
      <c r="J51" s="6">
        <f>'Final AC Units'!AA51/FinalHHSize!AA51</f>
        <v>1.511945595</v>
      </c>
      <c r="K51" s="6">
        <f>'Final AC Units'!AB51/FinalHHSize!AB51</f>
        <v>1.791691832</v>
      </c>
      <c r="L51" s="6">
        <f>'Final AC Units'!AC51/FinalHHSize!AC51</f>
        <v>2.069453758</v>
      </c>
      <c r="M51" s="6">
        <f>'Final AC Units'!AD51/FinalHHSize!AD51</f>
        <v>2.321025767</v>
      </c>
      <c r="N51" s="6">
        <f>'Final AC Units'!AE51/FinalHHSize!AE51</f>
        <v>2.556588241</v>
      </c>
      <c r="O51" s="6">
        <f>'Final AC Units'!AF51/FinalHHSize!AF51</f>
        <v>2.821219216</v>
      </c>
      <c r="P51" s="7">
        <f t="shared" si="1"/>
        <v>3.815277351</v>
      </c>
      <c r="Q51" s="7">
        <v>1.4316878550175818</v>
      </c>
      <c r="R51" s="7">
        <v>10.685433858464616</v>
      </c>
      <c r="S51" s="8">
        <f t="shared" si="2"/>
        <v>7.463522039</v>
      </c>
    </row>
    <row r="52" ht="14.25" customHeight="1">
      <c r="A52" s="1" t="s">
        <v>43</v>
      </c>
      <c r="B52" s="1" t="s">
        <v>26</v>
      </c>
      <c r="C52" s="6">
        <f>'Final AC Units'!T52/FinalHHSize!T52</f>
        <v>0.215173095</v>
      </c>
      <c r="D52" s="6">
        <f>'Final AC Units'!U52/FinalHHSize!U52</f>
        <v>0.2275505337</v>
      </c>
      <c r="E52" s="6">
        <f>'Final AC Units'!V52/FinalHHSize!V52</f>
        <v>0.3238334697</v>
      </c>
      <c r="F52" s="6">
        <f>'Final AC Units'!W52/FinalHHSize!W52</f>
        <v>0.410078785</v>
      </c>
      <c r="G52" s="6">
        <f>'Final AC Units'!X52/FinalHHSize!X52</f>
        <v>0.3984791608</v>
      </c>
      <c r="H52" s="6">
        <f>'Final AC Units'!Y52/FinalHHSize!Y52</f>
        <v>0.3920923668</v>
      </c>
      <c r="I52" s="6">
        <f>'Final AC Units'!Z52/FinalHHSize!Z52</f>
        <v>0.3475995571</v>
      </c>
      <c r="J52" s="6">
        <f>'Final AC Units'!AA52/FinalHHSize!AA52</f>
        <v>0.425767114</v>
      </c>
      <c r="K52" s="6">
        <f>'Final AC Units'!AB52/FinalHHSize!AB52</f>
        <v>0.5092482772</v>
      </c>
      <c r="L52" s="6">
        <f>'Final AC Units'!AC52/FinalHHSize!AC52</f>
        <v>0.6112200044</v>
      </c>
      <c r="M52" s="6">
        <f>'Final AC Units'!AD52/FinalHHSize!AD52</f>
        <v>0.7086835533</v>
      </c>
      <c r="N52" s="6">
        <f>'Final AC Units'!AE52/FinalHHSize!AE52</f>
        <v>0.8092268526</v>
      </c>
      <c r="O52" s="6">
        <f>'Final AC Units'!AF52/FinalHHSize!AF52</f>
        <v>0.9280803455</v>
      </c>
      <c r="P52" s="7">
        <f t="shared" si="1"/>
        <v>2.865918543</v>
      </c>
      <c r="Q52" s="7">
        <v>1.6636977241122004</v>
      </c>
      <c r="R52" s="7">
        <v>9.496548844292697</v>
      </c>
      <c r="S52" s="8">
        <f t="shared" si="2"/>
        <v>5.708097515</v>
      </c>
    </row>
    <row r="53" ht="14.25" customHeight="1">
      <c r="A53" s="1" t="s">
        <v>44</v>
      </c>
      <c r="B53" s="1" t="s">
        <v>26</v>
      </c>
      <c r="C53" s="6">
        <f>'Final AC Units'!T53/FinalHHSize!T53</f>
        <v>0.1164630623</v>
      </c>
      <c r="D53" s="6">
        <f>'Final AC Units'!U53/FinalHHSize!U53</f>
        <v>0.3298664796</v>
      </c>
      <c r="E53" s="6">
        <f>'Final AC Units'!V53/FinalHHSize!V53</f>
        <v>0.08152588753</v>
      </c>
      <c r="F53" s="6">
        <f>'Final AC Units'!W53/FinalHHSize!W53</f>
        <v>0.2878274714</v>
      </c>
      <c r="G53" s="6">
        <f>'Final AC Units'!X53/FinalHHSize!X53</f>
        <v>0.2359517033</v>
      </c>
      <c r="H53" s="6">
        <f>'Final AC Units'!Y53/FinalHHSize!Y53</f>
        <v>0.2389741303</v>
      </c>
      <c r="I53" s="6">
        <f>'Final AC Units'!Z53/FinalHHSize!Z53</f>
        <v>0.2447941496</v>
      </c>
      <c r="J53" s="6">
        <f>'Final AC Units'!AA53/FinalHHSize!AA53</f>
        <v>0.2903451696</v>
      </c>
      <c r="K53" s="6">
        <f>'Final AC Units'!AB53/FinalHHSize!AB53</f>
        <v>0.322513866</v>
      </c>
      <c r="L53" s="6">
        <f>'Final AC Units'!AC53/FinalHHSize!AC53</f>
        <v>0.3800465472</v>
      </c>
      <c r="M53" s="6">
        <f>'Final AC Units'!AD53/FinalHHSize!AD53</f>
        <v>0.4309826094</v>
      </c>
      <c r="N53" s="6">
        <f>'Final AC Units'!AE53/FinalHHSize!AE53</f>
        <v>0.4755920206</v>
      </c>
      <c r="O53" s="6">
        <f>'Final AC Units'!AF53/FinalHHSize!AF53</f>
        <v>0.5252304868</v>
      </c>
      <c r="P53" s="7">
        <f t="shared" si="1"/>
        <v>6.442499465</v>
      </c>
      <c r="Q53" s="7">
        <v>0.5344155337786904</v>
      </c>
      <c r="R53" s="7">
        <v>4.0536782203828245</v>
      </c>
      <c r="S53" s="8">
        <f t="shared" si="2"/>
        <v>7.585255226</v>
      </c>
    </row>
    <row r="54" ht="14.25" customHeight="1">
      <c r="A54" s="1" t="s">
        <v>45</v>
      </c>
      <c r="B54" s="1" t="s">
        <v>26</v>
      </c>
      <c r="C54" s="6">
        <f>'Final AC Units'!T54/FinalHHSize!T54</f>
        <v>0.2768198335</v>
      </c>
      <c r="D54" s="6">
        <f>'Final AC Units'!U54/FinalHHSize!U54</f>
        <v>0.5382866744</v>
      </c>
      <c r="E54" s="6">
        <f>'Final AC Units'!V54/FinalHHSize!V54</f>
        <v>0.2163314033</v>
      </c>
      <c r="F54" s="6">
        <f>'Final AC Units'!W54/FinalHHSize!W54</f>
        <v>2.530038895</v>
      </c>
      <c r="G54" s="6">
        <f>'Final AC Units'!X54/FinalHHSize!X54</f>
        <v>2.694640392</v>
      </c>
      <c r="H54" s="6">
        <f>'Final AC Units'!Y54/FinalHHSize!Y54</f>
        <v>2.875029837</v>
      </c>
      <c r="I54" s="6">
        <f>'Final AC Units'!Z54/FinalHHSize!Z54</f>
        <v>3.109156772</v>
      </c>
      <c r="J54" s="6">
        <f>'Final AC Units'!AA54/FinalHHSize!AA54</f>
        <v>3.664811571</v>
      </c>
      <c r="K54" s="6">
        <f>'Final AC Units'!AB54/FinalHHSize!AB54</f>
        <v>4.234306331</v>
      </c>
      <c r="L54" s="6">
        <f>'Final AC Units'!AC54/FinalHHSize!AC54</f>
        <v>4.858577158</v>
      </c>
      <c r="M54" s="6">
        <f>'Final AC Units'!AD54/FinalHHSize!AD54</f>
        <v>5.451002341</v>
      </c>
      <c r="N54" s="6">
        <f>'Final AC Units'!AE54/FinalHHSize!AE54</f>
        <v>6.001443895</v>
      </c>
      <c r="O54" s="6">
        <f>'Final AC Units'!AF54/FinalHHSize!AF54</f>
        <v>6.615414681</v>
      </c>
      <c r="P54" s="9">
        <f t="shared" si="1"/>
        <v>30.5800017</v>
      </c>
      <c r="Q54" s="7">
        <v>0.824962708830549</v>
      </c>
      <c r="R54" s="7">
        <v>5.269609087064226</v>
      </c>
      <c r="S54" s="8">
        <f t="shared" si="2"/>
        <v>6.387693687</v>
      </c>
    </row>
    <row r="55" ht="14.25" customHeight="1">
      <c r="A55" s="1" t="s">
        <v>46</v>
      </c>
      <c r="B55" s="1" t="s">
        <v>26</v>
      </c>
      <c r="C55" s="6">
        <f>'Final AC Units'!T55/FinalHHSize!T55</f>
        <v>0.01527097754</v>
      </c>
      <c r="D55" s="6">
        <f>'Final AC Units'!U55/FinalHHSize!U55</f>
        <v>0.01920449371</v>
      </c>
      <c r="E55" s="6">
        <f>'Final AC Units'!V55/FinalHHSize!V55</f>
        <v>0.02337084674</v>
      </c>
      <c r="F55" s="6">
        <f>'Final AC Units'!W55/FinalHHSize!W55</f>
        <v>0.0388236122</v>
      </c>
      <c r="G55" s="6">
        <f>'Final AC Units'!X55/FinalHHSize!X55</f>
        <v>0.03481671806</v>
      </c>
      <c r="H55" s="6">
        <f>'Final AC Units'!Y55/FinalHHSize!Y55</f>
        <v>0.03599474986</v>
      </c>
      <c r="I55" s="6">
        <f>'Final AC Units'!Z55/FinalHHSize!Z55</f>
        <v>0.03473569999</v>
      </c>
      <c r="J55" s="6">
        <f>'Final AC Units'!AA55/FinalHHSize!AA55</f>
        <v>0.04377864281</v>
      </c>
      <c r="K55" s="6">
        <f>'Final AC Units'!AB55/FinalHHSize!AB55</f>
        <v>0.05340614293</v>
      </c>
      <c r="L55" s="6">
        <f>'Final AC Units'!AC55/FinalHHSize!AC55</f>
        <v>0.06662080162</v>
      </c>
      <c r="M55" s="6">
        <f>'Final AC Units'!AD55/FinalHHSize!AD55</f>
        <v>0.07954354873</v>
      </c>
      <c r="N55" s="6">
        <f>'Final AC Units'!AE55/FinalHHSize!AE55</f>
        <v>0.09323647001</v>
      </c>
      <c r="O55" s="6">
        <f>'Final AC Units'!AF55/FinalHHSize!AF55</f>
        <v>0.1097588913</v>
      </c>
      <c r="P55" s="7">
        <f t="shared" si="1"/>
        <v>4.696401998</v>
      </c>
      <c r="Q55" s="7">
        <v>1.6128356645972024</v>
      </c>
      <c r="R55" s="7">
        <v>11.950431754874652</v>
      </c>
      <c r="S55" s="8">
        <f t="shared" si="2"/>
        <v>7.40957806</v>
      </c>
    </row>
    <row r="56" ht="14.25" customHeight="1">
      <c r="A56" s="1" t="s">
        <v>47</v>
      </c>
      <c r="B56" s="1" t="s">
        <v>26</v>
      </c>
      <c r="C56" s="6">
        <f>'Final AC Units'!T56/FinalHHSize!T56</f>
        <v>0.02246810617</v>
      </c>
      <c r="D56" s="6">
        <f>'Final AC Units'!U56/FinalHHSize!U56</f>
        <v>0.01398849149</v>
      </c>
      <c r="E56" s="6">
        <f>'Final AC Units'!V56/FinalHHSize!V56</f>
        <v>0.0207981854</v>
      </c>
      <c r="F56" s="6">
        <f>'Final AC Units'!W56/FinalHHSize!W56</f>
        <v>0.04222276128</v>
      </c>
      <c r="G56" s="6">
        <f>'Final AC Units'!X56/FinalHHSize!X56</f>
        <v>0.03572801454</v>
      </c>
      <c r="H56" s="6">
        <f>'Final AC Units'!Y56/FinalHHSize!Y56</f>
        <v>0.03852106387</v>
      </c>
      <c r="I56" s="6">
        <f>'Final AC Units'!Z56/FinalHHSize!Z56</f>
        <v>0.03945458534</v>
      </c>
      <c r="J56" s="6">
        <f>'Final AC Units'!AA56/FinalHHSize!AA56</f>
        <v>0.04731235458</v>
      </c>
      <c r="K56" s="6">
        <f>'Final AC Units'!AB56/FinalHHSize!AB56</f>
        <v>0.05523024647</v>
      </c>
      <c r="L56" s="6">
        <f>'Final AC Units'!AC56/FinalHHSize!AC56</f>
        <v>0.0695229176</v>
      </c>
      <c r="M56" s="6">
        <f>'Final AC Units'!AD56/FinalHHSize!AD56</f>
        <v>0.08486302525</v>
      </c>
      <c r="N56" s="6">
        <f>'Final AC Units'!AE56/FinalHHSize!AE56</f>
        <v>0.1019449564</v>
      </c>
      <c r="O56" s="6">
        <f>'Final AC Units'!AF56/FinalHHSize!AF56</f>
        <v>0.1234324306</v>
      </c>
      <c r="P56" s="7">
        <f t="shared" si="1"/>
        <v>5.934769224</v>
      </c>
      <c r="Q56" s="7">
        <v>1.509788948688326</v>
      </c>
      <c r="R56" s="7">
        <v>13.187716476991588</v>
      </c>
      <c r="S56" s="8">
        <f t="shared" si="2"/>
        <v>8.734807927</v>
      </c>
    </row>
    <row r="57" ht="14.25" customHeight="1">
      <c r="A57" s="1" t="s">
        <v>48</v>
      </c>
      <c r="B57" s="1" t="s">
        <v>26</v>
      </c>
      <c r="C57" s="6">
        <f>'Final AC Units'!T57/FinalHHSize!T57</f>
        <v>0.05137536482</v>
      </c>
      <c r="D57" s="6">
        <f>'Final AC Units'!U57/FinalHHSize!U57</f>
        <v>0.1002270424</v>
      </c>
      <c r="E57" s="6">
        <f>'Final AC Units'!V57/FinalHHSize!V57</f>
        <v>0.1587586886</v>
      </c>
      <c r="F57" s="6">
        <f>'Final AC Units'!W57/FinalHHSize!W57</f>
        <v>0.2016596719</v>
      </c>
      <c r="G57" s="6">
        <f>'Final AC Units'!X57/FinalHHSize!X57</f>
        <v>0.195647115</v>
      </c>
      <c r="H57" s="6">
        <f>'Final AC Units'!Y57/FinalHHSize!Y57</f>
        <v>0.2162272557</v>
      </c>
      <c r="I57" s="6">
        <f>'Final AC Units'!Z57/FinalHHSize!Z57</f>
        <v>0.2428966569</v>
      </c>
      <c r="J57" s="6">
        <f>'Final AC Units'!AA57/FinalHHSize!AA57</f>
        <v>0.2970508938</v>
      </c>
      <c r="K57" s="6">
        <f>'Final AC Units'!AB57/FinalHHSize!AB57</f>
        <v>0.3353683326</v>
      </c>
      <c r="L57" s="6">
        <f>'Final AC Units'!AC57/FinalHHSize!AC57</f>
        <v>0.3943150974</v>
      </c>
      <c r="M57" s="6">
        <f>'Final AC Units'!AD57/FinalHHSize!AD57</f>
        <v>0.458210283</v>
      </c>
      <c r="N57" s="6">
        <f>'Final AC Units'!AE57/FinalHHSize!AE57</f>
        <v>0.518983539</v>
      </c>
      <c r="O57" s="6">
        <f>'Final AC Units'!AF57/FinalHHSize!AF57</f>
        <v>0.602812192</v>
      </c>
      <c r="P57" s="7">
        <f t="shared" si="1"/>
        <v>3.797034338</v>
      </c>
      <c r="Q57" s="7">
        <v>1.343074074074074</v>
      </c>
      <c r="R57" s="7">
        <v>9.816281690140846</v>
      </c>
      <c r="S57" s="8">
        <f t="shared" si="2"/>
        <v>7.308816304</v>
      </c>
    </row>
    <row r="58" ht="14.25" customHeight="1">
      <c r="A58" s="1" t="s">
        <v>49</v>
      </c>
      <c r="B58" s="1" t="s">
        <v>26</v>
      </c>
      <c r="C58" s="6">
        <f>'Final AC Units'!T58/FinalHHSize!T58</f>
        <v>0.1602846782</v>
      </c>
      <c r="D58" s="6">
        <f>'Final AC Units'!U58/FinalHHSize!U58</f>
        <v>0.1110158347</v>
      </c>
      <c r="E58" s="6">
        <f>'Final AC Units'!V58/FinalHHSize!V58</f>
        <v>0.09949013597</v>
      </c>
      <c r="F58" s="6">
        <f>'Final AC Units'!W58/FinalHHSize!W58</f>
        <v>0.1911602748</v>
      </c>
      <c r="G58" s="6">
        <f>'Final AC Units'!X58/FinalHHSize!X58</f>
        <v>0.1462567963</v>
      </c>
      <c r="H58" s="6">
        <f>'Final AC Units'!Y58/FinalHHSize!Y58</f>
        <v>0.1405555237</v>
      </c>
      <c r="I58" s="6">
        <f>'Final AC Units'!Z58/FinalHHSize!Z58</f>
        <v>0.1373240154</v>
      </c>
      <c r="J58" s="6">
        <f>'Final AC Units'!AA58/FinalHHSize!AA58</f>
        <v>0.1689744166</v>
      </c>
      <c r="K58" s="6">
        <f>'Final AC Units'!AB58/FinalHHSize!AB58</f>
        <v>0.2081391177</v>
      </c>
      <c r="L58" s="6">
        <f>'Final AC Units'!AC58/FinalHHSize!AC58</f>
        <v>0.2665975205</v>
      </c>
      <c r="M58" s="6">
        <f>'Final AC Units'!AD58/FinalHHSize!AD58</f>
        <v>0.3287372859</v>
      </c>
      <c r="N58" s="6">
        <f>'Final AC Units'!AE58/FinalHHSize!AE58</f>
        <v>0.3929420148</v>
      </c>
      <c r="O58" s="6" t="str">
        <f>'Final AC Units'!AF58/FinalHHSize!AF58</f>
        <v>#DIV/0!</v>
      </c>
      <c r="P58" s="7" t="str">
        <f t="shared" si="1"/>
        <v>#DIV/0!</v>
      </c>
      <c r="Q58" s="7">
        <v>1.324775</v>
      </c>
      <c r="R58" s="7">
        <v>8.909928571428571</v>
      </c>
      <c r="S58" s="8">
        <f t="shared" si="2"/>
        <v>6.725616479</v>
      </c>
    </row>
    <row r="59" ht="14.25" customHeight="1">
      <c r="A59" s="1" t="s">
        <v>50</v>
      </c>
      <c r="B59" s="1" t="s">
        <v>26</v>
      </c>
      <c r="C59" s="6">
        <f>'Final AC Units'!T59/FinalHHSize!T59</f>
        <v>0.02694175334</v>
      </c>
      <c r="D59" s="6">
        <f>'Final AC Units'!U59/FinalHHSize!U59</f>
        <v>0.03603073403</v>
      </c>
      <c r="E59" s="6">
        <f>'Final AC Units'!V59/FinalHHSize!V59</f>
        <v>0.02667076919</v>
      </c>
      <c r="F59" s="6">
        <f>'Final AC Units'!W59/FinalHHSize!W59</f>
        <v>0.03020161868</v>
      </c>
      <c r="G59" s="6">
        <f>'Final AC Units'!X59/FinalHHSize!X59</f>
        <v>0.02852618925</v>
      </c>
      <c r="H59" s="6">
        <f>'Final AC Units'!Y59/FinalHHSize!Y59</f>
        <v>0.02807739305</v>
      </c>
      <c r="I59" s="6">
        <f>'Final AC Units'!Z59/FinalHHSize!Z59</f>
        <v>0.02657317741</v>
      </c>
      <c r="J59" s="6">
        <f>'Final AC Units'!AA59/FinalHHSize!AA59</f>
        <v>0.03671300804</v>
      </c>
      <c r="K59" s="6">
        <f>'Final AC Units'!AB59/FinalHHSize!AB59</f>
        <v>0.049323136</v>
      </c>
      <c r="L59" s="6">
        <f>'Final AC Units'!AC59/FinalHHSize!AC59</f>
        <v>0.06592310904</v>
      </c>
      <c r="M59" s="6">
        <f>'Final AC Units'!AD59/FinalHHSize!AD59</f>
        <v>0.08358528382</v>
      </c>
      <c r="N59" s="6">
        <f>'Final AC Units'!AE59/FinalHHSize!AE59</f>
        <v>0.1032424416</v>
      </c>
      <c r="O59" s="6">
        <f>'Final AC Units'!AF59/FinalHHSize!AF59</f>
        <v>0.1269280851</v>
      </c>
      <c r="P59" s="7">
        <f t="shared" si="1"/>
        <v>4.759071035</v>
      </c>
      <c r="Q59" s="7">
        <v>1.4219082748700145</v>
      </c>
      <c r="R59" s="7">
        <v>13.166009683506477</v>
      </c>
      <c r="S59" s="8">
        <f t="shared" si="2"/>
        <v>9.259394517</v>
      </c>
    </row>
    <row r="60" ht="14.25" customHeight="1">
      <c r="A60" s="1" t="s">
        <v>51</v>
      </c>
      <c r="B60" s="1" t="s">
        <v>26</v>
      </c>
      <c r="C60" s="6">
        <f>'Final AC Units'!T60/FinalHHSize!T60</f>
        <v>0.1152107606</v>
      </c>
      <c r="D60" s="6">
        <f>'Final AC Units'!U60/FinalHHSize!U60</f>
        <v>0.4859598284</v>
      </c>
      <c r="E60" s="6">
        <f>'Final AC Units'!V60/FinalHHSize!V60</f>
        <v>0.6059347521</v>
      </c>
      <c r="F60" s="6">
        <f>'Final AC Units'!W60/FinalHHSize!W60</f>
        <v>1.095450856</v>
      </c>
      <c r="G60" s="6">
        <f>'Final AC Units'!X60/FinalHHSize!X60</f>
        <v>1.114746219</v>
      </c>
      <c r="H60" s="6">
        <f>'Final AC Units'!Y60/FinalHHSize!Y60</f>
        <v>1.050935385</v>
      </c>
      <c r="I60" s="6">
        <f>'Final AC Units'!Z60/FinalHHSize!Z60</f>
        <v>0.8473211111</v>
      </c>
      <c r="J60" s="6">
        <f>'Final AC Units'!AA60/FinalHHSize!AA60</f>
        <v>0.9122764835</v>
      </c>
      <c r="K60" s="6">
        <f>'Final AC Units'!AB60/FinalHHSize!AB60</f>
        <v>1.000759218</v>
      </c>
      <c r="L60" s="6">
        <f>'Final AC Units'!AC60/FinalHHSize!AC60</f>
        <v>1.133297524</v>
      </c>
      <c r="M60" s="6">
        <f>'Final AC Units'!AD60/FinalHHSize!AD60</f>
        <v>1.240589137</v>
      </c>
      <c r="N60" s="6">
        <f>'Final AC Units'!AE60/FinalHHSize!AE60</f>
        <v>1.331978432</v>
      </c>
      <c r="O60" s="6">
        <f>'Final AC Units'!AF60/FinalHHSize!AF60</f>
        <v>1.433974586</v>
      </c>
      <c r="P60" s="7">
        <f t="shared" si="1"/>
        <v>2.366549503</v>
      </c>
      <c r="Q60" s="7">
        <v>0.7058424574209246</v>
      </c>
      <c r="R60" s="7">
        <v>5.628070175438597</v>
      </c>
      <c r="S60" s="8">
        <f t="shared" si="2"/>
        <v>7.97355007</v>
      </c>
    </row>
    <row r="61" ht="14.25" customHeight="1">
      <c r="A61" s="1" t="s">
        <v>52</v>
      </c>
      <c r="B61" s="1" t="s">
        <v>26</v>
      </c>
      <c r="C61" s="6">
        <f>'Final AC Units'!T61/FinalHHSize!T61</f>
        <v>0.02342743304</v>
      </c>
      <c r="D61" s="6">
        <f>'Final AC Units'!U61/FinalHHSize!U61</f>
        <v>0.1147633375</v>
      </c>
      <c r="E61" s="6">
        <f>'Final AC Units'!V61/FinalHHSize!V61</f>
        <v>0.1708464858</v>
      </c>
      <c r="F61" s="6">
        <f>'Final AC Units'!W61/FinalHHSize!W61</f>
        <v>0.2813739392</v>
      </c>
      <c r="G61" s="6">
        <f>'Final AC Units'!X61/FinalHHSize!X61</f>
        <v>0.2568716035</v>
      </c>
      <c r="H61" s="6">
        <f>'Final AC Units'!Y61/FinalHHSize!Y61</f>
        <v>0.2173360275</v>
      </c>
      <c r="I61" s="6">
        <f>'Final AC Units'!Z61/FinalHHSize!Z61</f>
        <v>0.1573031316</v>
      </c>
      <c r="J61" s="6">
        <f>'Final AC Units'!AA61/FinalHHSize!AA61</f>
        <v>0.157497245</v>
      </c>
      <c r="K61" s="6">
        <f>'Final AC Units'!AB61/FinalHHSize!AB61</f>
        <v>0.1582018712</v>
      </c>
      <c r="L61" s="6">
        <f>'Final AC Units'!AC61/FinalHHSize!AC61</f>
        <v>0.1724091417</v>
      </c>
      <c r="M61" s="6">
        <f>'Final AC Units'!AD61/FinalHHSize!AD61</f>
        <v>0.1824653592</v>
      </c>
      <c r="N61" s="6">
        <f>'Final AC Units'!AE61/FinalHHSize!AE61</f>
        <v>0.1896149163</v>
      </c>
      <c r="O61" s="6">
        <f>'Final AC Units'!AF61/FinalHHSize!AF61</f>
        <v>0.1980673605</v>
      </c>
      <c r="P61" s="7">
        <f t="shared" si="1"/>
        <v>1.159329439</v>
      </c>
      <c r="Q61" s="7">
        <v>0.636698262243286</v>
      </c>
      <c r="R61" s="7">
        <v>4.907915658486001</v>
      </c>
      <c r="S61" s="8">
        <f t="shared" si="2"/>
        <v>7.708385509</v>
      </c>
    </row>
    <row r="62" ht="14.25" customHeight="1">
      <c r="A62" s="1" t="s">
        <v>53</v>
      </c>
      <c r="B62" s="1" t="s">
        <v>26</v>
      </c>
      <c r="C62" s="6">
        <f>'Final AC Units'!T62/FinalHHSize!T62</f>
        <v>0.02597741436</v>
      </c>
      <c r="D62" s="6">
        <f>'Final AC Units'!U62/FinalHHSize!U62</f>
        <v>0.03656718823</v>
      </c>
      <c r="E62" s="6">
        <f>'Final AC Units'!V62/FinalHHSize!V62</f>
        <v>0.04134829606</v>
      </c>
      <c r="F62" s="6">
        <f>'Final AC Units'!W62/FinalHHSize!W62</f>
        <v>0.03830305568</v>
      </c>
      <c r="G62" s="6">
        <f>'Final AC Units'!X62/FinalHHSize!X62</f>
        <v>0.03152693756</v>
      </c>
      <c r="H62" s="6">
        <f>'Final AC Units'!Y62/FinalHHSize!Y62</f>
        <v>0.02895091666</v>
      </c>
      <c r="I62" s="6">
        <f>'Final AC Units'!Z62/FinalHHSize!Z62</f>
        <v>0.02559938158</v>
      </c>
      <c r="J62" s="6">
        <f>'Final AC Units'!AA62/FinalHHSize!AA62</f>
        <v>0.03291785104</v>
      </c>
      <c r="K62" s="6">
        <f>'Final AC Units'!AB62/FinalHHSize!AB62</f>
        <v>0.04073415624</v>
      </c>
      <c r="L62" s="6">
        <f>'Final AC Units'!AC62/FinalHHSize!AC62</f>
        <v>0.0508424033</v>
      </c>
      <c r="M62" s="6">
        <f>'Final AC Units'!AD62/FinalHHSize!AD62</f>
        <v>0.06114426046</v>
      </c>
      <c r="N62" s="6">
        <f>'Final AC Units'!AE62/FinalHHSize!AE62</f>
        <v>0.07222504533</v>
      </c>
      <c r="O62" s="6">
        <f>'Final AC Units'!AF62/FinalHHSize!AF62</f>
        <v>0.08575906646</v>
      </c>
      <c r="P62" s="7">
        <f t="shared" si="1"/>
        <v>2.074065309</v>
      </c>
      <c r="Q62" s="7">
        <v>0.7397202896492971</v>
      </c>
      <c r="R62" s="7">
        <v>6.458956190335233</v>
      </c>
      <c r="S62" s="8">
        <f t="shared" si="2"/>
        <v>8.731619614</v>
      </c>
    </row>
    <row r="63" ht="14.25" customHeight="1">
      <c r="A63" s="1" t="s">
        <v>54</v>
      </c>
      <c r="B63" s="1" t="s">
        <v>26</v>
      </c>
      <c r="C63" s="6">
        <f>'Final AC Units'!T63/FinalHHSize!T63</f>
        <v>0.05870355356</v>
      </c>
      <c r="D63" s="6">
        <f>'Final AC Units'!U63/FinalHHSize!U63</f>
        <v>0.4025698995</v>
      </c>
      <c r="E63" s="6">
        <f>'Final AC Units'!V63/FinalHHSize!V63</f>
        <v>0.6650806849</v>
      </c>
      <c r="F63" s="6">
        <f>'Final AC Units'!W63/FinalHHSize!W63</f>
        <v>1.080206712</v>
      </c>
      <c r="G63" s="6">
        <f>'Final AC Units'!X63/FinalHHSize!X63</f>
        <v>1.021910226</v>
      </c>
      <c r="H63" s="6">
        <f>'Final AC Units'!Y63/FinalHHSize!Y63</f>
        <v>0.9031370458</v>
      </c>
      <c r="I63" s="6">
        <f>'Final AC Units'!Z63/FinalHHSize!Z63</f>
        <v>0.7332333676</v>
      </c>
      <c r="J63" s="6">
        <f>'Final AC Units'!AA63/FinalHHSize!AA63</f>
        <v>0.7406314702</v>
      </c>
      <c r="K63" s="6">
        <f>'Final AC Units'!AB63/FinalHHSize!AB63</f>
        <v>0.7618832122</v>
      </c>
      <c r="L63" s="6">
        <f>'Final AC Units'!AC63/FinalHHSize!AC63</f>
        <v>0.817198044</v>
      </c>
      <c r="M63" s="6">
        <f>'Final AC Units'!AD63/FinalHHSize!AD63</f>
        <v>0.8569856135</v>
      </c>
      <c r="N63" s="6">
        <f>'Final AC Units'!AE63/FinalHHSize!AE63</f>
        <v>0.8860496156</v>
      </c>
      <c r="O63" s="6">
        <f>'Final AC Units'!AF63/FinalHHSize!AF63</f>
        <v>0.9251226265</v>
      </c>
      <c r="P63" s="7">
        <f t="shared" si="1"/>
        <v>1.390993074</v>
      </c>
      <c r="Q63" s="7">
        <v>1.3619654605263158</v>
      </c>
      <c r="R63" s="7">
        <v>9.874579124579125</v>
      </c>
      <c r="S63" s="8">
        <f t="shared" si="2"/>
        <v>7.250241956</v>
      </c>
    </row>
    <row r="64" ht="14.25" customHeight="1">
      <c r="A64" s="1" t="s">
        <v>55</v>
      </c>
      <c r="B64" s="1" t="s">
        <v>26</v>
      </c>
      <c r="C64" s="6">
        <f>'Final AC Units'!T64/FinalHHSize!T64</f>
        <v>0.2927599737</v>
      </c>
      <c r="D64" s="6">
        <f>'Final AC Units'!U64/FinalHHSize!U64</f>
        <v>1.150856135</v>
      </c>
      <c r="E64" s="6">
        <f>'Final AC Units'!V64/FinalHHSize!V64</f>
        <v>1.536116833</v>
      </c>
      <c r="F64" s="6">
        <f>'Final AC Units'!W64/FinalHHSize!W64</f>
        <v>2.853924344</v>
      </c>
      <c r="G64" s="6">
        <f>'Final AC Units'!X64/FinalHHSize!X64</f>
        <v>2.667646416</v>
      </c>
      <c r="H64" s="6">
        <f>'Final AC Units'!Y64/FinalHHSize!Y64</f>
        <v>2.358899836</v>
      </c>
      <c r="I64" s="6">
        <f>'Final AC Units'!Z64/FinalHHSize!Z64</f>
        <v>2.123848511</v>
      </c>
      <c r="J64" s="6">
        <f>'Final AC Units'!AA64/FinalHHSize!AA64</f>
        <v>2.174713754</v>
      </c>
      <c r="K64" s="6">
        <f>'Final AC Units'!AB64/FinalHHSize!AB64</f>
        <v>2.280506747</v>
      </c>
      <c r="L64" s="6">
        <f>'Final AC Units'!AC64/FinalHHSize!AC64</f>
        <v>2.58643964</v>
      </c>
      <c r="M64" s="6">
        <f>'Final AC Units'!AD64/FinalHHSize!AD64</f>
        <v>2.853328008</v>
      </c>
      <c r="N64" s="6">
        <f>'Final AC Units'!AE64/FinalHHSize!AE64</f>
        <v>3.070377389</v>
      </c>
      <c r="O64" s="6">
        <f>'Final AC Units'!AF64/FinalHHSize!AF64</f>
        <v>3.321491799</v>
      </c>
      <c r="P64" s="7">
        <f t="shared" si="1"/>
        <v>2.162265088</v>
      </c>
      <c r="Q64" s="7">
        <v>0.9166468978102189</v>
      </c>
      <c r="R64" s="7">
        <v>6.027662454873646</v>
      </c>
      <c r="S64" s="8">
        <f t="shared" si="2"/>
        <v>6.575773582</v>
      </c>
    </row>
    <row r="65" ht="14.25" customHeight="1">
      <c r="A65" s="1" t="s">
        <v>56</v>
      </c>
      <c r="B65" s="1" t="s">
        <v>26</v>
      </c>
      <c r="C65" s="6">
        <f>'Final AC Units'!T65/FinalHHSize!T65</f>
        <v>0.1933023166</v>
      </c>
      <c r="D65" s="6">
        <f>'Final AC Units'!U65/FinalHHSize!U65</f>
        <v>0.266242703</v>
      </c>
      <c r="E65" s="6">
        <f>'Final AC Units'!V65/FinalHHSize!V65</f>
        <v>0.3424263968</v>
      </c>
      <c r="F65" s="6">
        <f>'Final AC Units'!W65/FinalHHSize!W65</f>
        <v>0.3741548902</v>
      </c>
      <c r="G65" s="6">
        <f>'Final AC Units'!X65/FinalHHSize!X65</f>
        <v>0.3536165383</v>
      </c>
      <c r="H65" s="6">
        <f>'Final AC Units'!Y65/FinalHHSize!Y65</f>
        <v>0.3806195774</v>
      </c>
      <c r="I65" s="6">
        <f>'Final AC Units'!Z65/FinalHHSize!Z65</f>
        <v>0.3630529557</v>
      </c>
      <c r="J65" s="6">
        <f>'Final AC Units'!AA65/FinalHHSize!AA65</f>
        <v>0.4970370772</v>
      </c>
      <c r="K65" s="6">
        <f>'Final AC Units'!AB65/FinalHHSize!AB65</f>
        <v>0.6491621746</v>
      </c>
      <c r="L65" s="6">
        <f>'Final AC Units'!AC65/FinalHHSize!AC65</f>
        <v>0.823470718</v>
      </c>
      <c r="M65" s="6">
        <f>'Final AC Units'!AD65/FinalHHSize!AD65</f>
        <v>1.000544741</v>
      </c>
      <c r="N65" s="6">
        <f>'Final AC Units'!AE65/FinalHHSize!AE65</f>
        <v>1.190444101</v>
      </c>
      <c r="O65" s="6">
        <f>'Final AC Units'!AF65/FinalHHSize!AF65</f>
        <v>1.417274505</v>
      </c>
      <c r="P65" s="7">
        <f t="shared" si="1"/>
        <v>4.138917205</v>
      </c>
      <c r="Q65" s="7">
        <v>0.814927440783049</v>
      </c>
      <c r="R65" s="7">
        <v>8.576156748527174</v>
      </c>
      <c r="S65" s="8">
        <f t="shared" si="2"/>
        <v>10.52382865</v>
      </c>
    </row>
    <row r="66" ht="14.25" customHeight="1">
      <c r="A66" s="1" t="s">
        <v>57</v>
      </c>
      <c r="B66" s="1" t="s">
        <v>26</v>
      </c>
      <c r="C66" s="6">
        <f>'Final AC Units'!T66/FinalHHSize!T66</f>
        <v>0.2743943275</v>
      </c>
      <c r="D66" s="6">
        <f>'Final AC Units'!U66/FinalHHSize!U66</f>
        <v>0.3020081711</v>
      </c>
      <c r="E66" s="6">
        <f>'Final AC Units'!V66/FinalHHSize!V66</f>
        <v>0.3851278313</v>
      </c>
      <c r="F66" s="6">
        <f>'Final AC Units'!W66/FinalHHSize!W66</f>
        <v>0.6062189625</v>
      </c>
      <c r="G66" s="6">
        <f>'Final AC Units'!X66/FinalHHSize!X66</f>
        <v>0.6783688743</v>
      </c>
      <c r="H66" s="6">
        <f>'Final AC Units'!Y66/FinalHHSize!Y66</f>
        <v>0.7607576324</v>
      </c>
      <c r="I66" s="6">
        <f>'Final AC Units'!Z66/FinalHHSize!Z66</f>
        <v>0.7757156141</v>
      </c>
      <c r="J66" s="6">
        <f>'Final AC Units'!AA66/FinalHHSize!AA66</f>
        <v>1.055299931</v>
      </c>
      <c r="K66" s="6">
        <f>'Final AC Units'!AB66/FinalHHSize!AB66</f>
        <v>1.38076643</v>
      </c>
      <c r="L66" s="6">
        <f>'Final AC Units'!AC66/FinalHHSize!AC66</f>
        <v>1.732191724</v>
      </c>
      <c r="M66" s="6">
        <f>'Final AC Units'!AD66/FinalHHSize!AD66</f>
        <v>2.091876148</v>
      </c>
      <c r="N66" s="6">
        <f>'Final AC Units'!AE66/FinalHHSize!AE66</f>
        <v>2.467922438</v>
      </c>
      <c r="O66" s="6">
        <f>'Final AC Units'!AF66/FinalHHSize!AF66</f>
        <v>2.897204731</v>
      </c>
      <c r="P66" s="7">
        <f t="shared" si="1"/>
        <v>7.522709335</v>
      </c>
      <c r="Q66" s="7">
        <v>1.1782392300339497</v>
      </c>
      <c r="R66" s="7">
        <v>11.145169712793734</v>
      </c>
      <c r="S66" s="8">
        <f t="shared" si="2"/>
        <v>9.459173849</v>
      </c>
    </row>
    <row r="67" ht="14.25" customHeight="1">
      <c r="A67" s="1" t="s">
        <v>58</v>
      </c>
      <c r="B67" s="1" t="s">
        <v>26</v>
      </c>
      <c r="C67" s="6">
        <f>'Final AC Units'!T67/FinalHHSize!T67</f>
        <v>0.3950719506</v>
      </c>
      <c r="D67" s="6">
        <f>'Final AC Units'!U67/FinalHHSize!U67</f>
        <v>0.2277223965</v>
      </c>
      <c r="E67" s="6">
        <f>'Final AC Units'!V67/FinalHHSize!V67</f>
        <v>0.1691388201</v>
      </c>
      <c r="F67" s="6">
        <f>'Final AC Units'!W67/FinalHHSize!W67</f>
        <v>0.4111384528</v>
      </c>
      <c r="G67" s="6">
        <f>'Final AC Units'!X67/FinalHHSize!X67</f>
        <v>0.2513707301</v>
      </c>
      <c r="H67" s="6">
        <f>'Final AC Units'!Y67/FinalHHSize!Y67</f>
        <v>0.2278062187</v>
      </c>
      <c r="I67" s="6">
        <f>'Final AC Units'!Z67/FinalHHSize!Z67</f>
        <v>0.2273845654</v>
      </c>
      <c r="J67" s="6">
        <f>'Final AC Units'!AA67/FinalHHSize!AA67</f>
        <v>0.2980961377</v>
      </c>
      <c r="K67" s="6">
        <f>'Final AC Units'!AB67/FinalHHSize!AB67</f>
        <v>0.3720344046</v>
      </c>
      <c r="L67" s="6">
        <f>'Final AC Units'!AC67/FinalHHSize!AC67</f>
        <v>0.4644411349</v>
      </c>
      <c r="M67" s="6">
        <f>'Final AC Units'!AD67/FinalHHSize!AD67</f>
        <v>0.5533961414</v>
      </c>
      <c r="N67" s="6">
        <f>'Final AC Units'!AE67/FinalHHSize!AE67</f>
        <v>0.6448923802</v>
      </c>
      <c r="O67" s="6">
        <f>'Final AC Units'!AF67/FinalHHSize!AF67</f>
        <v>0.7578713575</v>
      </c>
      <c r="P67" s="7">
        <f t="shared" si="1"/>
        <v>4.480765309</v>
      </c>
      <c r="Q67" s="7">
        <v>1.549121578612349</v>
      </c>
      <c r="R67" s="7">
        <v>9.489963280293757</v>
      </c>
      <c r="S67" s="8">
        <f t="shared" si="2"/>
        <v>6.126028719</v>
      </c>
    </row>
    <row r="68" ht="14.25" customHeight="1">
      <c r="A68" s="1" t="s">
        <v>59</v>
      </c>
      <c r="B68" s="1" t="s">
        <v>26</v>
      </c>
      <c r="C68" s="6">
        <f>'Final AC Units'!T68/FinalHHSize!T68</f>
        <v>0.08085313275</v>
      </c>
      <c r="D68" s="6">
        <f>'Final AC Units'!U68/FinalHHSize!U68</f>
        <v>0.107500267</v>
      </c>
      <c r="E68" s="6">
        <f>'Final AC Units'!V68/FinalHHSize!V68</f>
        <v>0.1637932725</v>
      </c>
      <c r="F68" s="6">
        <f>'Final AC Units'!W68/FinalHHSize!W68</f>
        <v>0.2513476181</v>
      </c>
      <c r="G68" s="6">
        <f>'Final AC Units'!X68/FinalHHSize!X68</f>
        <v>0.2613940115</v>
      </c>
      <c r="H68" s="6">
        <f>'Final AC Units'!Y68/FinalHHSize!Y68</f>
        <v>0.2614091592</v>
      </c>
      <c r="I68" s="6">
        <f>'Final AC Units'!Z68/FinalHHSize!Z68</f>
        <v>0.2152509685</v>
      </c>
      <c r="J68" s="6">
        <f>'Final AC Units'!AA68/FinalHHSize!AA68</f>
        <v>0.2411772512</v>
      </c>
      <c r="K68" s="6">
        <f>'Final AC Units'!AB68/FinalHHSize!AB68</f>
        <v>0.2696438363</v>
      </c>
      <c r="L68" s="6">
        <f>'Final AC Units'!AC68/FinalHHSize!AC68</f>
        <v>0.3206173394</v>
      </c>
      <c r="M68" s="6">
        <f>'Final AC Units'!AD68/FinalHHSize!AD68</f>
        <v>0.3743691955</v>
      </c>
      <c r="N68" s="6">
        <f>'Final AC Units'!AE68/FinalHHSize!AE68</f>
        <v>0.4291892159</v>
      </c>
      <c r="O68" s="6">
        <f>'Final AC Units'!AF68/FinalHHSize!AF68</f>
        <v>0.4925403564</v>
      </c>
      <c r="P68" s="7">
        <f t="shared" si="1"/>
        <v>3.007085388</v>
      </c>
      <c r="Q68" s="7">
        <v>0.8454711721597861</v>
      </c>
      <c r="R68" s="7">
        <v>8.112731937235248</v>
      </c>
      <c r="S68" s="8">
        <f t="shared" si="2"/>
        <v>9.595515737</v>
      </c>
    </row>
    <row r="69" ht="14.25" customHeight="1">
      <c r="A69" s="1" t="s">
        <v>60</v>
      </c>
      <c r="B69" s="1" t="s">
        <v>26</v>
      </c>
      <c r="C69" s="6">
        <f>'Final AC Units'!T69/FinalHHSize!T69</f>
        <v>0.2954672869</v>
      </c>
      <c r="D69" s="6">
        <f>'Final AC Units'!U69/FinalHHSize!U69</f>
        <v>0.5722386488</v>
      </c>
      <c r="E69" s="6">
        <f>'Final AC Units'!V69/FinalHHSize!V69</f>
        <v>1.083581597</v>
      </c>
      <c r="F69" s="6">
        <f>'Final AC Units'!W69/FinalHHSize!W69</f>
        <v>0.7883961998</v>
      </c>
      <c r="G69" s="6">
        <f>'Final AC Units'!X69/FinalHHSize!X69</f>
        <v>0.6252921924</v>
      </c>
      <c r="H69" s="6">
        <f>'Final AC Units'!Y69/FinalHHSize!Y69</f>
        <v>0.6230999599</v>
      </c>
      <c r="I69" s="6">
        <f>'Final AC Units'!Z69/FinalHHSize!Z69</f>
        <v>0.6481046878</v>
      </c>
      <c r="J69" s="6">
        <f>'Final AC Units'!AA69/FinalHHSize!AA69</f>
        <v>0.7614819741</v>
      </c>
      <c r="K69" s="6">
        <f>'Final AC Units'!AB69/FinalHHSize!AB69</f>
        <v>0.8465109141</v>
      </c>
      <c r="L69" s="6">
        <f>'Final AC Units'!AC69/FinalHHSize!AC69</f>
        <v>1.013151699</v>
      </c>
      <c r="M69" s="6">
        <f>'Final AC Units'!AD69/FinalHHSize!AD69</f>
        <v>1.185318406</v>
      </c>
      <c r="N69" s="6">
        <f>'Final AC Units'!AE69/FinalHHSize!AE69</f>
        <v>1.356215965</v>
      </c>
      <c r="O69" s="6">
        <f>'Final AC Units'!AF69/FinalHHSize!AF69</f>
        <v>1.562007341</v>
      </c>
      <c r="P69" s="7">
        <f t="shared" si="1"/>
        <v>1.441522581</v>
      </c>
      <c r="Q69" s="7">
        <v>3.109822747415066</v>
      </c>
      <c r="R69" s="7">
        <v>23.490115532734272</v>
      </c>
      <c r="S69" s="8">
        <f t="shared" si="2"/>
        <v>7.55352232</v>
      </c>
    </row>
    <row r="70" ht="14.25" customHeight="1">
      <c r="A70" s="1" t="s">
        <v>61</v>
      </c>
      <c r="B70" s="1" t="s">
        <v>26</v>
      </c>
      <c r="C70" s="6">
        <f>'Final AC Units'!T70/FinalHHSize!T70</f>
        <v>0.09433478353</v>
      </c>
      <c r="D70" s="6">
        <f>'Final AC Units'!U70/FinalHHSize!U70</f>
        <v>0.07890639941</v>
      </c>
      <c r="E70" s="6">
        <f>'Final AC Units'!V70/FinalHHSize!V70</f>
        <v>0.1676386706</v>
      </c>
      <c r="F70" s="6">
        <f>'Final AC Units'!W70/FinalHHSize!W70</f>
        <v>0.2282778034</v>
      </c>
      <c r="G70" s="6">
        <f>'Final AC Units'!X70/FinalHHSize!X70</f>
        <v>0.2315389288</v>
      </c>
      <c r="H70" s="6">
        <f>'Final AC Units'!Y70/FinalHHSize!Y70</f>
        <v>0.2495319752</v>
      </c>
      <c r="I70" s="6">
        <f>'Final AC Units'!Z70/FinalHHSize!Z70</f>
        <v>0.2348548802</v>
      </c>
      <c r="J70" s="6">
        <f>'Final AC Units'!AA70/FinalHHSize!AA70</f>
        <v>0.288931046</v>
      </c>
      <c r="K70" s="6">
        <f>'Final AC Units'!AB70/FinalHHSize!AB70</f>
        <v>0.3495685913</v>
      </c>
      <c r="L70" s="6">
        <f>'Final AC Units'!AC70/FinalHHSize!AC70</f>
        <v>0.452553225</v>
      </c>
      <c r="M70" s="6">
        <f>'Final AC Units'!AD70/FinalHHSize!AD70</f>
        <v>0.5624184926</v>
      </c>
      <c r="N70" s="6">
        <f>'Final AC Units'!AE70/FinalHHSize!AE70</f>
        <v>0.6746764992</v>
      </c>
      <c r="O70" s="6">
        <f>'Final AC Units'!AF70/FinalHHSize!AF70</f>
        <v>0.7978134102</v>
      </c>
      <c r="P70" s="7">
        <f t="shared" si="1"/>
        <v>4.759125131</v>
      </c>
      <c r="Q70" s="7">
        <v>1.53764299363891</v>
      </c>
      <c r="R70" s="7">
        <v>17.943896891584533</v>
      </c>
      <c r="S70" s="8">
        <f t="shared" si="2"/>
        <v>11.66974191</v>
      </c>
    </row>
    <row r="71" ht="14.25" customHeight="1">
      <c r="A71" s="1" t="s">
        <v>62</v>
      </c>
      <c r="B71" s="1" t="s">
        <v>26</v>
      </c>
      <c r="C71" s="6">
        <f>'Final AC Units'!T71/FinalHHSize!T71</f>
        <v>0.02970892915</v>
      </c>
      <c r="D71" s="6">
        <f>'Final AC Units'!U71/FinalHHSize!U71</f>
        <v>0.1157743196</v>
      </c>
      <c r="E71" s="6">
        <f>'Final AC Units'!V71/FinalHHSize!V71</f>
        <v>0.1397986662</v>
      </c>
      <c r="F71" s="6">
        <f>'Final AC Units'!W71/FinalHHSize!W71</f>
        <v>0.2242769937</v>
      </c>
      <c r="G71" s="6">
        <f>'Final AC Units'!X71/FinalHHSize!X71</f>
        <v>0.2291698399</v>
      </c>
      <c r="H71" s="6">
        <f>'Final AC Units'!Y71/FinalHHSize!Y71</f>
        <v>0.2252318151</v>
      </c>
      <c r="I71" s="6">
        <f>'Final AC Units'!Z71/FinalHHSize!Z71</f>
        <v>0.234934733</v>
      </c>
      <c r="J71" s="6">
        <f>'Final AC Units'!AA71/FinalHHSize!AA71</f>
        <v>0.274731833</v>
      </c>
      <c r="K71" s="6">
        <f>'Final AC Units'!AB71/FinalHHSize!AB71</f>
        <v>0.3080581952</v>
      </c>
      <c r="L71" s="6">
        <f>'Final AC Units'!AC71/FinalHHSize!AC71</f>
        <v>0.3559472023</v>
      </c>
      <c r="M71" s="6">
        <f>'Final AC Units'!AD71/FinalHHSize!AD71</f>
        <v>0.3936725975</v>
      </c>
      <c r="N71" s="6">
        <f>'Final AC Units'!AE71/FinalHHSize!AE71</f>
        <v>0.4300904728</v>
      </c>
      <c r="O71" s="6">
        <f>'Final AC Units'!AF71/FinalHHSize!AF71</f>
        <v>0.4759330005</v>
      </c>
      <c r="P71" s="7">
        <f t="shared" si="1"/>
        <v>3.40441732</v>
      </c>
      <c r="Q71" s="7">
        <v>0.889253254728568</v>
      </c>
      <c r="R71" s="7">
        <v>6.599329205366357</v>
      </c>
      <c r="S71" s="8">
        <f t="shared" si="2"/>
        <v>7.421203319</v>
      </c>
    </row>
    <row r="72" ht="14.25" customHeight="1">
      <c r="A72" s="1" t="s">
        <v>63</v>
      </c>
      <c r="B72" s="1" t="s">
        <v>26</v>
      </c>
      <c r="C72" s="6">
        <f>'Final AC Units'!T72/FinalHHSize!T72</f>
        <v>0.03978264525</v>
      </c>
      <c r="D72" s="6">
        <f>'Final AC Units'!U72/FinalHHSize!U72</f>
        <v>0.04116996484</v>
      </c>
      <c r="E72" s="6">
        <f>'Final AC Units'!V72/FinalHHSize!V72</f>
        <v>0.04681811018</v>
      </c>
      <c r="F72" s="6">
        <f>'Final AC Units'!W72/FinalHHSize!W72</f>
        <v>0.1016059424</v>
      </c>
      <c r="G72" s="6">
        <f>'Final AC Units'!X72/FinalHHSize!X72</f>
        <v>0.08662076293</v>
      </c>
      <c r="H72" s="6">
        <f>'Final AC Units'!Y72/FinalHHSize!Y72</f>
        <v>0.09671522938</v>
      </c>
      <c r="I72" s="6">
        <f>'Final AC Units'!Z72/FinalHHSize!Z72</f>
        <v>0.109885867</v>
      </c>
      <c r="J72" s="6">
        <f>'Final AC Units'!AA72/FinalHHSize!AA72</f>
        <v>0.1484233889</v>
      </c>
      <c r="K72" s="6">
        <f>'Final AC Units'!AB72/FinalHHSize!AB72</f>
        <v>0.1918622129</v>
      </c>
      <c r="L72" s="6">
        <f>'Final AC Units'!AC72/FinalHHSize!AC72</f>
        <v>0.2479392098</v>
      </c>
      <c r="M72" s="6">
        <f>'Final AC Units'!AD72/FinalHHSize!AD72</f>
        <v>0.3071234048</v>
      </c>
      <c r="N72" s="6">
        <f>'Final AC Units'!AE72/FinalHHSize!AE72</f>
        <v>0.3664627032</v>
      </c>
      <c r="O72" s="6">
        <f>'Final AC Units'!AF72/FinalHHSize!AF72</f>
        <v>0.4312950164</v>
      </c>
      <c r="P72" s="7">
        <f t="shared" si="1"/>
        <v>9.212140659</v>
      </c>
      <c r="Q72" s="7">
        <v>1.6777839628893307</v>
      </c>
      <c r="R72" s="7">
        <v>16.7846084751136</v>
      </c>
      <c r="S72" s="8">
        <f t="shared" si="2"/>
        <v>10.0040344</v>
      </c>
    </row>
    <row r="73" ht="14.25" customHeight="1">
      <c r="A73" s="1" t="s">
        <v>64</v>
      </c>
      <c r="B73" s="1" t="s">
        <v>26</v>
      </c>
      <c r="C73" s="6">
        <f>'Final AC Units'!T73/FinalHHSize!T73</f>
        <v>0.05151252236</v>
      </c>
      <c r="D73" s="6">
        <f>'Final AC Units'!U73/FinalHHSize!U73</f>
        <v>0.07438166731</v>
      </c>
      <c r="E73" s="6">
        <f>'Final AC Units'!V73/FinalHHSize!V73</f>
        <v>0.09672444207</v>
      </c>
      <c r="F73" s="6">
        <f>'Final AC Units'!W73/FinalHHSize!W73</f>
        <v>0.1579424863</v>
      </c>
      <c r="G73" s="6">
        <f>'Final AC Units'!X73/FinalHHSize!X73</f>
        <v>0.1801393844</v>
      </c>
      <c r="H73" s="6">
        <f>'Final AC Units'!Y73/FinalHHSize!Y73</f>
        <v>0.1990124633</v>
      </c>
      <c r="I73" s="6">
        <f>'Final AC Units'!Z73/FinalHHSize!Z73</f>
        <v>0.2128804386</v>
      </c>
      <c r="J73" s="6">
        <f>'Final AC Units'!AA73/FinalHHSize!AA73</f>
        <v>0.2684742686</v>
      </c>
      <c r="K73" s="6">
        <f>'Final AC Units'!AB73/FinalHHSize!AB73</f>
        <v>0.3226732194</v>
      </c>
      <c r="L73" s="6">
        <f>'Final AC Units'!AC73/FinalHHSize!AC73</f>
        <v>0.3816813455</v>
      </c>
      <c r="M73" s="6">
        <f>'Final AC Units'!AD73/FinalHHSize!AD73</f>
        <v>0.4372174736</v>
      </c>
      <c r="N73" s="6">
        <f>'Final AC Units'!AE73/FinalHHSize!AE73</f>
        <v>0.4939389769</v>
      </c>
      <c r="O73" s="6">
        <f>'Final AC Units'!AF73/FinalHHSize!AF73</f>
        <v>0.5625751622</v>
      </c>
      <c r="P73" s="7">
        <f t="shared" si="1"/>
        <v>5.816266811</v>
      </c>
      <c r="Q73" s="7">
        <v>1.397929642951136</v>
      </c>
      <c r="R73" s="7">
        <v>8.090808262858728</v>
      </c>
      <c r="S73" s="8">
        <f t="shared" si="2"/>
        <v>5.787707775</v>
      </c>
    </row>
    <row r="74" ht="14.25" customHeight="1">
      <c r="A74" s="1" t="s">
        <v>65</v>
      </c>
      <c r="B74" s="1" t="s">
        <v>26</v>
      </c>
      <c r="C74" s="6">
        <f>'Final AC Units'!T74/FinalHHSize!T74</f>
        <v>0.08313492677</v>
      </c>
      <c r="D74" s="6">
        <f>'Final AC Units'!U74/FinalHHSize!U74</f>
        <v>0.09219897772</v>
      </c>
      <c r="E74" s="6">
        <f>'Final AC Units'!V74/FinalHHSize!V74</f>
        <v>0.13311906</v>
      </c>
      <c r="F74" s="6">
        <f>'Final AC Units'!W74/FinalHHSize!W74</f>
        <v>0.2030655464</v>
      </c>
      <c r="G74" s="6">
        <f>'Final AC Units'!X74/FinalHHSize!X74</f>
        <v>0.2206965629</v>
      </c>
      <c r="H74" s="6">
        <f>'Final AC Units'!Y74/FinalHHSize!Y74</f>
        <v>0.2405561189</v>
      </c>
      <c r="I74" s="6">
        <f>'Final AC Units'!Z74/FinalHHSize!Z74</f>
        <v>0.2387477463</v>
      </c>
      <c r="J74" s="6">
        <f>'Final AC Units'!AA74/FinalHHSize!AA74</f>
        <v>0.3229828493</v>
      </c>
      <c r="K74" s="6">
        <f>'Final AC Units'!AB74/FinalHHSize!AB74</f>
        <v>0.423801503</v>
      </c>
      <c r="L74" s="6">
        <f>'Final AC Units'!AC74/FinalHHSize!AC74</f>
        <v>0.5490284605</v>
      </c>
      <c r="M74" s="6">
        <f>'Final AC Units'!AD74/FinalHHSize!AD74</f>
        <v>0.6802323033</v>
      </c>
      <c r="N74" s="6">
        <f>'Final AC Units'!AE74/FinalHHSize!AE74</f>
        <v>0.8195228436</v>
      </c>
      <c r="O74" s="6">
        <f>'Final AC Units'!AF74/FinalHHSize!AF74</f>
        <v>0.9777615876</v>
      </c>
      <c r="P74" s="7">
        <f t="shared" si="1"/>
        <v>7.345015715</v>
      </c>
      <c r="Q74" s="7">
        <v>0.4874949655055932</v>
      </c>
      <c r="R74" s="7">
        <v>6.330957377523699</v>
      </c>
      <c r="S74" s="8">
        <f t="shared" si="2"/>
        <v>12.98671335</v>
      </c>
    </row>
    <row r="75" ht="14.25" customHeight="1">
      <c r="A75" s="1" t="s">
        <v>66</v>
      </c>
      <c r="B75" s="1" t="s">
        <v>26</v>
      </c>
      <c r="C75" s="6">
        <f>'Final AC Units'!T75/FinalHHSize!T75</f>
        <v>0.06962079482</v>
      </c>
      <c r="D75" s="6">
        <f>'Final AC Units'!U75/FinalHHSize!U75</f>
        <v>0.08664919371</v>
      </c>
      <c r="E75" s="6">
        <f>'Final AC Units'!V75/FinalHHSize!V75</f>
        <v>0.07843647484</v>
      </c>
      <c r="F75" s="6">
        <f>'Final AC Units'!W75/FinalHHSize!W75</f>
        <v>0.1001209032</v>
      </c>
      <c r="G75" s="6">
        <f>'Final AC Units'!X75/FinalHHSize!X75</f>
        <v>0.101254358</v>
      </c>
      <c r="H75" s="6">
        <f>'Final AC Units'!Y75/FinalHHSize!Y75</f>
        <v>0.1085204232</v>
      </c>
      <c r="I75" s="6">
        <f>'Final AC Units'!Z75/FinalHHSize!Z75</f>
        <v>0.1016602941</v>
      </c>
      <c r="J75" s="6">
        <f>'Final AC Units'!AA75/FinalHHSize!AA75</f>
        <v>0.1408948253</v>
      </c>
      <c r="K75" s="6">
        <f>'Final AC Units'!AB75/FinalHHSize!AB75</f>
        <v>0.1865994183</v>
      </c>
      <c r="L75" s="6">
        <f>'Final AC Units'!AC75/FinalHHSize!AC75</f>
        <v>0.2448637666</v>
      </c>
      <c r="M75" s="6">
        <f>'Final AC Units'!AD75/FinalHHSize!AD75</f>
        <v>0.30788703</v>
      </c>
      <c r="N75" s="6">
        <f>'Final AC Units'!AE75/FinalHHSize!AE75</f>
        <v>0.3790068292</v>
      </c>
      <c r="O75" s="6">
        <f>'Final AC Units'!AF75/FinalHHSize!AF75</f>
        <v>0.466451382</v>
      </c>
      <c r="P75" s="7">
        <f t="shared" si="1"/>
        <v>5.946868252</v>
      </c>
      <c r="Q75" s="7">
        <v>0.7983836942675159</v>
      </c>
      <c r="R75" s="7">
        <v>9.086492537313433</v>
      </c>
      <c r="S75" s="8">
        <f t="shared" si="2"/>
        <v>11.38110986</v>
      </c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O$75">
    <filterColumn colId="1">
      <filters>
        <filter val="resid urban cooling"/>
      </filters>
    </filterColumn>
  </autoFilter>
  <printOptions/>
  <pageMargins bottom="0.75" footer="0.0" header="0.0" left="0.7" right="0.7" top="0.75"/>
  <pageSetup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B1" s="1">
        <v>2010.0</v>
      </c>
      <c r="C1" s="1">
        <v>2015.0</v>
      </c>
      <c r="D1" s="1">
        <v>2020.0</v>
      </c>
      <c r="E1" s="1">
        <v>2025.0</v>
      </c>
      <c r="F1" s="1">
        <v>2030.0</v>
      </c>
      <c r="G1" s="1">
        <v>2035.0</v>
      </c>
      <c r="H1" s="1">
        <v>2040.0</v>
      </c>
      <c r="I1" s="1">
        <v>2045.0</v>
      </c>
      <c r="J1" s="1">
        <v>2050.0</v>
      </c>
      <c r="K1" s="1">
        <v>2055.0</v>
      </c>
      <c r="L1" s="1">
        <v>2060.0</v>
      </c>
      <c r="M1" s="1">
        <v>2065.0</v>
      </c>
      <c r="N1" s="1">
        <v>2070.0</v>
      </c>
    </row>
    <row r="2" ht="14.25" customHeight="1">
      <c r="A2" s="1" t="s">
        <v>81</v>
      </c>
      <c r="B2" s="1">
        <v>6.706799999999999</v>
      </c>
      <c r="C2" s="1">
        <v>6.706799999999999</v>
      </c>
      <c r="D2" s="1">
        <v>6.706799999999999</v>
      </c>
      <c r="E2" s="1">
        <v>6.514288894620303</v>
      </c>
      <c r="F2" s="1">
        <v>6.327303602178417</v>
      </c>
      <c r="G2" s="1">
        <v>6.1456855111352</v>
      </c>
      <c r="H2" s="1">
        <v>5.969280561657558</v>
      </c>
      <c r="I2" s="1">
        <v>5.797939117286177</v>
      </c>
      <c r="J2" s="1">
        <v>5.6315158353109105</v>
      </c>
      <c r="K2" s="1">
        <v>5.4698695454877635</v>
      </c>
      <c r="L2" s="1">
        <v>5.312863129053195</v>
      </c>
      <c r="M2" s="1">
        <v>5.160363404143649</v>
      </c>
      <c r="N2" s="1">
        <v>5.012241010851253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0" t="s">
        <v>82</v>
      </c>
      <c r="B1" s="11">
        <v>2010.0</v>
      </c>
      <c r="C1" s="11">
        <v>2015.0</v>
      </c>
      <c r="D1" s="11">
        <v>2020.0</v>
      </c>
      <c r="E1" s="11">
        <v>2025.0</v>
      </c>
      <c r="F1" s="11">
        <v>2030.0</v>
      </c>
      <c r="G1" s="11">
        <v>2035.0</v>
      </c>
      <c r="H1" s="11">
        <v>2040.0</v>
      </c>
      <c r="I1" s="11">
        <v>2045.0</v>
      </c>
      <c r="J1" s="11">
        <v>2050.0</v>
      </c>
      <c r="K1" s="11">
        <v>2055.0</v>
      </c>
      <c r="L1" s="11">
        <v>2060.0</v>
      </c>
      <c r="M1" s="11">
        <v>2065.0</v>
      </c>
      <c r="N1" s="11">
        <v>2070.0</v>
      </c>
    </row>
    <row r="2">
      <c r="A2" s="10" t="s">
        <v>6</v>
      </c>
      <c r="B2" s="12">
        <v>1.4139580052493437</v>
      </c>
      <c r="C2" s="12">
        <v>1.2745856777493607</v>
      </c>
      <c r="D2" s="12">
        <v>1.5970925</v>
      </c>
      <c r="E2" s="12">
        <v>1.7315585365853658</v>
      </c>
      <c r="F2" s="12">
        <v>2.3085536992840097</v>
      </c>
      <c r="G2" s="12">
        <v>2.9958974358974357</v>
      </c>
      <c r="H2" s="12">
        <v>3.6515068493150684</v>
      </c>
      <c r="I2" s="12">
        <v>4.381763392857143</v>
      </c>
      <c r="J2" s="12">
        <v>5.187695652173914</v>
      </c>
      <c r="K2" s="12">
        <v>6.069702127659575</v>
      </c>
      <c r="L2" s="12">
        <v>7.0191422594142265</v>
      </c>
      <c r="M2" s="12">
        <v>8.048070539419088</v>
      </c>
      <c r="N2" s="12">
        <v>9.149462809917356</v>
      </c>
    </row>
    <row r="3">
      <c r="A3" s="10" t="s">
        <v>30</v>
      </c>
      <c r="B3" s="12">
        <v>0.741575730681566</v>
      </c>
      <c r="C3" s="12">
        <v>0.9438243366880146</v>
      </c>
      <c r="D3" s="12">
        <v>1.1809006005266447</v>
      </c>
      <c r="E3" s="12">
        <v>1.6664897875588822</v>
      </c>
      <c r="F3" s="12">
        <v>2.257401088259707</v>
      </c>
      <c r="G3" s="12">
        <v>2.9879984585176076</v>
      </c>
      <c r="H3" s="12">
        <v>3.8205802340654724</v>
      </c>
      <c r="I3" s="12">
        <v>4.796591653921783</v>
      </c>
      <c r="J3" s="12">
        <v>5.922106608251187</v>
      </c>
      <c r="K3" s="12">
        <v>7.187564234326825</v>
      </c>
      <c r="L3" s="12">
        <v>8.610796981887617</v>
      </c>
      <c r="M3" s="12">
        <v>10.206939397932866</v>
      </c>
      <c r="N3" s="12">
        <v>11.991351309796084</v>
      </c>
    </row>
    <row r="4">
      <c r="A4" s="10" t="s">
        <v>32</v>
      </c>
      <c r="B4" s="12">
        <v>0.7328323699421966</v>
      </c>
      <c r="C4" s="12">
        <v>1.116346812885538</v>
      </c>
      <c r="D4" s="12">
        <v>1.317801696020874</v>
      </c>
      <c r="E4" s="12">
        <v>1.8312281795511223</v>
      </c>
      <c r="F4" s="12">
        <v>2.4330197723187537</v>
      </c>
      <c r="G4" s="12">
        <v>3.1660345821325646</v>
      </c>
      <c r="H4" s="12">
        <v>3.9405719044975016</v>
      </c>
      <c r="I4" s="12">
        <v>4.824475935828877</v>
      </c>
      <c r="J4" s="12">
        <v>5.81909704203425</v>
      </c>
      <c r="K4" s="12">
        <v>6.973377618804292</v>
      </c>
      <c r="L4" s="12">
        <v>8.268458417849898</v>
      </c>
      <c r="M4" s="12">
        <v>9.687815975733063</v>
      </c>
      <c r="N4" s="12">
        <v>11.244602128737961</v>
      </c>
    </row>
    <row r="5">
      <c r="A5" s="10" t="s">
        <v>33</v>
      </c>
      <c r="B5" s="12">
        <v>0.4140710119848747</v>
      </c>
      <c r="C5" s="12">
        <v>0.5392878678244091</v>
      </c>
      <c r="D5" s="12">
        <v>0.6641126615871928</v>
      </c>
      <c r="E5" s="12">
        <v>0.9562682136340116</v>
      </c>
      <c r="F5" s="12">
        <v>1.3151979264844487</v>
      </c>
      <c r="G5" s="12">
        <v>1.7646133150587577</v>
      </c>
      <c r="H5" s="12">
        <v>2.313754241696183</v>
      </c>
      <c r="I5" s="12">
        <v>2.9717771392392733</v>
      </c>
      <c r="J5" s="12">
        <v>3.744478963466031</v>
      </c>
      <c r="K5" s="12">
        <v>4.620128397890265</v>
      </c>
      <c r="L5" s="12">
        <v>5.606731431557445</v>
      </c>
      <c r="M5" s="12">
        <v>6.709482738137667</v>
      </c>
      <c r="N5" s="12">
        <v>7.930769230769231</v>
      </c>
    </row>
    <row r="6">
      <c r="A6" s="10" t="s">
        <v>34</v>
      </c>
      <c r="B6" s="12">
        <v>0.2145131077147715</v>
      </c>
      <c r="C6" s="12">
        <v>0.27204228559417043</v>
      </c>
      <c r="D6" s="12">
        <v>0.3166391784405645</v>
      </c>
      <c r="E6" s="12">
        <v>0.4438248969871092</v>
      </c>
      <c r="F6" s="12">
        <v>0.5941697804184599</v>
      </c>
      <c r="G6" s="12">
        <v>0.7784029722162396</v>
      </c>
      <c r="H6" s="12">
        <v>1.007075456360432</v>
      </c>
      <c r="I6" s="12">
        <v>1.2763037047828372</v>
      </c>
      <c r="J6" s="12">
        <v>1.5867379572877272</v>
      </c>
      <c r="K6" s="12">
        <v>1.942561615665572</v>
      </c>
      <c r="L6" s="12">
        <v>2.340980524989167</v>
      </c>
      <c r="M6" s="12">
        <v>2.7801441797489663</v>
      </c>
      <c r="N6" s="12">
        <v>3.2591061123975447</v>
      </c>
    </row>
    <row r="7">
      <c r="A7" s="10" t="s">
        <v>35</v>
      </c>
      <c r="B7" s="12">
        <v>0.527175572519084</v>
      </c>
      <c r="C7" s="12">
        <v>0.6999129520147981</v>
      </c>
      <c r="D7" s="12">
        <v>0.7820330247855424</v>
      </c>
      <c r="E7" s="12">
        <v>1.1350677645701834</v>
      </c>
      <c r="F7" s="12">
        <v>1.5751551086524649</v>
      </c>
      <c r="G7" s="12">
        <v>2.1257034711422786</v>
      </c>
      <c r="H7" s="12">
        <v>2.826454678153353</v>
      </c>
      <c r="I7" s="12">
        <v>3.677213409832377</v>
      </c>
      <c r="J7" s="12">
        <v>4.688233331479731</v>
      </c>
      <c r="K7" s="12">
        <v>5.850370697020644</v>
      </c>
      <c r="L7" s="12">
        <v>7.173440544471583</v>
      </c>
      <c r="M7" s="12">
        <v>8.663013924363517</v>
      </c>
      <c r="N7" s="12">
        <v>10.32137134648323</v>
      </c>
    </row>
    <row r="8">
      <c r="A8" s="10" t="s">
        <v>36</v>
      </c>
      <c r="B8" s="12">
        <v>2.223990521327014</v>
      </c>
      <c r="C8" s="12">
        <v>2.1112411971830984</v>
      </c>
      <c r="D8" s="12">
        <v>2.345720198675497</v>
      </c>
      <c r="E8" s="12">
        <v>3.2619100236779794</v>
      </c>
      <c r="F8" s="12">
        <v>4.34748309541698</v>
      </c>
      <c r="G8" s="12">
        <v>5.6620128939828085</v>
      </c>
      <c r="H8" s="12">
        <v>6.895616438356164</v>
      </c>
      <c r="I8" s="12">
        <v>8.283731439638476</v>
      </c>
      <c r="J8" s="12">
        <v>9.82250922509225</v>
      </c>
      <c r="K8" s="12">
        <v>11.547480735032602</v>
      </c>
      <c r="L8" s="12">
        <v>13.425518433179723</v>
      </c>
      <c r="M8" s="12">
        <v>15.436240855374226</v>
      </c>
      <c r="N8" s="12">
        <v>17.575511332227748</v>
      </c>
    </row>
    <row r="9">
      <c r="A9" s="10" t="s">
        <v>37</v>
      </c>
      <c r="B9" s="12">
        <v>1.036670781893004</v>
      </c>
      <c r="C9" s="12">
        <v>1.3254437689969605</v>
      </c>
      <c r="D9" s="12">
        <v>1.3419722814498933</v>
      </c>
      <c r="E9" s="12">
        <v>1.6111205673758864</v>
      </c>
      <c r="F9" s="12">
        <v>1.8883473389355743</v>
      </c>
      <c r="G9" s="12">
        <v>2.169123173277662</v>
      </c>
      <c r="H9" s="12">
        <v>2.473788130892956</v>
      </c>
      <c r="I9" s="12">
        <v>2.8034716459197786</v>
      </c>
      <c r="J9" s="12">
        <v>3.151701244813278</v>
      </c>
      <c r="K9" s="12">
        <v>3.56947963800905</v>
      </c>
      <c r="L9" s="12">
        <v>4.0142130134496545</v>
      </c>
      <c r="M9" s="12">
        <v>4.481170662905501</v>
      </c>
      <c r="N9" s="12">
        <v>4.971782518926359</v>
      </c>
    </row>
    <row r="10">
      <c r="A10" s="10" t="s">
        <v>38</v>
      </c>
      <c r="B10" s="12">
        <v>1.7399332856802479</v>
      </c>
      <c r="C10" s="12">
        <v>2.3838464421480965</v>
      </c>
      <c r="D10" s="12">
        <v>2.5497933984735797</v>
      </c>
      <c r="E10" s="12">
        <v>3.460252883762201</v>
      </c>
      <c r="F10" s="12">
        <v>4.484156076898012</v>
      </c>
      <c r="G10" s="12">
        <v>5.658230228272724</v>
      </c>
      <c r="H10" s="12">
        <v>7.0049432057214975</v>
      </c>
      <c r="I10" s="12">
        <v>8.540130295313999</v>
      </c>
      <c r="J10" s="12">
        <v>10.262009008725235</v>
      </c>
      <c r="K10" s="12">
        <v>12.168775349597434</v>
      </c>
      <c r="L10" s="12">
        <v>14.234245572954778</v>
      </c>
      <c r="M10" s="12">
        <v>16.449202733485194</v>
      </c>
      <c r="N10" s="12">
        <v>18.80897718090886</v>
      </c>
    </row>
    <row r="11">
      <c r="A11" s="10" t="s">
        <v>39</v>
      </c>
      <c r="B11" s="12">
        <v>1.033906976744186</v>
      </c>
      <c r="C11" s="12">
        <v>1.3195199115044247</v>
      </c>
      <c r="D11" s="12">
        <v>1.343171052631579</v>
      </c>
      <c r="E11" s="12">
        <v>1.708122009569378</v>
      </c>
      <c r="F11" s="12">
        <v>2.10848896434635</v>
      </c>
      <c r="G11" s="12">
        <v>2.5524260355029584</v>
      </c>
      <c r="H11" s="12">
        <v>3.0464795918367344</v>
      </c>
      <c r="I11" s="12">
        <v>3.598231676063557</v>
      </c>
      <c r="J11" s="12">
        <v>4.201291530182499</v>
      </c>
      <c r="K11" s="12">
        <v>4.898296727924698</v>
      </c>
      <c r="L11" s="12">
        <v>5.659826464208243</v>
      </c>
      <c r="M11" s="12">
        <v>6.460759493670886</v>
      </c>
      <c r="N11" s="12">
        <v>7.302930251754024</v>
      </c>
    </row>
    <row r="12">
      <c r="A12" s="10" t="s">
        <v>40</v>
      </c>
      <c r="B12" s="12">
        <v>2.6745853324194653</v>
      </c>
      <c r="C12" s="12">
        <v>2.871104497354497</v>
      </c>
      <c r="D12" s="12">
        <v>3.2208082103912763</v>
      </c>
      <c r="E12" s="12">
        <v>4.291532207629769</v>
      </c>
      <c r="F12" s="12">
        <v>5.484488671157379</v>
      </c>
      <c r="G12" s="12">
        <v>6.839880952380953</v>
      </c>
      <c r="H12" s="12">
        <v>8.173480023161552</v>
      </c>
      <c r="I12" s="12">
        <v>9.636614173228347</v>
      </c>
      <c r="J12" s="12">
        <v>11.224958768554151</v>
      </c>
      <c r="K12" s="12">
        <v>12.948077964266377</v>
      </c>
      <c r="L12" s="12">
        <v>14.79780278670954</v>
      </c>
      <c r="M12" s="12">
        <v>16.791577825159916</v>
      </c>
      <c r="N12" s="12">
        <v>18.95034666666667</v>
      </c>
    </row>
    <row r="13">
      <c r="A13" s="10" t="s">
        <v>41</v>
      </c>
      <c r="B13" s="12">
        <v>0.9687590999338187</v>
      </c>
      <c r="C13" s="12">
        <v>1.2833297522944227</v>
      </c>
      <c r="D13" s="12">
        <v>1.5519430274545767</v>
      </c>
      <c r="E13" s="12">
        <v>2.2324460761817346</v>
      </c>
      <c r="F13" s="12">
        <v>3.070459765690162</v>
      </c>
      <c r="G13" s="12">
        <v>4.114589994589011</v>
      </c>
      <c r="H13" s="12">
        <v>5.4371847254340455</v>
      </c>
      <c r="I13" s="12">
        <v>7.032403377949237</v>
      </c>
      <c r="J13" s="12">
        <v>8.915785805552328</v>
      </c>
      <c r="K13" s="12">
        <v>11.098827953764161</v>
      </c>
      <c r="L13" s="12">
        <v>13.588571296957413</v>
      </c>
      <c r="M13" s="12">
        <v>16.39018246108691</v>
      </c>
      <c r="N13" s="12">
        <v>19.509369755733733</v>
      </c>
    </row>
    <row r="14">
      <c r="A14" s="10" t="s">
        <v>42</v>
      </c>
      <c r="B14" s="12">
        <v>0.9491624180626366</v>
      </c>
      <c r="C14" s="12">
        <v>1.31563146130204</v>
      </c>
      <c r="D14" s="12">
        <v>1.4316878550175818</v>
      </c>
      <c r="E14" s="12">
        <v>1.9448212165193297</v>
      </c>
      <c r="F14" s="12">
        <v>2.5381224066390042</v>
      </c>
      <c r="G14" s="12">
        <v>3.2454138988247316</v>
      </c>
      <c r="H14" s="12">
        <v>4.006811028578623</v>
      </c>
      <c r="I14" s="12">
        <v>4.868137193985336</v>
      </c>
      <c r="J14" s="12">
        <v>5.830771128932758</v>
      </c>
      <c r="K14" s="12">
        <v>6.8825488509278605</v>
      </c>
      <c r="L14" s="12">
        <v>8.034948352188882</v>
      </c>
      <c r="M14" s="12">
        <v>9.297823398466486</v>
      </c>
      <c r="N14" s="12">
        <v>10.685433858464616</v>
      </c>
    </row>
    <row r="15">
      <c r="A15" s="10" t="s">
        <v>43</v>
      </c>
      <c r="B15" s="12">
        <v>1.1850656778825293</v>
      </c>
      <c r="C15" s="12">
        <v>1.4537570570023675</v>
      </c>
      <c r="D15" s="12">
        <v>1.6636977241122004</v>
      </c>
      <c r="E15" s="12">
        <v>2.1821112495606885</v>
      </c>
      <c r="F15" s="12">
        <v>2.751487282219389</v>
      </c>
      <c r="G15" s="12">
        <v>3.3910760393396964</v>
      </c>
      <c r="H15" s="12">
        <v>4.077302859678806</v>
      </c>
      <c r="I15" s="12">
        <v>4.831041309931507</v>
      </c>
      <c r="J15" s="12">
        <v>5.6482853651561244</v>
      </c>
      <c r="K15" s="12">
        <v>6.525937039108986</v>
      </c>
      <c r="L15" s="12">
        <v>7.45871674334867</v>
      </c>
      <c r="M15" s="12">
        <v>8.447300771208226</v>
      </c>
      <c r="N15" s="12">
        <v>9.496548844292697</v>
      </c>
    </row>
    <row r="16">
      <c r="A16" s="10" t="s">
        <v>44</v>
      </c>
      <c r="B16" s="12">
        <v>0.4196010670546865</v>
      </c>
      <c r="C16" s="12">
        <v>0.5292765363128491</v>
      </c>
      <c r="D16" s="12">
        <v>0.5344155337786904</v>
      </c>
      <c r="E16" s="12">
        <v>0.715364519751941</v>
      </c>
      <c r="F16" s="12">
        <v>0.9201624661528849</v>
      </c>
      <c r="G16" s="12">
        <v>1.1597586092348577</v>
      </c>
      <c r="H16" s="12">
        <v>1.444890150049443</v>
      </c>
      <c r="I16" s="12">
        <v>1.7701770618665096</v>
      </c>
      <c r="J16" s="12">
        <v>2.1358160139107394</v>
      </c>
      <c r="K16" s="12">
        <v>2.5470187253613665</v>
      </c>
      <c r="L16" s="12">
        <v>3.0026010731987056</v>
      </c>
      <c r="M16" s="12">
        <v>3.5037271289812515</v>
      </c>
      <c r="N16" s="12">
        <v>4.0536782203828245</v>
      </c>
    </row>
    <row r="17">
      <c r="A17" s="10" t="s">
        <v>45</v>
      </c>
      <c r="B17" s="12">
        <v>0.5343735224586288</v>
      </c>
      <c r="C17" s="12">
        <v>0.7037714197100101</v>
      </c>
      <c r="D17" s="12">
        <v>0.824962708830549</v>
      </c>
      <c r="E17" s="12">
        <v>1.1065918249856075</v>
      </c>
      <c r="F17" s="12">
        <v>1.4194902861917693</v>
      </c>
      <c r="G17" s="12">
        <v>1.7808910286838</v>
      </c>
      <c r="H17" s="12">
        <v>2.159583933010598</v>
      </c>
      <c r="I17" s="12">
        <v>2.5796017051600177</v>
      </c>
      <c r="J17" s="12">
        <v>3.0395713929728383</v>
      </c>
      <c r="K17" s="12">
        <v>3.5377254324622744</v>
      </c>
      <c r="L17" s="12">
        <v>4.073920699496022</v>
      </c>
      <c r="M17" s="12">
        <v>4.650024166263895</v>
      </c>
      <c r="N17" s="12">
        <v>5.269609087064226</v>
      </c>
    </row>
    <row r="18">
      <c r="A18" s="10" t="s">
        <v>46</v>
      </c>
      <c r="B18" s="12">
        <v>0.7514592028807595</v>
      </c>
      <c r="C18" s="12">
        <v>1.3149947842874714</v>
      </c>
      <c r="D18" s="12">
        <v>1.6128356645972024</v>
      </c>
      <c r="E18" s="12">
        <v>2.176764014964763</v>
      </c>
      <c r="F18" s="12">
        <v>2.8206561739228895</v>
      </c>
      <c r="G18" s="12">
        <v>3.5730388613999</v>
      </c>
      <c r="H18" s="12">
        <v>4.428205759964959</v>
      </c>
      <c r="I18" s="12">
        <v>5.3986262692077975</v>
      </c>
      <c r="J18" s="12">
        <v>6.48451417278068</v>
      </c>
      <c r="K18" s="12">
        <v>7.6687870503207645</v>
      </c>
      <c r="L18" s="12">
        <v>8.966110680641084</v>
      </c>
      <c r="M18" s="12">
        <v>10.388949123697898</v>
      </c>
      <c r="N18" s="12">
        <v>11.950431754874652</v>
      </c>
    </row>
    <row r="19">
      <c r="A19" s="10" t="s">
        <v>47</v>
      </c>
      <c r="B19" s="12">
        <v>0.9266868227264564</v>
      </c>
      <c r="C19" s="12">
        <v>1.3458326103302678</v>
      </c>
      <c r="D19" s="12">
        <v>1.509788948688326</v>
      </c>
      <c r="E19" s="12">
        <v>2.060529731819814</v>
      </c>
      <c r="F19" s="12">
        <v>2.699089794249898</v>
      </c>
      <c r="G19" s="12">
        <v>3.4578202387074075</v>
      </c>
      <c r="H19" s="12">
        <v>4.379429629831395</v>
      </c>
      <c r="I19" s="12">
        <v>5.454056291390729</v>
      </c>
      <c r="J19" s="12">
        <v>6.689538902469864</v>
      </c>
      <c r="K19" s="12">
        <v>8.045196126046338</v>
      </c>
      <c r="L19" s="12">
        <v>9.561032521510866</v>
      </c>
      <c r="M19" s="12">
        <v>11.266500958313369</v>
      </c>
      <c r="N19" s="12">
        <v>13.187716476991588</v>
      </c>
    </row>
    <row r="20">
      <c r="A20" s="10" t="s">
        <v>48</v>
      </c>
      <c r="B20" s="12">
        <v>0.9933759124087591</v>
      </c>
      <c r="C20" s="12">
        <v>1.2666794425087107</v>
      </c>
      <c r="D20" s="12">
        <v>1.343074074074074</v>
      </c>
      <c r="E20" s="12">
        <v>1.8027245901639344</v>
      </c>
      <c r="F20" s="12">
        <v>2.3180128205128208</v>
      </c>
      <c r="G20" s="12">
        <v>2.931128125</v>
      </c>
      <c r="H20" s="12">
        <v>3.635091463414634</v>
      </c>
      <c r="I20" s="12">
        <v>4.42486646884273</v>
      </c>
      <c r="J20" s="12">
        <v>5.324970930232558</v>
      </c>
      <c r="K20" s="12">
        <v>6.301142857142858</v>
      </c>
      <c r="L20" s="12">
        <v>7.380538243626062</v>
      </c>
      <c r="M20" s="12">
        <v>8.551098591549296</v>
      </c>
      <c r="N20" s="12">
        <v>9.816281690140846</v>
      </c>
    </row>
    <row r="21">
      <c r="A21" s="10" t="s">
        <v>49</v>
      </c>
      <c r="B21" s="12">
        <v>1.0036125</v>
      </c>
      <c r="C21" s="12">
        <v>1.2820940298507464</v>
      </c>
      <c r="D21" s="12">
        <v>1.324775</v>
      </c>
      <c r="E21" s="12">
        <v>1.7450142857142856</v>
      </c>
      <c r="F21" s="12">
        <v>2.225549295774648</v>
      </c>
      <c r="G21" s="12">
        <v>2.7654657534246576</v>
      </c>
      <c r="H21" s="12">
        <v>3.3916666666666666</v>
      </c>
      <c r="I21" s="12">
        <v>4.066730769230769</v>
      </c>
      <c r="J21" s="12">
        <v>4.865575</v>
      </c>
      <c r="K21" s="12">
        <v>5.711768292682927</v>
      </c>
      <c r="L21" s="12">
        <v>6.706216867469879</v>
      </c>
      <c r="M21" s="12">
        <v>7.751095238095238</v>
      </c>
      <c r="N21" s="12">
        <v>8.909928571428571</v>
      </c>
    </row>
    <row r="22">
      <c r="A22" s="10" t="s">
        <v>50</v>
      </c>
      <c r="B22" s="12">
        <v>1.0380070122982183</v>
      </c>
      <c r="C22" s="12">
        <v>1.3736134156510313</v>
      </c>
      <c r="D22" s="12">
        <v>1.4219082748700145</v>
      </c>
      <c r="E22" s="12">
        <v>1.99573885606459</v>
      </c>
      <c r="F22" s="12">
        <v>2.680347093689819</v>
      </c>
      <c r="G22" s="12">
        <v>3.512825012430172</v>
      </c>
      <c r="H22" s="12">
        <v>4.450110251628959</v>
      </c>
      <c r="I22" s="12">
        <v>5.534411440686774</v>
      </c>
      <c r="J22" s="12">
        <v>6.767152503798797</v>
      </c>
      <c r="K22" s="12">
        <v>8.145717673691586</v>
      </c>
      <c r="L22" s="12">
        <v>9.669965449821893</v>
      </c>
      <c r="M22" s="12">
        <v>11.342059675337271</v>
      </c>
      <c r="N22" s="12">
        <v>13.166009683506477</v>
      </c>
    </row>
    <row r="23">
      <c r="A23" s="10" t="s">
        <v>51</v>
      </c>
      <c r="B23" s="12">
        <v>0.5730131445904955</v>
      </c>
      <c r="C23" s="12">
        <v>0.6884372003835091</v>
      </c>
      <c r="D23" s="12">
        <v>0.7058424574209246</v>
      </c>
      <c r="E23" s="12">
        <v>0.9623953488372092</v>
      </c>
      <c r="F23" s="12">
        <v>1.2565427613191726</v>
      </c>
      <c r="G23" s="12">
        <v>1.6074959305480194</v>
      </c>
      <c r="H23" s="12">
        <v>1.9968031496062992</v>
      </c>
      <c r="I23" s="12">
        <v>2.4384595701125895</v>
      </c>
      <c r="J23" s="12">
        <v>2.9330404217926183</v>
      </c>
      <c r="K23" s="12">
        <v>3.505518102372035</v>
      </c>
      <c r="L23" s="12">
        <v>4.145127436281859</v>
      </c>
      <c r="M23" s="12">
        <v>4.851470958008549</v>
      </c>
      <c r="N23" s="12">
        <v>5.628070175438597</v>
      </c>
    </row>
    <row r="24">
      <c r="A24" s="10" t="s">
        <v>52</v>
      </c>
      <c r="B24" s="12">
        <v>0.3828536414565827</v>
      </c>
      <c r="C24" s="12">
        <v>0.5358698539176626</v>
      </c>
      <c r="D24" s="12">
        <v>0.636698262243286</v>
      </c>
      <c r="E24" s="12">
        <v>0.8332950770160072</v>
      </c>
      <c r="F24" s="12">
        <v>1.0469744483159118</v>
      </c>
      <c r="G24" s="12">
        <v>1.291815314023516</v>
      </c>
      <c r="H24" s="12">
        <v>1.611586402266289</v>
      </c>
      <c r="I24" s="12">
        <v>1.9785272206303726</v>
      </c>
      <c r="J24" s="12">
        <v>2.394847072531314</v>
      </c>
      <c r="K24" s="12">
        <v>2.8901772303995195</v>
      </c>
      <c r="L24" s="12">
        <v>3.4668333854329476</v>
      </c>
      <c r="M24" s="12">
        <v>4.133409760890927</v>
      </c>
      <c r="N24" s="12">
        <v>4.907915658486001</v>
      </c>
    </row>
    <row r="25">
      <c r="A25" s="10" t="s">
        <v>53</v>
      </c>
      <c r="B25" s="12">
        <v>0.42015916945488596</v>
      </c>
      <c r="C25" s="12">
        <v>0.5623125142755627</v>
      </c>
      <c r="D25" s="12">
        <v>0.7397202896492971</v>
      </c>
      <c r="E25" s="12">
        <v>1.0160059326664659</v>
      </c>
      <c r="F25" s="12">
        <v>1.341994747865656</v>
      </c>
      <c r="G25" s="12">
        <v>1.7332215451310784</v>
      </c>
      <c r="H25" s="12">
        <v>2.191255317044218</v>
      </c>
      <c r="I25" s="12">
        <v>2.7210935540506647</v>
      </c>
      <c r="J25" s="12">
        <v>3.3238711143514528</v>
      </c>
      <c r="K25" s="12">
        <v>3.9976831740515495</v>
      </c>
      <c r="L25" s="12">
        <v>4.743290688949206</v>
      </c>
      <c r="M25" s="12">
        <v>5.5627187191254</v>
      </c>
      <c r="N25" s="12">
        <v>6.458956190335233</v>
      </c>
    </row>
    <row r="26">
      <c r="A26" s="10" t="s">
        <v>54</v>
      </c>
      <c r="B26" s="12">
        <v>0.6517775752051048</v>
      </c>
      <c r="C26" s="12">
        <v>1.0689455488331894</v>
      </c>
      <c r="D26" s="12">
        <v>1.3619654605263158</v>
      </c>
      <c r="E26" s="12">
        <v>1.7839701257861635</v>
      </c>
      <c r="F26" s="12">
        <v>2.2431368102796676</v>
      </c>
      <c r="G26" s="12">
        <v>2.7694052044609663</v>
      </c>
      <c r="H26" s="12">
        <v>3.4288661302121435</v>
      </c>
      <c r="I26" s="12">
        <v>4.177710931768159</v>
      </c>
      <c r="J26" s="12">
        <v>5.016013313609467</v>
      </c>
      <c r="K26" s="12">
        <v>6.003061224489796</v>
      </c>
      <c r="L26" s="12">
        <v>7.128630350194554</v>
      </c>
      <c r="M26" s="12">
        <v>8.413075060532687</v>
      </c>
      <c r="N26" s="12">
        <v>9.874579124579125</v>
      </c>
    </row>
    <row r="27">
      <c r="A27" s="10" t="s">
        <v>55</v>
      </c>
      <c r="B27" s="12">
        <v>0.706366851945427</v>
      </c>
      <c r="C27" s="12">
        <v>0.8065436241610738</v>
      </c>
      <c r="D27" s="12">
        <v>0.9166468978102189</v>
      </c>
      <c r="E27" s="12">
        <v>1.1898256320836966</v>
      </c>
      <c r="F27" s="12">
        <v>1.4840569991617771</v>
      </c>
      <c r="G27" s="12">
        <v>1.8185069161920262</v>
      </c>
      <c r="H27" s="12">
        <v>2.216787293928428</v>
      </c>
      <c r="I27" s="12">
        <v>2.662522017614091</v>
      </c>
      <c r="J27" s="12">
        <v>3.154579326923077</v>
      </c>
      <c r="K27" s="12">
        <v>3.740611995104039</v>
      </c>
      <c r="L27" s="12">
        <v>4.410817610062892</v>
      </c>
      <c r="M27" s="12">
        <v>5.169427580225499</v>
      </c>
      <c r="N27" s="12">
        <v>6.027662454873646</v>
      </c>
    </row>
    <row r="28">
      <c r="A28" s="10" t="s">
        <v>56</v>
      </c>
      <c r="B28" s="12">
        <v>0.5274336494020108</v>
      </c>
      <c r="C28" s="12">
        <v>0.6285568540159525</v>
      </c>
      <c r="D28" s="12">
        <v>0.814927440783049</v>
      </c>
      <c r="E28" s="12">
        <v>1.1714327282494348</v>
      </c>
      <c r="F28" s="12">
        <v>1.6109536082474227</v>
      </c>
      <c r="G28" s="12">
        <v>2.1607498897220996</v>
      </c>
      <c r="H28" s="12">
        <v>2.7787703625853917</v>
      </c>
      <c r="I28" s="12">
        <v>3.503390567267985</v>
      </c>
      <c r="J28" s="12">
        <v>4.3368912029504285</v>
      </c>
      <c r="K28" s="12">
        <v>5.251087497565304</v>
      </c>
      <c r="L28" s="12">
        <v>6.258597897930437</v>
      </c>
      <c r="M28" s="12">
        <v>7.366275519106613</v>
      </c>
      <c r="N28" s="12">
        <v>8.576156748527174</v>
      </c>
    </row>
    <row r="29">
      <c r="A29" s="10" t="s">
        <v>57</v>
      </c>
      <c r="B29" s="12">
        <v>0.9518401038099701</v>
      </c>
      <c r="C29" s="12">
        <v>1.1216026080988333</v>
      </c>
      <c r="D29" s="12">
        <v>1.1782392300339497</v>
      </c>
      <c r="E29" s="12">
        <v>1.6647359346062967</v>
      </c>
      <c r="F29" s="12">
        <v>2.2506591454483122</v>
      </c>
      <c r="G29" s="12">
        <v>2.9661124379937536</v>
      </c>
      <c r="H29" s="12">
        <v>3.772116361029807</v>
      </c>
      <c r="I29" s="12">
        <v>4.704554792510418</v>
      </c>
      <c r="J29" s="12">
        <v>5.762823488453058</v>
      </c>
      <c r="K29" s="12">
        <v>6.9351801192155955</v>
      </c>
      <c r="L29" s="12">
        <v>8.223131713481532</v>
      </c>
      <c r="M29" s="12">
        <v>9.626338822987448</v>
      </c>
      <c r="N29" s="12">
        <v>11.145169712793734</v>
      </c>
    </row>
    <row r="30">
      <c r="A30" s="10" t="s">
        <v>58</v>
      </c>
      <c r="B30" s="12">
        <v>1.292371794871795</v>
      </c>
      <c r="C30" s="12">
        <v>1.6024893009985735</v>
      </c>
      <c r="D30" s="12">
        <v>1.549121578612349</v>
      </c>
      <c r="E30" s="12">
        <v>1.9764029595902106</v>
      </c>
      <c r="F30" s="12">
        <v>2.405374808771035</v>
      </c>
      <c r="G30" s="12">
        <v>2.8470359848484845</v>
      </c>
      <c r="H30" s="12">
        <v>3.5268860424028268</v>
      </c>
      <c r="I30" s="12">
        <v>4.2977233676975946</v>
      </c>
      <c r="J30" s="12">
        <v>5.160538493899874</v>
      </c>
      <c r="K30" s="12">
        <v>6.10791217895609</v>
      </c>
      <c r="L30" s="12">
        <v>7.14280442804428</v>
      </c>
      <c r="M30" s="12">
        <v>8.266924959216965</v>
      </c>
      <c r="N30" s="12">
        <v>9.489963280293757</v>
      </c>
    </row>
    <row r="31">
      <c r="A31" s="10" t="s">
        <v>59</v>
      </c>
      <c r="B31" s="12">
        <v>0.5344488533582308</v>
      </c>
      <c r="C31" s="12">
        <v>0.7571107219827586</v>
      </c>
      <c r="D31" s="12">
        <v>0.8454711721597861</v>
      </c>
      <c r="E31" s="12">
        <v>1.287558881901437</v>
      </c>
      <c r="F31" s="12">
        <v>1.7117594440239454</v>
      </c>
      <c r="G31" s="12">
        <v>2.2134094497752947</v>
      </c>
      <c r="H31" s="12">
        <v>2.7916919894657157</v>
      </c>
      <c r="I31" s="12">
        <v>3.4575345878006</v>
      </c>
      <c r="J31" s="12">
        <v>4.210977544544789</v>
      </c>
      <c r="K31" s="12">
        <v>5.055604607296224</v>
      </c>
      <c r="L31" s="12">
        <v>5.987569541894326</v>
      </c>
      <c r="M31" s="12">
        <v>7.0059635439923</v>
      </c>
      <c r="N31" s="12">
        <v>8.112731937235248</v>
      </c>
    </row>
    <row r="32">
      <c r="A32" s="10" t="s">
        <v>60</v>
      </c>
      <c r="B32" s="12">
        <v>1.362495908346972</v>
      </c>
      <c r="C32" s="12">
        <v>2.280108695652174</v>
      </c>
      <c r="D32" s="12">
        <v>3.109822747415066</v>
      </c>
      <c r="E32" s="12">
        <v>4.18864406779661</v>
      </c>
      <c r="F32" s="12">
        <v>5.407513586956521</v>
      </c>
      <c r="G32" s="12">
        <v>6.834057971014493</v>
      </c>
      <c r="H32" s="12">
        <v>8.454897435897436</v>
      </c>
      <c r="I32" s="12">
        <v>10.279509433962264</v>
      </c>
      <c r="J32" s="12">
        <v>12.327679900744418</v>
      </c>
      <c r="K32" s="12">
        <v>14.679677819083023</v>
      </c>
      <c r="L32" s="12">
        <v>17.332334581772784</v>
      </c>
      <c r="M32" s="12">
        <v>20.259848484848483</v>
      </c>
      <c r="N32" s="12">
        <v>23.490115532734272</v>
      </c>
    </row>
    <row r="33">
      <c r="A33" s="10" t="s">
        <v>61</v>
      </c>
      <c r="B33" s="12">
        <v>0.9049066489251113</v>
      </c>
      <c r="C33" s="12">
        <v>1.2982246935084076</v>
      </c>
      <c r="D33" s="12">
        <v>1.53764299363891</v>
      </c>
      <c r="E33" s="12">
        <v>2.2095530394862406</v>
      </c>
      <c r="F33" s="12">
        <v>3.041571681053252</v>
      </c>
      <c r="G33" s="12">
        <v>4.085977429643767</v>
      </c>
      <c r="H33" s="12">
        <v>5.327737860850443</v>
      </c>
      <c r="I33" s="12">
        <v>6.811806411837238</v>
      </c>
      <c r="J33" s="12">
        <v>8.553307130534044</v>
      </c>
      <c r="K33" s="12">
        <v>10.500255072008791</v>
      </c>
      <c r="L33" s="12">
        <v>12.695530134519649</v>
      </c>
      <c r="M33" s="12">
        <v>15.169700481008906</v>
      </c>
      <c r="N33" s="12">
        <v>17.943896891584533</v>
      </c>
    </row>
    <row r="34">
      <c r="A34" s="10" t="s">
        <v>62</v>
      </c>
      <c r="B34" s="12">
        <v>0.5625313010342949</v>
      </c>
      <c r="C34" s="12">
        <v>0.814297883324729</v>
      </c>
      <c r="D34" s="12">
        <v>0.889253254728568</v>
      </c>
      <c r="E34" s="12">
        <v>1.1639553990610327</v>
      </c>
      <c r="F34" s="12">
        <v>1.4633227990970656</v>
      </c>
      <c r="G34" s="12">
        <v>1.8056560788608982</v>
      </c>
      <c r="H34" s="12">
        <v>2.2374207650273226</v>
      </c>
      <c r="I34" s="12">
        <v>2.7286780851998245</v>
      </c>
      <c r="J34" s="12">
        <v>3.280536466415429</v>
      </c>
      <c r="K34" s="12">
        <v>3.940832575068244</v>
      </c>
      <c r="L34" s="12">
        <v>4.70751826537827</v>
      </c>
      <c r="M34" s="12">
        <v>5.585995085995086</v>
      </c>
      <c r="N34" s="12">
        <v>6.599329205366357</v>
      </c>
    </row>
    <row r="35">
      <c r="A35" s="10" t="s">
        <v>63</v>
      </c>
      <c r="B35" s="12">
        <v>0.8057393440749628</v>
      </c>
      <c r="C35" s="12">
        <v>1.2765893258735121</v>
      </c>
      <c r="D35" s="12">
        <v>1.6777839628893307</v>
      </c>
      <c r="E35" s="12">
        <v>2.3531576767781344</v>
      </c>
      <c r="F35" s="12">
        <v>3.16953605223557</v>
      </c>
      <c r="G35" s="12">
        <v>4.175032305470393</v>
      </c>
      <c r="H35" s="12">
        <v>5.340067762579998</v>
      </c>
      <c r="I35" s="12">
        <v>6.706344637717432</v>
      </c>
      <c r="J35" s="12">
        <v>8.282201199468018</v>
      </c>
      <c r="K35" s="12">
        <v>10.054617926789273</v>
      </c>
      <c r="L35" s="12">
        <v>12.048163910195969</v>
      </c>
      <c r="M35" s="12">
        <v>14.284327933336783</v>
      </c>
      <c r="N35" s="12">
        <v>16.7846084751136</v>
      </c>
    </row>
    <row r="36">
      <c r="A36" s="10" t="s">
        <v>64</v>
      </c>
      <c r="B36" s="12">
        <v>0.9471029149315883</v>
      </c>
      <c r="C36" s="12">
        <v>1.3580660158066016</v>
      </c>
      <c r="D36" s="12">
        <v>1.397929642951136</v>
      </c>
      <c r="E36" s="12">
        <v>1.8287917952138748</v>
      </c>
      <c r="F36" s="12">
        <v>2.3000159693388693</v>
      </c>
      <c r="G36" s="12">
        <v>2.8353013719747184</v>
      </c>
      <c r="H36" s="12">
        <v>3.4129418769070474</v>
      </c>
      <c r="I36" s="12">
        <v>4.048743208982253</v>
      </c>
      <c r="J36" s="12">
        <v>4.740234208658623</v>
      </c>
      <c r="K36" s="12">
        <v>5.490094504725236</v>
      </c>
      <c r="L36" s="12">
        <v>6.296452620617841</v>
      </c>
      <c r="M36" s="12">
        <v>7.161084970938278</v>
      </c>
      <c r="N36" s="12">
        <v>8.090808262858728</v>
      </c>
    </row>
    <row r="37">
      <c r="A37" s="10" t="s">
        <v>65</v>
      </c>
      <c r="B37" s="12">
        <v>0.3503668448341441</v>
      </c>
      <c r="C37" s="12">
        <v>0.43187512437120235</v>
      </c>
      <c r="D37" s="12">
        <v>0.4874949655055932</v>
      </c>
      <c r="E37" s="12">
        <v>0.7078139990694189</v>
      </c>
      <c r="F37" s="12">
        <v>0.9871528756206268</v>
      </c>
      <c r="G37" s="12">
        <v>1.3431831344839569</v>
      </c>
      <c r="H37" s="12">
        <v>1.7686389867346175</v>
      </c>
      <c r="I37" s="12">
        <v>2.2802776535780516</v>
      </c>
      <c r="J37" s="12">
        <v>2.882802749944092</v>
      </c>
      <c r="K37" s="12">
        <v>3.5893497733765813</v>
      </c>
      <c r="L37" s="12">
        <v>4.398964823294335</v>
      </c>
      <c r="M37" s="12">
        <v>5.312011249336376</v>
      </c>
      <c r="N37" s="12">
        <v>6.330957377523699</v>
      </c>
    </row>
    <row r="38">
      <c r="A38" s="10" t="s">
        <v>66</v>
      </c>
      <c r="B38" s="12">
        <v>0.5857520049081906</v>
      </c>
      <c r="C38" s="12">
        <v>0.7007257123024012</v>
      </c>
      <c r="D38" s="12">
        <v>0.7983836942675159</v>
      </c>
      <c r="E38" s="12">
        <v>1.1366765484172618</v>
      </c>
      <c r="F38" s="12">
        <v>1.5495316491626454</v>
      </c>
      <c r="G38" s="12">
        <v>2.06410119400375</v>
      </c>
      <c r="H38" s="12">
        <v>2.68477271406713</v>
      </c>
      <c r="I38" s="12">
        <v>3.4228369869402986</v>
      </c>
      <c r="J38" s="12">
        <v>4.283902458148743</v>
      </c>
      <c r="K38" s="12">
        <v>5.269545016827329</v>
      </c>
      <c r="L38" s="12">
        <v>6.391594888592341</v>
      </c>
      <c r="M38" s="12">
        <v>7.660130651289431</v>
      </c>
      <c r="N38" s="12">
        <v>9.086492537313433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2025-12-02T08:12:36Z</dcterms:created>
  <dc:creator>Anurag Dey</dc:creator>
</cp:coreProperties>
</file>